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xPts model" sheetId="2" state="visible" r:id="rId2"/>
    <sheet name="Assumptions" sheetId="3" state="visible" r:id="rId3"/>
    <sheet name="Data dictionary" sheetId="4" state="visible" r:id="rId4"/>
    <sheet name="Teams 25-26" sheetId="5" state="visible" r:id="rId5"/>
    <sheet name="Fixtures 26-27" sheetId="6" state="visible" r:id="rId6"/>
    <sheet name="Model - calibration" sheetId="7" state="visible" r:id="rId7"/>
    <sheet name="Model - forecast" sheetId="8" state="visible" r:id="rId8"/>
    <sheet name="Model - head to head" sheetId="9" state="visible" r:id="rId9"/>
    <sheet name="Match review" sheetId="10" state="visible" r:id="rId10"/>
  </sheets>
  <definedNames>
    <definedName name="_xlnm._FilterDatabase" localSheetId="0" hidden="1">'Players'!$A$1:$EL$720</definedName>
    <definedName name="_xlnm._FilterDatabase" localSheetId="1" hidden="1">'xPts model'!$A$1:$AJ$720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bottom" wrapText="1"/>
    </xf>
    <xf numFmtId="1" fontId="0" fillId="0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7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 26/27</t>
        </is>
      </c>
      <c r="C1" t="inlineStr">
        <is>
          <t>Pos</t>
        </is>
      </c>
      <c r="D1" t="inlineStr">
        <is>
          <t>Pos 25/26</t>
        </is>
      </c>
      <c r="E1" t="inlineStr">
        <is>
          <t>Price 26/27</t>
        </is>
      </c>
      <c r="F1" t="inlineStr">
        <is>
          <t>Draftable</t>
        </is>
      </c>
      <c r="G1" t="inlineStr">
        <is>
          <t>Played 25/26</t>
        </is>
      </c>
      <c r="H1" t="inlineStr">
        <is>
          <t>Age</t>
        </is>
      </c>
      <c r="I1" t="inlineStr">
        <is>
          <t>Status</t>
        </is>
      </c>
      <c r="J1" t="inlineStr">
        <is>
          <t>News</t>
        </is>
      </c>
      <c r="K1" t="inlineStr">
        <is>
          <t>Chance next GW %</t>
        </is>
      </c>
      <c r="L1" t="inlineStr">
        <is>
          <t>Opta ID</t>
        </is>
      </c>
      <c r="M1" t="inlineStr">
        <is>
          <t>FPL ID</t>
        </is>
      </c>
      <c r="N1" t="inlineStr">
        <is>
          <t>Pens order</t>
        </is>
      </c>
      <c r="O1" t="inlineStr">
        <is>
          <t>Corners/IFK order</t>
        </is>
      </c>
      <c r="P1" t="inlineStr">
        <is>
          <t>Direct FK order</t>
        </is>
      </c>
      <c r="Q1" t="inlineStr">
        <is>
          <t>Mins</t>
        </is>
      </c>
      <c r="R1" t="inlineStr">
        <is>
          <t>Apps</t>
        </is>
      </c>
      <c r="S1" t="inlineStr">
        <is>
          <t>Starts</t>
        </is>
      </c>
      <c r="T1" t="inlineStr">
        <is>
          <t>90s</t>
        </is>
      </c>
      <c r="U1" t="inlineStr">
        <is>
          <t>Mins per app</t>
        </is>
      </c>
      <c r="V1" t="inlineStr">
        <is>
          <t>FPL points</t>
        </is>
      </c>
      <c r="W1" t="inlineStr">
        <is>
          <t>FPL pts/90</t>
        </is>
      </c>
      <c r="X1" t="inlineStr">
        <is>
          <t>Goals</t>
        </is>
      </c>
      <c r="Y1" t="inlineStr">
        <is>
          <t>Assists (FPL)</t>
        </is>
      </c>
      <c r="Z1" t="inlineStr">
        <is>
          <t>Assists (Opta)</t>
        </is>
      </c>
      <c r="AA1" t="inlineStr">
        <is>
          <t>Clean sheets</t>
        </is>
      </c>
      <c r="AB1" t="inlineStr">
        <is>
          <t>Goals conceded</t>
        </is>
      </c>
      <c r="AC1" t="inlineStr">
        <is>
          <t>Bonus</t>
        </is>
      </c>
      <c r="AD1" t="inlineStr">
        <is>
          <t>Bonus (new rules)</t>
        </is>
      </c>
      <c r="AE1" t="inlineStr">
        <is>
          <t>Bonus change</t>
        </is>
      </c>
      <c r="AF1" t="inlineStr">
        <is>
          <t>BPS</t>
        </is>
      </c>
      <c r="AG1" t="inlineStr">
        <is>
          <t>BPS (new rules)</t>
        </is>
      </c>
      <c r="AH1" t="inlineStr">
        <is>
          <t>BPS change</t>
        </is>
      </c>
      <c r="AI1" t="inlineStr">
        <is>
          <t>Points (new rules)</t>
        </is>
      </c>
      <c r="AJ1" t="inlineStr">
        <is>
          <t>Bonus per point</t>
        </is>
      </c>
      <c r="AK1" t="inlineStr">
        <is>
          <t>Bonus per non-bonus point</t>
        </is>
      </c>
      <c r="AL1" t="inlineStr">
        <is>
          <t>DefCon actions</t>
        </is>
      </c>
      <c r="AM1" t="inlineStr">
        <is>
          <t>DefCon actions/90</t>
        </is>
      </c>
      <c r="AN1" t="inlineStr">
        <is>
          <t>DefCon matches</t>
        </is>
      </c>
      <c r="AO1" t="inlineStr">
        <is>
          <t>DefCon points</t>
        </is>
      </c>
      <c r="AP1" t="inlineStr">
        <is>
          <t>DefCon hit rate</t>
        </is>
      </c>
      <c r="AQ1" t="inlineStr">
        <is>
          <t>DefCon rate at 10</t>
        </is>
      </c>
      <c r="AR1" t="inlineStr">
        <is>
          <t>DefCon rate at 12</t>
        </is>
      </c>
      <c r="AS1" t="inlineStr">
        <is>
          <t>Start rate</t>
        </is>
      </c>
      <c r="AT1" t="inlineStr">
        <is>
          <t>60+ min rate</t>
        </is>
      </c>
      <c r="AU1" t="inlineStr">
        <is>
          <t>Blanks</t>
        </is>
      </c>
      <c r="AV1" t="inlineStr">
        <is>
          <t>Hauls</t>
        </is>
      </c>
      <c r="AW1" t="inlineStr">
        <is>
          <t>Points SD</t>
        </is>
      </c>
      <c r="AX1" t="inlineStr">
        <is>
          <t>Best GW</t>
        </is>
      </c>
      <c r="AY1" t="inlineStr">
        <is>
          <t>xG (Opta)</t>
        </is>
      </c>
      <c r="AZ1" t="inlineStr">
        <is>
          <t>xG (Understat)</t>
        </is>
      </c>
      <c r="BA1" t="inlineStr">
        <is>
          <t>xG (blend)</t>
        </is>
      </c>
      <c r="BB1" t="inlineStr">
        <is>
          <t>npxG (Understat)</t>
        </is>
      </c>
      <c r="BC1" t="inlineStr">
        <is>
          <t>xG/90 (Opta)</t>
        </is>
      </c>
      <c r="BD1" t="inlineStr">
        <is>
          <t>xG/90 (Understat)</t>
        </is>
      </c>
      <c r="BE1" t="inlineStr">
        <is>
          <t>xG/90 (blend)</t>
        </is>
      </c>
      <c r="BF1" t="inlineStr">
        <is>
          <t>xGOT</t>
        </is>
      </c>
      <c r="BG1" t="inlineStr">
        <is>
          <t>xGOT/90</t>
        </is>
      </c>
      <c r="BH1" t="inlineStr">
        <is>
          <t>Placement ratio</t>
        </is>
      </c>
      <c r="BI1" t="inlineStr">
        <is>
          <t>Placement sample xG</t>
        </is>
      </c>
      <c r="BJ1" t="inlineStr">
        <is>
          <t>Adjusted xGOT</t>
        </is>
      </c>
      <c r="BK1" t="inlineStr">
        <is>
          <t>Adjusted xGOT/90</t>
        </is>
      </c>
      <c r="BL1" t="inlineStr">
        <is>
          <t>Goals - xG</t>
        </is>
      </c>
      <c r="BM1" t="inlineStr">
        <is>
          <t>xGOT - xG</t>
        </is>
      </c>
      <c r="BN1" t="inlineStr">
        <is>
          <t>Goals - xGOT</t>
        </is>
      </c>
      <c r="BO1" t="inlineStr">
        <is>
          <t>xG model gap</t>
        </is>
      </c>
      <c r="BP1" t="inlineStr">
        <is>
          <t>Shots</t>
        </is>
      </c>
      <c r="BQ1" t="inlineStr">
        <is>
          <t>Shots on target</t>
        </is>
      </c>
      <c r="BR1" t="inlineStr">
        <is>
          <t>Big chances missed</t>
        </is>
      </c>
      <c r="BS1" t="inlineStr">
        <is>
          <t>Touches in box</t>
        </is>
      </c>
      <c r="BT1" t="inlineStr">
        <is>
          <t>Touches in box/90</t>
        </is>
      </c>
      <c r="BU1" t="inlineStr">
        <is>
          <t>Pen goals</t>
        </is>
      </c>
      <c r="BV1" t="inlineStr">
        <is>
          <t>Headed goals</t>
        </is>
      </c>
      <c r="BW1" t="inlineStr">
        <is>
          <t>xA (Opta)</t>
        </is>
      </c>
      <c r="BX1" t="inlineStr">
        <is>
          <t>xA (Understat)</t>
        </is>
      </c>
      <c r="BY1" t="inlineStr">
        <is>
          <t>xA (blend)</t>
        </is>
      </c>
      <c r="BZ1" t="inlineStr">
        <is>
          <t>xA/90 (blend)</t>
        </is>
      </c>
      <c r="CA1" t="inlineStr">
        <is>
          <t>xGI (blend)</t>
        </is>
      </c>
      <c r="CB1" t="inlineStr">
        <is>
          <t>xGI/90 (blend)</t>
        </is>
      </c>
      <c r="CC1" t="inlineStr">
        <is>
          <t>Key passes</t>
        </is>
      </c>
      <c r="CD1" t="inlineStr">
        <is>
          <t>Big chances created</t>
        </is>
      </c>
      <c r="CE1" t="inlineStr">
        <is>
          <t>Chances created</t>
        </is>
      </c>
      <c r="CF1" t="inlineStr">
        <is>
          <t>Crosses (acc)</t>
        </is>
      </c>
      <c r="CG1" t="inlineStr">
        <is>
          <t>Through balls (acc)</t>
        </is>
      </c>
      <c r="CH1" t="inlineStr">
        <is>
          <t>Corners taken</t>
        </is>
      </c>
      <c r="CI1" t="inlineStr">
        <is>
          <t>xGChain</t>
        </is>
      </c>
      <c r="CJ1" t="inlineStr">
        <is>
          <t>xGBuildup</t>
        </is>
      </c>
      <c r="CK1" t="inlineStr">
        <is>
          <t>CBI</t>
        </is>
      </c>
      <c r="CL1" t="inlineStr">
        <is>
          <t>Recoveries</t>
        </is>
      </c>
      <c r="CM1" t="inlineStr">
        <is>
          <t>Tackles</t>
        </is>
      </c>
      <c r="CN1" t="inlineStr">
        <is>
          <t>Tackles won</t>
        </is>
      </c>
      <c r="CO1" t="inlineStr">
        <is>
          <t>Interceptions</t>
        </is>
      </c>
      <c r="CP1" t="inlineStr">
        <is>
          <t>Clearances</t>
        </is>
      </c>
      <c r="CQ1" t="inlineStr">
        <is>
          <t>Blocks</t>
        </is>
      </c>
      <c r="CR1" t="inlineStr">
        <is>
          <t>Duels won</t>
        </is>
      </c>
      <c r="CS1" t="inlineStr">
        <is>
          <t>Aerials won</t>
        </is>
      </c>
      <c r="CT1" t="inlineStr">
        <is>
          <t>Poss won att 3rd/90</t>
        </is>
      </c>
      <c r="CU1" t="inlineStr">
        <is>
          <t>Errors -&gt; goal</t>
        </is>
      </c>
      <c r="CV1" t="inlineStr">
        <is>
          <t>Errors -&gt; shot</t>
        </is>
      </c>
      <c r="CW1" t="inlineStr">
        <is>
          <t>xGC (Opta)</t>
        </is>
      </c>
      <c r="CX1" t="inlineStr">
        <is>
          <t>xGC/90</t>
        </is>
      </c>
      <c r="CY1" t="inlineStr">
        <is>
          <t>Saves</t>
        </is>
      </c>
      <c r="CZ1" t="inlineStr">
        <is>
          <t>Save %</t>
        </is>
      </c>
      <c r="DA1" t="inlineStr">
        <is>
          <t>Goals prevented</t>
        </is>
      </c>
      <c r="DB1" t="inlineStr">
        <is>
          <t>Pens saved</t>
        </is>
      </c>
      <c r="DC1" t="inlineStr">
        <is>
          <t>High claims</t>
        </is>
      </c>
      <c r="DD1" t="inlineStr">
        <is>
          <t>Punches</t>
        </is>
      </c>
      <c r="DE1" t="inlineStr">
        <is>
          <t>FotMob rating</t>
        </is>
      </c>
      <c r="DF1" t="inlineStr">
        <is>
          <t>Yellows</t>
        </is>
      </c>
      <c r="DG1" t="inlineStr">
        <is>
          <t>Reds</t>
        </is>
      </c>
      <c r="DH1" t="inlineStr">
        <is>
          <t>Fouls</t>
        </is>
      </c>
      <c r="DI1" t="inlineStr">
        <is>
          <t>Fouled</t>
        </is>
      </c>
      <c r="DJ1" t="inlineStr">
        <is>
          <t>Pens won</t>
        </is>
      </c>
      <c r="DK1" t="inlineStr">
        <is>
          <t>Pens conceded</t>
        </is>
      </c>
      <c r="DL1" t="inlineStr">
        <is>
          <t>Dribbles won</t>
        </is>
      </c>
      <c r="DM1" t="inlineStr">
        <is>
          <t>Dispossessed</t>
        </is>
      </c>
      <c r="DN1" t="inlineStr">
        <is>
          <t>Offsides</t>
        </is>
      </c>
      <c r="DO1" t="inlineStr">
        <is>
          <t>Selected by %</t>
        </is>
      </c>
      <c r="DP1" t="inlineStr">
        <is>
          <t>Solio season pts</t>
        </is>
      </c>
      <c r="DQ1" t="inlineStr">
        <is>
          <t>Solio H1 pts (GW1-19)</t>
        </is>
      </c>
      <c r="DR1" t="inlineStr">
        <is>
          <t>Solio naive x2</t>
        </is>
      </c>
      <c r="DS1" t="inlineStr">
        <is>
          <t>Solio correction</t>
        </is>
      </c>
      <c r="DT1" t="inlineStr">
        <is>
          <t>Solio xMins (season)</t>
        </is>
      </c>
      <c r="DU1" t="inlineStr">
        <is>
          <t>Solio xMins (settled)</t>
        </is>
      </c>
      <c r="DV1" t="inlineStr">
        <is>
          <t>Solio xMins pattern</t>
        </is>
      </c>
      <c r="DW1" t="inlineStr">
        <is>
          <t>ADP</t>
        </is>
      </c>
      <c r="DX1" t="inlineStr">
        <is>
          <t>ADP (8-team only)</t>
        </is>
      </c>
      <c r="DY1" t="inlineStr">
        <is>
          <t>ADP spread</t>
        </is>
      </c>
      <c r="DZ1" t="inlineStr">
        <is>
          <t>ADP earliest</t>
        </is>
      </c>
      <c r="EA1" t="inlineStr">
        <is>
          <t>ADP latest</t>
        </is>
      </c>
      <c r="EB1" t="inlineStr">
        <is>
          <t>Times drafted</t>
        </is>
      </c>
      <c r="EC1" t="inlineStr">
        <is>
          <t>Drafted %</t>
        </is>
      </c>
      <c r="ED1" t="inlineStr">
        <is>
          <t>Auto-pick %</t>
        </is>
      </c>
      <c r="EE1" t="inlineStr">
        <is>
          <t>FPL draft rank</t>
        </is>
      </c>
      <c r="EF1" t="inlineStr">
        <is>
          <t>Mins per shot</t>
        </is>
      </c>
      <c r="EG1" t="inlineStr">
        <is>
          <t>Mins per touch in box</t>
        </is>
      </c>
      <c r="EH1" t="inlineStr">
        <is>
          <t>Mins per chance created</t>
        </is>
      </c>
      <c r="EI1" t="inlineStr">
        <is>
          <t>Mins per xG (blend)</t>
        </is>
      </c>
      <c r="EJ1" t="inlineStr">
        <is>
          <t>Mins per xA (blend)</t>
        </is>
      </c>
      <c r="EK1" t="inlineStr">
        <is>
          <t>Mins per xGI (blend)</t>
        </is>
      </c>
      <c r="EL1" t="inlineStr">
        <is>
          <t>Mins per point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n">
        <v>15.5</v>
      </c>
      <c r="F2" t="b">
        <v>1</v>
      </c>
      <c r="G2" t="b">
        <v>1</v>
      </c>
      <c r="H2" t="n">
        <v>26.1</v>
      </c>
      <c r="I2" t="inlineStr">
        <is>
          <t>a</t>
        </is>
      </c>
      <c r="L2" t="inlineStr">
        <is>
          <t>p223094</t>
        </is>
      </c>
      <c r="M2" t="n">
        <v>411</v>
      </c>
      <c r="N2" t="n">
        <v>1</v>
      </c>
      <c r="Q2" t="n">
        <v>2953</v>
      </c>
      <c r="R2" t="n">
        <v>35</v>
      </c>
      <c r="S2" t="n">
        <v>34</v>
      </c>
      <c r="T2" t="n">
        <v>32.811</v>
      </c>
      <c r="U2" t="n">
        <v>84.40000000000001</v>
      </c>
      <c r="V2" t="n">
        <v>239</v>
      </c>
      <c r="W2" t="n">
        <v>7.284</v>
      </c>
      <c r="X2" t="n">
        <v>27</v>
      </c>
      <c r="Y2" t="n">
        <v>8</v>
      </c>
      <c r="Z2" t="n">
        <v>8</v>
      </c>
      <c r="AA2" t="n">
        <v>13</v>
      </c>
      <c r="AB2" t="n">
        <v>32</v>
      </c>
      <c r="AC2" t="n">
        <v>43</v>
      </c>
      <c r="AD2" t="n">
        <v>43</v>
      </c>
      <c r="AE2" t="n">
        <v>0</v>
      </c>
      <c r="AF2" t="n">
        <v>952</v>
      </c>
      <c r="AG2" t="n">
        <v>943</v>
      </c>
      <c r="AH2" t="n">
        <v>-9</v>
      </c>
      <c r="AI2" t="n">
        <v>239</v>
      </c>
      <c r="AJ2" t="n">
        <v>0.18</v>
      </c>
      <c r="AK2" t="n">
        <v>0.219</v>
      </c>
      <c r="AL2" t="n">
        <v>104</v>
      </c>
      <c r="AM2" t="n">
        <v>3.17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0.895</v>
      </c>
      <c r="AT2" t="n">
        <v>0.9429999999999999</v>
      </c>
      <c r="AU2" t="n">
        <v>13</v>
      </c>
      <c r="AV2" t="n">
        <v>10</v>
      </c>
      <c r="AW2" t="n">
        <v>4.99</v>
      </c>
      <c r="AX2" t="n">
        <v>16</v>
      </c>
      <c r="AY2" t="n">
        <v>25.5</v>
      </c>
      <c r="AZ2" t="n">
        <v>28.795</v>
      </c>
      <c r="BA2" t="n">
        <v>27.148</v>
      </c>
      <c r="BB2" t="n">
        <v>25.751</v>
      </c>
      <c r="BC2" t="n">
        <v>0.777</v>
      </c>
      <c r="BD2" t="n">
        <v>0.878</v>
      </c>
      <c r="BE2" t="n">
        <v>0.827</v>
      </c>
      <c r="BF2" t="n">
        <v>23.3</v>
      </c>
      <c r="BG2" t="n">
        <v>0.71</v>
      </c>
      <c r="BH2" t="n">
        <v>0.958</v>
      </c>
      <c r="BI2" t="n">
        <v>105.51</v>
      </c>
      <c r="BJ2" t="n">
        <v>24.419</v>
      </c>
      <c r="BK2" t="n">
        <v>0.744</v>
      </c>
      <c r="BL2" t="n">
        <v>-0.148</v>
      </c>
      <c r="BM2" t="n">
        <v>-2.2</v>
      </c>
      <c r="BN2" t="n">
        <v>3.7</v>
      </c>
      <c r="BO2" t="n">
        <v>-3.295</v>
      </c>
      <c r="BP2" t="n">
        <v>126</v>
      </c>
      <c r="BQ2" t="n">
        <v>59</v>
      </c>
      <c r="BR2" t="n">
        <v>30</v>
      </c>
      <c r="BS2" t="n">
        <v>213</v>
      </c>
      <c r="BT2" t="n">
        <v>6.492</v>
      </c>
      <c r="BU2" t="n">
        <v>3</v>
      </c>
      <c r="BV2" t="n">
        <v>3</v>
      </c>
      <c r="BW2" t="n">
        <v>2.67</v>
      </c>
      <c r="BX2" t="n">
        <v>5.508</v>
      </c>
      <c r="BY2" t="n">
        <v>4.089</v>
      </c>
      <c r="BZ2" t="n">
        <v>0.125</v>
      </c>
      <c r="CA2" t="n">
        <v>31.237</v>
      </c>
      <c r="CB2" t="n">
        <v>0.952</v>
      </c>
      <c r="CC2" t="n">
        <v>25</v>
      </c>
      <c r="CD2" t="n">
        <v>9</v>
      </c>
      <c r="CE2" t="n">
        <v>25</v>
      </c>
      <c r="CF2" t="n">
        <v>1</v>
      </c>
      <c r="CG2" t="n">
        <v>6</v>
      </c>
      <c r="CI2" t="n">
        <v>32.735</v>
      </c>
      <c r="CJ2" t="n">
        <v>5.164</v>
      </c>
      <c r="CK2" t="n">
        <v>48</v>
      </c>
      <c r="CL2" t="n">
        <v>41</v>
      </c>
      <c r="CM2" t="n">
        <v>15</v>
      </c>
      <c r="CN2" t="n">
        <v>9</v>
      </c>
      <c r="CO2" t="n">
        <v>5</v>
      </c>
      <c r="CP2" t="n">
        <v>42</v>
      </c>
      <c r="CQ2" t="n">
        <v>1</v>
      </c>
      <c r="CR2" t="n">
        <v>130</v>
      </c>
      <c r="CS2" t="n">
        <v>73</v>
      </c>
      <c r="CT2" t="n">
        <v>0.4</v>
      </c>
      <c r="CW2" t="n">
        <v>38.6</v>
      </c>
      <c r="CX2" t="n">
        <v>1.176</v>
      </c>
      <c r="CY2" t="n">
        <v>0</v>
      </c>
      <c r="DB2" t="n">
        <v>0</v>
      </c>
      <c r="DE2" t="n">
        <v>7.68</v>
      </c>
      <c r="DF2" t="n">
        <v>2</v>
      </c>
      <c r="DG2" t="n">
        <v>0</v>
      </c>
      <c r="DH2" t="n">
        <v>24</v>
      </c>
      <c r="DI2" t="n">
        <v>25</v>
      </c>
      <c r="DL2" t="n">
        <v>17</v>
      </c>
      <c r="DM2" t="n">
        <v>23</v>
      </c>
      <c r="DN2" t="n">
        <v>5</v>
      </c>
      <c r="DO2" t="n">
        <v>73.40000000000001</v>
      </c>
      <c r="DP2" t="n">
        <v>249.31</v>
      </c>
      <c r="DQ2" t="n">
        <v>124.38</v>
      </c>
      <c r="DR2" t="n">
        <v>248.76</v>
      </c>
      <c r="DS2" t="n">
        <v>0.55</v>
      </c>
      <c r="DT2" t="n">
        <v>3204</v>
      </c>
      <c r="DU2" t="n">
        <v>84.31</v>
      </c>
      <c r="DV2" t="inlineStr">
        <is>
          <t>flat</t>
        </is>
      </c>
      <c r="DW2" t="n">
        <v>1.01</v>
      </c>
      <c r="DX2" t="n">
        <v>1.19</v>
      </c>
      <c r="DY2" t="n">
        <v>0.54</v>
      </c>
      <c r="DZ2" t="n">
        <v>0.5</v>
      </c>
      <c r="EA2" t="n">
        <v>7</v>
      </c>
      <c r="EB2" t="n">
        <v>174</v>
      </c>
      <c r="EC2" t="n">
        <v>83.7</v>
      </c>
      <c r="ED2" t="n">
        <v>18.7</v>
      </c>
      <c r="EE2" t="n">
        <v>1</v>
      </c>
      <c r="EF2" t="n">
        <v>23.4</v>
      </c>
      <c r="EG2" t="n">
        <v>13.9</v>
      </c>
      <c r="EH2" t="n">
        <v>118.1</v>
      </c>
      <c r="EI2" t="n">
        <v>108.8</v>
      </c>
      <c r="EJ2" t="n">
        <v>722.2</v>
      </c>
      <c r="EK2" t="n">
        <v>94.5</v>
      </c>
      <c r="EL2" t="n">
        <v>12.4</v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n">
        <v>12</v>
      </c>
      <c r="F3" t="b">
        <v>1</v>
      </c>
      <c r="G3" t="b">
        <v>1</v>
      </c>
      <c r="H3" t="n">
        <v>32</v>
      </c>
      <c r="I3" t="inlineStr">
        <is>
          <t>a</t>
        </is>
      </c>
      <c r="L3" t="inlineStr">
        <is>
          <t>p141746</t>
        </is>
      </c>
      <c r="M3" t="n">
        <v>426</v>
      </c>
      <c r="N3" t="n">
        <v>1</v>
      </c>
      <c r="O3" t="n">
        <v>1</v>
      </c>
      <c r="P3" t="n">
        <v>1</v>
      </c>
      <c r="Q3" t="n">
        <v>3065</v>
      </c>
      <c r="R3" t="n">
        <v>35</v>
      </c>
      <c r="S3" t="n">
        <v>35</v>
      </c>
      <c r="T3" t="n">
        <v>34.056</v>
      </c>
      <c r="U3" t="n">
        <v>87.59999999999999</v>
      </c>
      <c r="V3" t="n">
        <v>235</v>
      </c>
      <c r="W3" t="n">
        <v>6.9</v>
      </c>
      <c r="X3" t="n">
        <v>9</v>
      </c>
      <c r="Y3" t="n">
        <v>24</v>
      </c>
      <c r="Z3" t="n">
        <v>21</v>
      </c>
      <c r="AA3" t="n">
        <v>7</v>
      </c>
      <c r="AB3" t="n">
        <v>46</v>
      </c>
      <c r="AC3" t="n">
        <v>41</v>
      </c>
      <c r="AD3" t="n">
        <v>43</v>
      </c>
      <c r="AE3" t="n">
        <v>2</v>
      </c>
      <c r="AF3" t="n">
        <v>1008</v>
      </c>
      <c r="AG3" t="n">
        <v>994</v>
      </c>
      <c r="AH3" t="n">
        <v>-14</v>
      </c>
      <c r="AI3" t="n">
        <v>237</v>
      </c>
      <c r="AJ3" t="n">
        <v>0.174</v>
      </c>
      <c r="AK3" t="n">
        <v>0.211</v>
      </c>
      <c r="AL3" t="n">
        <v>287</v>
      </c>
      <c r="AM3" t="n">
        <v>8.427</v>
      </c>
      <c r="AN3" t="n">
        <v>5</v>
      </c>
      <c r="AO3" t="n">
        <v>10</v>
      </c>
      <c r="AP3" t="n">
        <v>0.143</v>
      </c>
      <c r="AQ3" t="n">
        <v>0.314</v>
      </c>
      <c r="AR3" t="n">
        <v>0.143</v>
      </c>
      <c r="AS3" t="n">
        <v>0.921</v>
      </c>
      <c r="AT3" t="n">
        <v>0.971</v>
      </c>
      <c r="AU3" t="n">
        <v>8</v>
      </c>
      <c r="AV3" t="n">
        <v>12</v>
      </c>
      <c r="AW3" t="n">
        <v>4.67</v>
      </c>
      <c r="AX3" t="n">
        <v>18</v>
      </c>
      <c r="AY3" t="n">
        <v>10.79</v>
      </c>
      <c r="AZ3" t="n">
        <v>11.932</v>
      </c>
      <c r="BA3" t="n">
        <v>11.361</v>
      </c>
      <c r="BB3" t="n">
        <v>7.365</v>
      </c>
      <c r="BC3" t="n">
        <v>0.317</v>
      </c>
      <c r="BD3" t="n">
        <v>0.35</v>
      </c>
      <c r="BE3" t="n">
        <v>0.334</v>
      </c>
      <c r="BF3" t="n">
        <v>9.1</v>
      </c>
      <c r="BG3" t="n">
        <v>0.267</v>
      </c>
      <c r="BH3" t="n">
        <v>0.954</v>
      </c>
      <c r="BI3" t="n">
        <v>39.78</v>
      </c>
      <c r="BJ3" t="n">
        <v>10.298</v>
      </c>
      <c r="BK3" t="n">
        <v>0.302</v>
      </c>
      <c r="BL3" t="n">
        <v>-2.361</v>
      </c>
      <c r="BM3" t="n">
        <v>-1.69</v>
      </c>
      <c r="BN3" t="n">
        <v>-0.1</v>
      </c>
      <c r="BO3" t="n">
        <v>-1.142</v>
      </c>
      <c r="BP3" t="n">
        <v>85</v>
      </c>
      <c r="BQ3" t="n">
        <v>24</v>
      </c>
      <c r="BR3" t="n">
        <v>8</v>
      </c>
      <c r="BS3" t="n">
        <v>91</v>
      </c>
      <c r="BT3" t="n">
        <v>2.672</v>
      </c>
      <c r="BU3" t="n">
        <v>4</v>
      </c>
      <c r="BW3" t="n">
        <v>12.28</v>
      </c>
      <c r="BX3" t="n">
        <v>17.757</v>
      </c>
      <c r="BY3" t="n">
        <v>15.019</v>
      </c>
      <c r="BZ3" t="n">
        <v>0.441</v>
      </c>
      <c r="CA3" t="n">
        <v>26.379</v>
      </c>
      <c r="CB3" t="n">
        <v>0.775</v>
      </c>
      <c r="CC3" t="n">
        <v>137</v>
      </c>
      <c r="CD3" t="n">
        <v>33</v>
      </c>
      <c r="CE3" t="n">
        <v>136</v>
      </c>
      <c r="CF3" t="n">
        <v>55</v>
      </c>
      <c r="CG3" t="n">
        <v>15</v>
      </c>
      <c r="CH3" t="n">
        <v>90</v>
      </c>
      <c r="CI3" t="n">
        <v>25.944</v>
      </c>
      <c r="CJ3" t="n">
        <v>11.664</v>
      </c>
      <c r="CK3" t="n">
        <v>67</v>
      </c>
      <c r="CL3" t="n">
        <v>167</v>
      </c>
      <c r="CM3" t="n">
        <v>53</v>
      </c>
      <c r="CN3" t="n">
        <v>32</v>
      </c>
      <c r="CO3" t="n">
        <v>20</v>
      </c>
      <c r="CP3" t="n">
        <v>42</v>
      </c>
      <c r="CQ3" t="n">
        <v>5</v>
      </c>
      <c r="CR3" t="n">
        <v>124</v>
      </c>
      <c r="CS3" t="n">
        <v>21</v>
      </c>
      <c r="CT3" t="n">
        <v>0.5</v>
      </c>
      <c r="CV3" t="n">
        <v>3</v>
      </c>
      <c r="CW3" t="n">
        <v>44.42</v>
      </c>
      <c r="CX3" t="n">
        <v>1.304</v>
      </c>
      <c r="CY3" t="n">
        <v>0</v>
      </c>
      <c r="DB3" t="n">
        <v>0</v>
      </c>
      <c r="DE3" t="n">
        <v>8.029999999999999</v>
      </c>
      <c r="DF3" t="n">
        <v>5</v>
      </c>
      <c r="DG3" t="n">
        <v>0</v>
      </c>
      <c r="DH3" t="n">
        <v>25</v>
      </c>
      <c r="DI3" t="n">
        <v>35</v>
      </c>
      <c r="DK3" t="n">
        <v>1</v>
      </c>
      <c r="DL3" t="n">
        <v>15</v>
      </c>
      <c r="DM3" t="n">
        <v>30</v>
      </c>
      <c r="DN3" t="n">
        <v>4</v>
      </c>
      <c r="DO3" t="n">
        <v>48</v>
      </c>
      <c r="DP3" t="n">
        <v>226.84</v>
      </c>
      <c r="DQ3" t="n">
        <v>113.42</v>
      </c>
      <c r="DR3" t="n">
        <v>226.84</v>
      </c>
      <c r="DS3" t="n">
        <v>0</v>
      </c>
      <c r="DT3" t="n">
        <v>3342</v>
      </c>
      <c r="DU3" t="n">
        <v>87.95999999999999</v>
      </c>
      <c r="DV3" t="inlineStr">
        <is>
          <t>flat</t>
        </is>
      </c>
      <c r="DW3" t="n">
        <v>2.55</v>
      </c>
      <c r="DX3" t="n">
        <v>2.42</v>
      </c>
      <c r="DY3" t="n">
        <v>4.35</v>
      </c>
      <c r="DZ3" t="n">
        <v>0.73</v>
      </c>
      <c r="EA3" t="n">
        <v>58.4</v>
      </c>
      <c r="EB3" t="n">
        <v>176</v>
      </c>
      <c r="EC3" t="n">
        <v>84.59999999999999</v>
      </c>
      <c r="ED3" t="n">
        <v>18.1</v>
      </c>
      <c r="EE3" t="n">
        <v>2</v>
      </c>
      <c r="EF3" t="n">
        <v>36.1</v>
      </c>
      <c r="EG3" t="n">
        <v>33.7</v>
      </c>
      <c r="EH3" t="n">
        <v>22.5</v>
      </c>
      <c r="EI3" t="n">
        <v>269.8</v>
      </c>
      <c r="EJ3" t="n">
        <v>204.1</v>
      </c>
      <c r="EK3" t="n">
        <v>116.2</v>
      </c>
      <c r="EL3" t="n">
        <v>13</v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n">
        <v>8</v>
      </c>
      <c r="F4" t="b">
        <v>1</v>
      </c>
      <c r="G4" t="b">
        <v>1</v>
      </c>
      <c r="H4" t="n">
        <v>28.7</v>
      </c>
      <c r="I4" t="inlineStr">
        <is>
          <t>a</t>
        </is>
      </c>
      <c r="L4" t="inlineStr">
        <is>
          <t>p226597</t>
        </is>
      </c>
      <c r="M4" t="n">
        <v>4</v>
      </c>
      <c r="Q4" t="n">
        <v>2750</v>
      </c>
      <c r="R4" t="n">
        <v>32</v>
      </c>
      <c r="S4" t="n">
        <v>30</v>
      </c>
      <c r="T4" t="n">
        <v>30.556</v>
      </c>
      <c r="U4" t="n">
        <v>85.90000000000001</v>
      </c>
      <c r="V4" t="n">
        <v>209</v>
      </c>
      <c r="W4" t="n">
        <v>6.84</v>
      </c>
      <c r="X4" t="n">
        <v>3</v>
      </c>
      <c r="Y4" t="n">
        <v>5</v>
      </c>
      <c r="Z4" t="n">
        <v>4</v>
      </c>
      <c r="AA4" t="n">
        <v>18</v>
      </c>
      <c r="AB4" t="n">
        <v>20</v>
      </c>
      <c r="AC4" t="n">
        <v>30</v>
      </c>
      <c r="AD4" t="n">
        <v>24</v>
      </c>
      <c r="AE4" t="n">
        <v>-6</v>
      </c>
      <c r="AF4" t="n">
        <v>724</v>
      </c>
      <c r="AG4" t="n">
        <v>683</v>
      </c>
      <c r="AH4" t="n">
        <v>-41</v>
      </c>
      <c r="AI4" t="n">
        <v>203</v>
      </c>
      <c r="AJ4" t="n">
        <v>0.144</v>
      </c>
      <c r="AK4" t="n">
        <v>0.168</v>
      </c>
      <c r="AL4" t="n">
        <v>277</v>
      </c>
      <c r="AM4" t="n">
        <v>9.065</v>
      </c>
      <c r="AN4" t="n">
        <v>11</v>
      </c>
      <c r="AO4" t="n">
        <v>22</v>
      </c>
      <c r="AP4" t="n">
        <v>0.367</v>
      </c>
      <c r="AQ4" t="n">
        <v>0.367</v>
      </c>
      <c r="AR4" t="n">
        <v>0.233</v>
      </c>
      <c r="AS4" t="n">
        <v>0.789</v>
      </c>
      <c r="AT4" t="n">
        <v>0.9379999999999999</v>
      </c>
      <c r="AU4" t="n">
        <v>8</v>
      </c>
      <c r="AV4" t="n">
        <v>6</v>
      </c>
      <c r="AW4" t="n">
        <v>4.43</v>
      </c>
      <c r="AX4" t="n">
        <v>15</v>
      </c>
      <c r="AY4" t="n">
        <v>2.94</v>
      </c>
      <c r="AZ4" t="n">
        <v>4.649</v>
      </c>
      <c r="BA4" t="n">
        <v>3.795</v>
      </c>
      <c r="BB4" t="n">
        <v>4.649</v>
      </c>
      <c r="BC4" t="n">
        <v>0.096</v>
      </c>
      <c r="BD4" t="n">
        <v>0.152</v>
      </c>
      <c r="BE4" t="n">
        <v>0.124</v>
      </c>
      <c r="BF4" t="n">
        <v>2.4</v>
      </c>
      <c r="BG4" t="n">
        <v>0.079</v>
      </c>
      <c r="BH4" t="n">
        <v>0.8159999999999999</v>
      </c>
      <c r="BI4" t="n">
        <v>15.16</v>
      </c>
      <c r="BJ4" t="n">
        <v>2.399</v>
      </c>
      <c r="BK4" t="n">
        <v>0.079</v>
      </c>
      <c r="BL4" t="n">
        <v>-0.795</v>
      </c>
      <c r="BM4" t="n">
        <v>-0.54</v>
      </c>
      <c r="BN4" t="n">
        <v>0.6</v>
      </c>
      <c r="BO4" t="n">
        <v>-1.709</v>
      </c>
      <c r="BP4" t="n">
        <v>27</v>
      </c>
      <c r="BQ4" t="n">
        <v>7</v>
      </c>
      <c r="BR4" t="n">
        <v>4</v>
      </c>
      <c r="BS4" t="n">
        <v>46</v>
      </c>
      <c r="BT4" t="n">
        <v>1.505</v>
      </c>
      <c r="BV4" t="n">
        <v>1</v>
      </c>
      <c r="BW4" t="n">
        <v>1.75</v>
      </c>
      <c r="BX4" t="n">
        <v>2.725</v>
      </c>
      <c r="BY4" t="n">
        <v>2.238</v>
      </c>
      <c r="BZ4" t="n">
        <v>0.073</v>
      </c>
      <c r="CA4" t="n">
        <v>6.032</v>
      </c>
      <c r="CB4" t="n">
        <v>0.197</v>
      </c>
      <c r="CC4" t="n">
        <v>7</v>
      </c>
      <c r="CD4" t="n">
        <v>5</v>
      </c>
      <c r="CE4" t="n">
        <v>7</v>
      </c>
      <c r="CF4" t="n">
        <v>1</v>
      </c>
      <c r="CG4" t="n">
        <v>2</v>
      </c>
      <c r="CI4" t="n">
        <v>8.894</v>
      </c>
      <c r="CJ4" t="n">
        <v>8.31</v>
      </c>
      <c r="CK4" t="n">
        <v>239</v>
      </c>
      <c r="CL4" t="n">
        <v>64</v>
      </c>
      <c r="CM4" t="n">
        <v>38</v>
      </c>
      <c r="CN4" t="n">
        <v>20</v>
      </c>
      <c r="CO4" t="n">
        <v>23</v>
      </c>
      <c r="CP4" t="n">
        <v>182</v>
      </c>
      <c r="CQ4" t="n">
        <v>34</v>
      </c>
      <c r="CR4" t="n">
        <v>171</v>
      </c>
      <c r="CS4" t="n">
        <v>99</v>
      </c>
      <c r="CT4" t="n">
        <v>0.1</v>
      </c>
      <c r="CU4" t="n">
        <v>1</v>
      </c>
      <c r="CV4" t="n">
        <v>2</v>
      </c>
      <c r="CW4" t="n">
        <v>22.01</v>
      </c>
      <c r="CX4" t="n">
        <v>0.72</v>
      </c>
      <c r="CY4" t="n">
        <v>0</v>
      </c>
      <c r="DB4" t="n">
        <v>0</v>
      </c>
      <c r="DE4" t="n">
        <v>7.32</v>
      </c>
      <c r="DF4" t="n">
        <v>4</v>
      </c>
      <c r="DG4" t="n">
        <v>0</v>
      </c>
      <c r="DH4" t="n">
        <v>21</v>
      </c>
      <c r="DI4" t="n">
        <v>34</v>
      </c>
      <c r="DL4" t="n">
        <v>1</v>
      </c>
      <c r="DM4" t="n">
        <v>4</v>
      </c>
      <c r="DN4" t="n">
        <v>0</v>
      </c>
      <c r="DO4" t="n">
        <v>27.2</v>
      </c>
      <c r="DP4" t="n">
        <v>185.19</v>
      </c>
      <c r="DQ4" t="n">
        <v>92.84999999999999</v>
      </c>
      <c r="DR4" t="n">
        <v>185.7</v>
      </c>
      <c r="DS4" t="n">
        <v>-0.51</v>
      </c>
      <c r="DT4" t="n">
        <v>3283</v>
      </c>
      <c r="DU4" t="n">
        <v>86.40000000000001</v>
      </c>
      <c r="DV4" t="inlineStr">
        <is>
          <t>flat</t>
        </is>
      </c>
      <c r="DW4" t="n">
        <v>7.62</v>
      </c>
      <c r="DX4" t="n">
        <v>7.31</v>
      </c>
      <c r="DY4" t="n">
        <v>3.58</v>
      </c>
      <c r="DZ4" t="n">
        <v>1</v>
      </c>
      <c r="EA4" t="n">
        <v>22.67</v>
      </c>
      <c r="EB4" t="n">
        <v>175</v>
      </c>
      <c r="EC4" t="n">
        <v>84.09999999999999</v>
      </c>
      <c r="ED4" t="n">
        <v>18.2</v>
      </c>
      <c r="EE4" t="n">
        <v>7</v>
      </c>
      <c r="EF4" t="n">
        <v>101.9</v>
      </c>
      <c r="EG4" t="n">
        <v>59.8</v>
      </c>
      <c r="EH4" t="n">
        <v>392.9</v>
      </c>
      <c r="EI4" t="n">
        <v>724.7</v>
      </c>
      <c r="EJ4" t="n">
        <v>1229</v>
      </c>
      <c r="EK4" t="n">
        <v>455.9</v>
      </c>
      <c r="EL4" t="n">
        <v>13.2</v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n">
        <v>8.5</v>
      </c>
      <c r="F5" t="b">
        <v>1</v>
      </c>
      <c r="G5" t="b">
        <v>1</v>
      </c>
      <c r="H5" t="n">
        <v>26.6</v>
      </c>
      <c r="I5" t="inlineStr">
        <is>
          <t>a</t>
        </is>
      </c>
      <c r="L5" t="inlineStr">
        <is>
          <t>p437730</t>
        </is>
      </c>
      <c r="M5" t="n">
        <v>397</v>
      </c>
      <c r="N5" t="n">
        <v>3</v>
      </c>
      <c r="Q5" t="n">
        <v>3200</v>
      </c>
      <c r="R5" t="n">
        <v>37</v>
      </c>
      <c r="S5" t="n">
        <v>37</v>
      </c>
      <c r="T5" t="n">
        <v>35.556</v>
      </c>
      <c r="U5" t="n">
        <v>86.5</v>
      </c>
      <c r="V5" t="n">
        <v>202</v>
      </c>
      <c r="W5" t="n">
        <v>5.681</v>
      </c>
      <c r="X5" t="n">
        <v>17</v>
      </c>
      <c r="Y5" t="n">
        <v>6</v>
      </c>
      <c r="Z5" t="n">
        <v>4</v>
      </c>
      <c r="AA5" t="n">
        <v>12</v>
      </c>
      <c r="AB5" t="n">
        <v>52</v>
      </c>
      <c r="AC5" t="n">
        <v>18</v>
      </c>
      <c r="AD5" t="n">
        <v>19</v>
      </c>
      <c r="AE5" t="n">
        <v>1</v>
      </c>
      <c r="AF5" t="n">
        <v>678</v>
      </c>
      <c r="AG5" t="n">
        <v>672</v>
      </c>
      <c r="AH5" t="n">
        <v>-6</v>
      </c>
      <c r="AI5" t="n">
        <v>203</v>
      </c>
      <c r="AJ5" t="n">
        <v>0.089</v>
      </c>
      <c r="AK5" t="n">
        <v>0.098</v>
      </c>
      <c r="AL5" t="n">
        <v>236</v>
      </c>
      <c r="AM5" t="n">
        <v>6.637</v>
      </c>
      <c r="AN5" t="n">
        <v>3</v>
      </c>
      <c r="AO5" t="n">
        <v>6</v>
      </c>
      <c r="AP5" t="n">
        <v>0.081</v>
      </c>
      <c r="AQ5" t="n">
        <v>0.108</v>
      </c>
      <c r="AR5" t="n">
        <v>0.081</v>
      </c>
      <c r="AS5" t="n">
        <v>0.974</v>
      </c>
      <c r="AT5" t="n">
        <v>0.946</v>
      </c>
      <c r="AU5" t="n">
        <v>12</v>
      </c>
      <c r="AV5" t="n">
        <v>5</v>
      </c>
      <c r="AW5" t="n">
        <v>4.32</v>
      </c>
      <c r="AX5" t="n">
        <v>18</v>
      </c>
      <c r="AY5" t="n">
        <v>11.1</v>
      </c>
      <c r="AZ5" t="n">
        <v>12.837</v>
      </c>
      <c r="BA5" t="n">
        <v>11.968</v>
      </c>
      <c r="BB5" t="n">
        <v>11.314</v>
      </c>
      <c r="BC5" t="n">
        <v>0.312</v>
      </c>
      <c r="BD5" t="n">
        <v>0.361</v>
      </c>
      <c r="BE5" t="n">
        <v>0.337</v>
      </c>
      <c r="BF5" t="n">
        <v>13</v>
      </c>
      <c r="BG5" t="n">
        <v>0.366</v>
      </c>
      <c r="BH5" t="n">
        <v>1.141</v>
      </c>
      <c r="BI5" t="n">
        <v>25.66</v>
      </c>
      <c r="BJ5" t="n">
        <v>12.663</v>
      </c>
      <c r="BK5" t="n">
        <v>0.356</v>
      </c>
      <c r="BL5" t="n">
        <v>5.032</v>
      </c>
      <c r="BM5" t="n">
        <v>1.9</v>
      </c>
      <c r="BN5" t="n">
        <v>4</v>
      </c>
      <c r="BO5" t="n">
        <v>-1.737</v>
      </c>
      <c r="BP5" t="n">
        <v>83</v>
      </c>
      <c r="BQ5" t="n">
        <v>41</v>
      </c>
      <c r="BR5" t="n">
        <v>7</v>
      </c>
      <c r="BS5" t="n">
        <v>176</v>
      </c>
      <c r="BT5" t="n">
        <v>4.95</v>
      </c>
      <c r="BU5" t="n">
        <v>1</v>
      </c>
      <c r="BW5" t="n">
        <v>3.12</v>
      </c>
      <c r="BX5" t="n">
        <v>4.13</v>
      </c>
      <c r="BY5" t="n">
        <v>3.625</v>
      </c>
      <c r="BZ5" t="n">
        <v>0.102</v>
      </c>
      <c r="CA5" t="n">
        <v>15.593</v>
      </c>
      <c r="CB5" t="n">
        <v>0.439</v>
      </c>
      <c r="CC5" t="n">
        <v>38</v>
      </c>
      <c r="CD5" t="n">
        <v>8</v>
      </c>
      <c r="CE5" t="n">
        <v>39</v>
      </c>
      <c r="CF5" t="n">
        <v>8</v>
      </c>
      <c r="CG5" t="n">
        <v>2</v>
      </c>
      <c r="CI5" t="n">
        <v>20.871</v>
      </c>
      <c r="CJ5" t="n">
        <v>7.894</v>
      </c>
      <c r="CK5" t="n">
        <v>49</v>
      </c>
      <c r="CL5" t="n">
        <v>142</v>
      </c>
      <c r="CM5" t="n">
        <v>45</v>
      </c>
      <c r="CN5" t="n">
        <v>32</v>
      </c>
      <c r="CO5" t="n">
        <v>13</v>
      </c>
      <c r="CP5" t="n">
        <v>29</v>
      </c>
      <c r="CQ5" t="n">
        <v>7</v>
      </c>
      <c r="CR5" t="n">
        <v>184</v>
      </c>
      <c r="CS5" t="n">
        <v>59</v>
      </c>
      <c r="CT5" t="n">
        <v>0.7</v>
      </c>
      <c r="CV5" t="n">
        <v>2</v>
      </c>
      <c r="CW5" t="n">
        <v>47.67</v>
      </c>
      <c r="CX5" t="n">
        <v>1.341</v>
      </c>
      <c r="CY5" t="n">
        <v>0</v>
      </c>
      <c r="DB5" t="n">
        <v>0</v>
      </c>
      <c r="DE5" t="n">
        <v>7.34</v>
      </c>
      <c r="DF5" t="n">
        <v>7</v>
      </c>
      <c r="DG5" t="n">
        <v>0</v>
      </c>
      <c r="DH5" t="n">
        <v>56</v>
      </c>
      <c r="DI5" t="n">
        <v>21</v>
      </c>
      <c r="DK5" t="n">
        <v>1</v>
      </c>
      <c r="DL5" t="n">
        <v>59</v>
      </c>
      <c r="DM5" t="n">
        <v>63</v>
      </c>
      <c r="DN5" t="n">
        <v>19</v>
      </c>
      <c r="DO5" t="n">
        <v>27.5</v>
      </c>
      <c r="DP5" t="n">
        <v>182.2</v>
      </c>
      <c r="DQ5" t="n">
        <v>91.09999999999999</v>
      </c>
      <c r="DR5" t="n">
        <v>182.2</v>
      </c>
      <c r="DS5" t="n">
        <v>0</v>
      </c>
      <c r="DT5" t="n">
        <v>3106</v>
      </c>
      <c r="DU5" t="n">
        <v>81.75</v>
      </c>
      <c r="DV5" t="inlineStr">
        <is>
          <t>flat</t>
        </is>
      </c>
      <c r="DW5" t="n">
        <v>7.48</v>
      </c>
      <c r="DX5" t="n">
        <v>7.35</v>
      </c>
      <c r="DY5" t="n">
        <v>9.27</v>
      </c>
      <c r="DZ5" t="n">
        <v>1.6</v>
      </c>
      <c r="EA5" t="n">
        <v>93.59999999999999</v>
      </c>
      <c r="EB5" t="n">
        <v>182</v>
      </c>
      <c r="EC5" t="n">
        <v>87.5</v>
      </c>
      <c r="ED5" t="n">
        <v>15.3</v>
      </c>
      <c r="EE5" t="n">
        <v>6</v>
      </c>
      <c r="EF5" t="n">
        <v>38.6</v>
      </c>
      <c r="EG5" t="n">
        <v>18.2</v>
      </c>
      <c r="EH5" t="n">
        <v>82.09999999999999</v>
      </c>
      <c r="EI5" t="n">
        <v>267.4</v>
      </c>
      <c r="EJ5" t="n">
        <v>882.7</v>
      </c>
      <c r="EK5" t="n">
        <v>205.2</v>
      </c>
      <c r="EL5" t="n">
        <v>15.8</v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n">
        <v>8</v>
      </c>
      <c r="F6" t="b">
        <v>1</v>
      </c>
      <c r="G6" t="b">
        <v>1</v>
      </c>
      <c r="H6" t="n">
        <v>26.6</v>
      </c>
      <c r="I6" t="inlineStr">
        <is>
          <t>a</t>
        </is>
      </c>
      <c r="L6" t="inlineStr">
        <is>
          <t>p222531</t>
        </is>
      </c>
      <c r="M6" t="n">
        <v>480</v>
      </c>
      <c r="N6" t="n">
        <v>2</v>
      </c>
      <c r="P6" t="n">
        <v>1</v>
      </c>
      <c r="Q6" t="n">
        <v>3101</v>
      </c>
      <c r="R6" t="n">
        <v>37</v>
      </c>
      <c r="S6" t="n">
        <v>35</v>
      </c>
      <c r="T6" t="n">
        <v>34.456</v>
      </c>
      <c r="U6" t="n">
        <v>83.8</v>
      </c>
      <c r="V6" t="n">
        <v>188</v>
      </c>
      <c r="W6" t="n">
        <v>5.456</v>
      </c>
      <c r="X6" t="n">
        <v>15</v>
      </c>
      <c r="Y6" t="n">
        <v>4</v>
      </c>
      <c r="Z6" t="n">
        <v>4</v>
      </c>
      <c r="AA6" t="n">
        <v>10</v>
      </c>
      <c r="AB6" t="n">
        <v>45</v>
      </c>
      <c r="AC6" t="n">
        <v>18</v>
      </c>
      <c r="AD6" t="n">
        <v>18</v>
      </c>
      <c r="AE6" t="n">
        <v>0</v>
      </c>
      <c r="AF6" t="n">
        <v>712</v>
      </c>
      <c r="AG6" t="n">
        <v>702</v>
      </c>
      <c r="AH6" t="n">
        <v>-10</v>
      </c>
      <c r="AI6" t="n">
        <v>188</v>
      </c>
      <c r="AJ6" t="n">
        <v>0.096</v>
      </c>
      <c r="AK6" t="n">
        <v>0.106</v>
      </c>
      <c r="AL6" t="n">
        <v>178</v>
      </c>
      <c r="AM6" t="n">
        <v>5.166</v>
      </c>
      <c r="AN6" t="n">
        <v>1</v>
      </c>
      <c r="AO6" t="n">
        <v>2</v>
      </c>
      <c r="AP6" t="n">
        <v>0.029</v>
      </c>
      <c r="AQ6" t="n">
        <v>0.029</v>
      </c>
      <c r="AR6" t="n">
        <v>0.029</v>
      </c>
      <c r="AS6" t="n">
        <v>0.921</v>
      </c>
      <c r="AT6" t="n">
        <v>0.946</v>
      </c>
      <c r="AU6" t="n">
        <v>15</v>
      </c>
      <c r="AV6" t="n">
        <v>3</v>
      </c>
      <c r="AW6" t="n">
        <v>4.06</v>
      </c>
      <c r="AX6" t="n">
        <v>20</v>
      </c>
      <c r="AY6" t="n">
        <v>10.81</v>
      </c>
      <c r="AZ6" t="n">
        <v>11.672</v>
      </c>
      <c r="BA6" t="n">
        <v>11.241</v>
      </c>
      <c r="BB6" t="n">
        <v>10.911</v>
      </c>
      <c r="BC6" t="n">
        <v>0.314</v>
      </c>
      <c r="BD6" t="n">
        <v>0.339</v>
      </c>
      <c r="BE6" t="n">
        <v>0.326</v>
      </c>
      <c r="BF6" t="n">
        <v>12.9</v>
      </c>
      <c r="BG6" t="n">
        <v>0.374</v>
      </c>
      <c r="BH6" t="n">
        <v>0.989</v>
      </c>
      <c r="BI6" t="n">
        <v>30.54</v>
      </c>
      <c r="BJ6" t="n">
        <v>10.687</v>
      </c>
      <c r="BK6" t="n">
        <v>0.31</v>
      </c>
      <c r="BL6" t="n">
        <v>3.759</v>
      </c>
      <c r="BM6" t="n">
        <v>2.09</v>
      </c>
      <c r="BN6" t="n">
        <v>2.1</v>
      </c>
      <c r="BO6" t="n">
        <v>-0.862</v>
      </c>
      <c r="BP6" t="n">
        <v>83</v>
      </c>
      <c r="BQ6" t="n">
        <v>32</v>
      </c>
      <c r="BR6" t="n">
        <v>10</v>
      </c>
      <c r="BS6" t="n">
        <v>126</v>
      </c>
      <c r="BT6" t="n">
        <v>3.657</v>
      </c>
      <c r="BU6" t="n">
        <v>1</v>
      </c>
      <c r="BV6" t="n">
        <v>3</v>
      </c>
      <c r="BW6" t="n">
        <v>2.91</v>
      </c>
      <c r="BX6" t="n">
        <v>4.504</v>
      </c>
      <c r="BY6" t="n">
        <v>3.707</v>
      </c>
      <c r="BZ6" t="n">
        <v>0.108</v>
      </c>
      <c r="CA6" t="n">
        <v>14.948</v>
      </c>
      <c r="CB6" t="n">
        <v>0.434</v>
      </c>
      <c r="CC6" t="n">
        <v>48</v>
      </c>
      <c r="CD6" t="n">
        <v>5</v>
      </c>
      <c r="CE6" t="n">
        <v>49</v>
      </c>
      <c r="CF6" t="n">
        <v>9</v>
      </c>
      <c r="CG6" t="n">
        <v>1</v>
      </c>
      <c r="CH6" t="n">
        <v>1</v>
      </c>
      <c r="CI6" t="n">
        <v>17.265</v>
      </c>
      <c r="CJ6" t="n">
        <v>5.414</v>
      </c>
      <c r="CK6" t="n">
        <v>48</v>
      </c>
      <c r="CL6" t="n">
        <v>110</v>
      </c>
      <c r="CM6" t="n">
        <v>20</v>
      </c>
      <c r="CN6" t="n">
        <v>15</v>
      </c>
      <c r="CO6" t="n">
        <v>13</v>
      </c>
      <c r="CP6" t="n">
        <v>32</v>
      </c>
      <c r="CQ6" t="n">
        <v>3</v>
      </c>
      <c r="CR6" t="n">
        <v>130</v>
      </c>
      <c r="CS6" t="n">
        <v>41</v>
      </c>
      <c r="CT6" t="n">
        <v>0.6</v>
      </c>
      <c r="CU6" t="n">
        <v>1</v>
      </c>
      <c r="CV6" t="n">
        <v>4</v>
      </c>
      <c r="CW6" t="n">
        <v>49.7</v>
      </c>
      <c r="CX6" t="n">
        <v>1.442</v>
      </c>
      <c r="CY6" t="n">
        <v>0</v>
      </c>
      <c r="DB6" t="n">
        <v>0</v>
      </c>
      <c r="DE6" t="n">
        <v>7.15</v>
      </c>
      <c r="DF6" t="n">
        <v>1</v>
      </c>
      <c r="DG6" t="n">
        <v>0</v>
      </c>
      <c r="DH6" t="n">
        <v>26</v>
      </c>
      <c r="DI6" t="n">
        <v>41</v>
      </c>
      <c r="DJ6" t="n">
        <v>1</v>
      </c>
      <c r="DL6" t="n">
        <v>30</v>
      </c>
      <c r="DM6" t="n">
        <v>37</v>
      </c>
      <c r="DN6" t="n">
        <v>5</v>
      </c>
      <c r="DO6" t="n">
        <v>11.6</v>
      </c>
      <c r="DP6" t="n">
        <v>182.08</v>
      </c>
      <c r="DQ6" t="n">
        <v>91.04000000000001</v>
      </c>
      <c r="DR6" t="n">
        <v>182.08</v>
      </c>
      <c r="DS6" t="n">
        <v>0</v>
      </c>
      <c r="DT6" t="n">
        <v>3301</v>
      </c>
      <c r="DU6" t="n">
        <v>86.86</v>
      </c>
      <c r="DV6" t="inlineStr">
        <is>
          <t>flat</t>
        </is>
      </c>
      <c r="DW6" t="n">
        <v>16.5</v>
      </c>
      <c r="DX6" t="n">
        <v>16.03</v>
      </c>
      <c r="DY6" t="n">
        <v>10.94</v>
      </c>
      <c r="DZ6" t="n">
        <v>3.08</v>
      </c>
      <c r="EA6" t="n">
        <v>80</v>
      </c>
      <c r="EB6" t="n">
        <v>147</v>
      </c>
      <c r="EC6" t="n">
        <v>70.7</v>
      </c>
      <c r="ED6" t="n">
        <v>31.3</v>
      </c>
      <c r="EE6" t="n">
        <v>8</v>
      </c>
      <c r="EF6" t="n">
        <v>37.4</v>
      </c>
      <c r="EG6" t="n">
        <v>24.6</v>
      </c>
      <c r="EH6" t="n">
        <v>63.3</v>
      </c>
      <c r="EI6" t="n">
        <v>275.9</v>
      </c>
      <c r="EJ6" t="n">
        <v>836.5</v>
      </c>
      <c r="EK6" t="n">
        <v>207.5</v>
      </c>
      <c r="EL6" t="n">
        <v>16.5</v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n">
        <v>7.5</v>
      </c>
      <c r="F7" t="b">
        <v>1</v>
      </c>
      <c r="G7" t="b">
        <v>1</v>
      </c>
      <c r="H7" t="n">
        <v>27.6</v>
      </c>
      <c r="I7" t="inlineStr">
        <is>
          <t>a</t>
        </is>
      </c>
      <c r="L7" t="inlineStr">
        <is>
          <t>p204480</t>
        </is>
      </c>
      <c r="M7" t="n">
        <v>13</v>
      </c>
      <c r="O7" t="n">
        <v>1</v>
      </c>
      <c r="P7" t="n">
        <v>1</v>
      </c>
      <c r="Q7" t="n">
        <v>3093</v>
      </c>
      <c r="R7" t="n">
        <v>36</v>
      </c>
      <c r="S7" t="n">
        <v>35</v>
      </c>
      <c r="T7" t="n">
        <v>34.367</v>
      </c>
      <c r="U7" t="n">
        <v>85.90000000000001</v>
      </c>
      <c r="V7" t="n">
        <v>184</v>
      </c>
      <c r="W7" t="n">
        <v>5.354</v>
      </c>
      <c r="X7" t="n">
        <v>4</v>
      </c>
      <c r="Y7" t="n">
        <v>9</v>
      </c>
      <c r="Z7" t="n">
        <v>5</v>
      </c>
      <c r="AA7" t="n">
        <v>18</v>
      </c>
      <c r="AB7" t="n">
        <v>25</v>
      </c>
      <c r="AC7" t="n">
        <v>23</v>
      </c>
      <c r="AD7" t="n">
        <v>24</v>
      </c>
      <c r="AE7" t="n">
        <v>1</v>
      </c>
      <c r="AF7" t="n">
        <v>790</v>
      </c>
      <c r="AG7" t="n">
        <v>769</v>
      </c>
      <c r="AH7" t="n">
        <v>-21</v>
      </c>
      <c r="AI7" t="n">
        <v>185</v>
      </c>
      <c r="AJ7" t="n">
        <v>0.125</v>
      </c>
      <c r="AK7" t="n">
        <v>0.143</v>
      </c>
      <c r="AL7" t="n">
        <v>376</v>
      </c>
      <c r="AM7" t="n">
        <v>10.941</v>
      </c>
      <c r="AN7" t="n">
        <v>14</v>
      </c>
      <c r="AO7" t="n">
        <v>28</v>
      </c>
      <c r="AP7" t="n">
        <v>0.4</v>
      </c>
      <c r="AQ7" t="n">
        <v>0.6</v>
      </c>
      <c r="AR7" t="n">
        <v>0.4</v>
      </c>
      <c r="AS7" t="n">
        <v>0.921</v>
      </c>
      <c r="AT7" t="n">
        <v>0.972</v>
      </c>
      <c r="AU7" t="n">
        <v>6</v>
      </c>
      <c r="AV7" t="n">
        <v>4</v>
      </c>
      <c r="AW7" t="n">
        <v>3.59</v>
      </c>
      <c r="AX7" t="n">
        <v>17</v>
      </c>
      <c r="AY7" t="n">
        <v>3.15</v>
      </c>
      <c r="AZ7" t="n">
        <v>3.721</v>
      </c>
      <c r="BA7" t="n">
        <v>3.435</v>
      </c>
      <c r="BB7" t="n">
        <v>3.721</v>
      </c>
      <c r="BC7" t="n">
        <v>0.092</v>
      </c>
      <c r="BD7" t="n">
        <v>0.108</v>
      </c>
      <c r="BE7" t="n">
        <v>0.1</v>
      </c>
      <c r="BF7" t="n">
        <v>4.5</v>
      </c>
      <c r="BG7" t="n">
        <v>0.131</v>
      </c>
      <c r="BH7" t="n">
        <v>1.132</v>
      </c>
      <c r="BI7" t="n">
        <v>12.59</v>
      </c>
      <c r="BJ7" t="n">
        <v>3.565</v>
      </c>
      <c r="BK7" t="n">
        <v>0.104</v>
      </c>
      <c r="BL7" t="n">
        <v>0.5649999999999999</v>
      </c>
      <c r="BM7" t="n">
        <v>1.35</v>
      </c>
      <c r="BN7" t="n">
        <v>-0.5</v>
      </c>
      <c r="BO7" t="n">
        <v>-0.571</v>
      </c>
      <c r="BP7" t="n">
        <v>40</v>
      </c>
      <c r="BQ7" t="n">
        <v>13</v>
      </c>
      <c r="BR7" t="n">
        <v>3</v>
      </c>
      <c r="BS7" t="n">
        <v>56</v>
      </c>
      <c r="BT7" t="n">
        <v>1.629</v>
      </c>
      <c r="BV7" t="n">
        <v>1</v>
      </c>
      <c r="BW7" t="n">
        <v>7.32</v>
      </c>
      <c r="BX7" t="n">
        <v>8.159000000000001</v>
      </c>
      <c r="BY7" t="n">
        <v>7.74</v>
      </c>
      <c r="BZ7" t="n">
        <v>0.225</v>
      </c>
      <c r="CA7" t="n">
        <v>11.175</v>
      </c>
      <c r="CB7" t="n">
        <v>0.325</v>
      </c>
      <c r="CC7" t="n">
        <v>63</v>
      </c>
      <c r="CD7" t="n">
        <v>17</v>
      </c>
      <c r="CE7" t="n">
        <v>63</v>
      </c>
      <c r="CF7" t="n">
        <v>47</v>
      </c>
      <c r="CG7" t="n">
        <v>5</v>
      </c>
      <c r="CH7" t="n">
        <v>95</v>
      </c>
      <c r="CI7" t="n">
        <v>18.491</v>
      </c>
      <c r="CJ7" t="n">
        <v>12.957</v>
      </c>
      <c r="CK7" t="n">
        <v>127</v>
      </c>
      <c r="CL7" t="n">
        <v>180</v>
      </c>
      <c r="CM7" t="n">
        <v>69</v>
      </c>
      <c r="CN7" t="n">
        <v>35</v>
      </c>
      <c r="CO7" t="n">
        <v>37</v>
      </c>
      <c r="CP7" t="n">
        <v>78</v>
      </c>
      <c r="CQ7" t="n">
        <v>12</v>
      </c>
      <c r="CR7" t="n">
        <v>145</v>
      </c>
      <c r="CS7" t="n">
        <v>50</v>
      </c>
      <c r="CT7" t="n">
        <v>0.3</v>
      </c>
      <c r="CU7" t="n">
        <v>1</v>
      </c>
      <c r="CW7" t="n">
        <v>23.87</v>
      </c>
      <c r="CX7" t="n">
        <v>0.695</v>
      </c>
      <c r="CY7" t="n">
        <v>0</v>
      </c>
      <c r="DB7" t="n">
        <v>0</v>
      </c>
      <c r="DE7" t="n">
        <v>7.56</v>
      </c>
      <c r="DF7" t="n">
        <v>3</v>
      </c>
      <c r="DG7" t="n">
        <v>0</v>
      </c>
      <c r="DH7" t="n">
        <v>26</v>
      </c>
      <c r="DI7" t="n">
        <v>11</v>
      </c>
      <c r="DL7" t="n">
        <v>14</v>
      </c>
      <c r="DM7" t="n">
        <v>18</v>
      </c>
      <c r="DN7" t="n">
        <v>1</v>
      </c>
      <c r="DO7" t="n">
        <v>21.6</v>
      </c>
      <c r="DP7" t="n">
        <v>152.45</v>
      </c>
      <c r="DQ7" t="n">
        <v>75.39</v>
      </c>
      <c r="DR7" t="n">
        <v>150.78</v>
      </c>
      <c r="DS7" t="n">
        <v>1.67</v>
      </c>
      <c r="DT7" t="n">
        <v>3106</v>
      </c>
      <c r="DU7" t="n">
        <v>81.75</v>
      </c>
      <c r="DV7" t="inlineStr">
        <is>
          <t>flat</t>
        </is>
      </c>
      <c r="DW7" t="n">
        <v>16.02</v>
      </c>
      <c r="DX7" t="n">
        <v>16.67</v>
      </c>
      <c r="DY7" t="n">
        <v>8.82</v>
      </c>
      <c r="DZ7" t="n">
        <v>2</v>
      </c>
      <c r="EA7" t="n">
        <v>81.33</v>
      </c>
      <c r="EB7" t="n">
        <v>173</v>
      </c>
      <c r="EC7" t="n">
        <v>83.2</v>
      </c>
      <c r="ED7" t="n">
        <v>19.2</v>
      </c>
      <c r="EE7" t="n">
        <v>13</v>
      </c>
      <c r="EF7" t="n">
        <v>77.3</v>
      </c>
      <c r="EG7" t="n">
        <v>55.2</v>
      </c>
      <c r="EH7" t="n">
        <v>49.1</v>
      </c>
      <c r="EI7" t="n">
        <v>900.3</v>
      </c>
      <c r="EJ7" t="n">
        <v>399.6</v>
      </c>
      <c r="EK7" t="n">
        <v>276.8</v>
      </c>
      <c r="EL7" t="n">
        <v>16.8</v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n">
        <v>8</v>
      </c>
      <c r="F8" t="b">
        <v>1</v>
      </c>
      <c r="G8" t="b">
        <v>1</v>
      </c>
      <c r="H8" t="n">
        <v>25.2</v>
      </c>
      <c r="I8" t="inlineStr">
        <is>
          <t>a</t>
        </is>
      </c>
      <c r="L8" t="inlineStr">
        <is>
          <t>p502500</t>
        </is>
      </c>
      <c r="M8" t="n">
        <v>106</v>
      </c>
      <c r="N8" t="n">
        <v>1</v>
      </c>
      <c r="Q8" t="n">
        <v>3282</v>
      </c>
      <c r="R8" t="n">
        <v>38</v>
      </c>
      <c r="S8" t="n">
        <v>37</v>
      </c>
      <c r="T8" t="n">
        <v>36.467</v>
      </c>
      <c r="U8" t="n">
        <v>86.40000000000001</v>
      </c>
      <c r="V8" t="n">
        <v>181</v>
      </c>
      <c r="W8" t="n">
        <v>4.963</v>
      </c>
      <c r="X8" t="n">
        <v>22</v>
      </c>
      <c r="Y8" t="n">
        <v>1</v>
      </c>
      <c r="Z8" t="n">
        <v>1</v>
      </c>
      <c r="AA8" t="n">
        <v>10</v>
      </c>
      <c r="AB8" t="n">
        <v>50</v>
      </c>
      <c r="AC8" t="n">
        <v>22</v>
      </c>
      <c r="AD8" t="n">
        <v>22</v>
      </c>
      <c r="AE8" t="n">
        <v>0</v>
      </c>
      <c r="AF8" t="n">
        <v>710</v>
      </c>
      <c r="AG8" t="n">
        <v>694</v>
      </c>
      <c r="AH8" t="n">
        <v>-16</v>
      </c>
      <c r="AI8" t="n">
        <v>181</v>
      </c>
      <c r="AJ8" t="n">
        <v>0.122</v>
      </c>
      <c r="AK8" t="n">
        <v>0.138</v>
      </c>
      <c r="AL8" t="n">
        <v>214</v>
      </c>
      <c r="AM8" t="n">
        <v>5.868</v>
      </c>
      <c r="AN8" t="n">
        <v>1</v>
      </c>
      <c r="AO8" t="n">
        <v>2</v>
      </c>
      <c r="AP8" t="n">
        <v>0.027</v>
      </c>
      <c r="AQ8" t="n">
        <v>0.054</v>
      </c>
      <c r="AR8" t="n">
        <v>0.027</v>
      </c>
      <c r="AS8" t="n">
        <v>0.974</v>
      </c>
      <c r="AT8" t="n">
        <v>0.974</v>
      </c>
      <c r="AU8" t="n">
        <v>21</v>
      </c>
      <c r="AV8" t="n">
        <v>6</v>
      </c>
      <c r="AW8" t="n">
        <v>4.26</v>
      </c>
      <c r="AX8" t="n">
        <v>17</v>
      </c>
      <c r="AY8" t="n">
        <v>20.6</v>
      </c>
      <c r="AZ8" t="n">
        <v>24.69</v>
      </c>
      <c r="BA8" t="n">
        <v>22.645</v>
      </c>
      <c r="BB8" t="n">
        <v>17.839</v>
      </c>
      <c r="BC8" t="n">
        <v>0.5649999999999999</v>
      </c>
      <c r="BD8" t="n">
        <v>0.677</v>
      </c>
      <c r="BE8" t="n">
        <v>0.621</v>
      </c>
      <c r="BF8" t="n">
        <v>20.1</v>
      </c>
      <c r="BG8" t="n">
        <v>0.551</v>
      </c>
      <c r="BH8" t="n">
        <v>0.978</v>
      </c>
      <c r="BI8" t="n">
        <v>20.73</v>
      </c>
      <c r="BJ8" t="n">
        <v>20.148</v>
      </c>
      <c r="BK8" t="n">
        <v>0.553</v>
      </c>
      <c r="BL8" t="n">
        <v>-0.645</v>
      </c>
      <c r="BM8" t="n">
        <v>-0.5</v>
      </c>
      <c r="BN8" t="n">
        <v>1.9</v>
      </c>
      <c r="BO8" t="n">
        <v>-4.09</v>
      </c>
      <c r="BP8" t="n">
        <v>84</v>
      </c>
      <c r="BQ8" t="n">
        <v>43</v>
      </c>
      <c r="BR8" t="n">
        <v>20</v>
      </c>
      <c r="BS8" t="n">
        <v>169</v>
      </c>
      <c r="BT8" t="n">
        <v>4.634</v>
      </c>
      <c r="BU8" t="n">
        <v>8</v>
      </c>
      <c r="BV8" t="n">
        <v>2</v>
      </c>
      <c r="BW8" t="n">
        <v>1.83</v>
      </c>
      <c r="BX8" t="n">
        <v>3.45</v>
      </c>
      <c r="BY8" t="n">
        <v>2.64</v>
      </c>
      <c r="BZ8" t="n">
        <v>0.07199999999999999</v>
      </c>
      <c r="CA8" t="n">
        <v>25.285</v>
      </c>
      <c r="CB8" t="n">
        <v>0.6929999999999999</v>
      </c>
      <c r="CC8" t="n">
        <v>24</v>
      </c>
      <c r="CD8" t="n">
        <v>6</v>
      </c>
      <c r="CE8" t="n">
        <v>24</v>
      </c>
      <c r="CF8" t="n">
        <v>7</v>
      </c>
      <c r="CG8" t="n">
        <v>2</v>
      </c>
      <c r="CI8" t="n">
        <v>22.693</v>
      </c>
      <c r="CJ8" t="n">
        <v>4.928</v>
      </c>
      <c r="CK8" t="n">
        <v>84</v>
      </c>
      <c r="CL8" t="n">
        <v>93</v>
      </c>
      <c r="CM8" t="n">
        <v>37</v>
      </c>
      <c r="CN8" t="n">
        <v>22</v>
      </c>
      <c r="CO8" t="n">
        <v>12</v>
      </c>
      <c r="CP8" t="n">
        <v>64</v>
      </c>
      <c r="CQ8" t="n">
        <v>8</v>
      </c>
      <c r="CR8" t="n">
        <v>203</v>
      </c>
      <c r="CS8" t="n">
        <v>112</v>
      </c>
      <c r="CT8" t="n">
        <v>0.4</v>
      </c>
      <c r="CV8" t="n">
        <v>2</v>
      </c>
      <c r="CW8" t="n">
        <v>53.17</v>
      </c>
      <c r="CX8" t="n">
        <v>1.458</v>
      </c>
      <c r="CY8" t="n">
        <v>0</v>
      </c>
      <c r="DB8" t="n">
        <v>0</v>
      </c>
      <c r="DE8" t="n">
        <v>7.14</v>
      </c>
      <c r="DF8" t="n">
        <v>7</v>
      </c>
      <c r="DG8" t="n">
        <v>0</v>
      </c>
      <c r="DH8" t="n">
        <v>73</v>
      </c>
      <c r="DI8" t="n">
        <v>26</v>
      </c>
      <c r="DL8" t="n">
        <v>29</v>
      </c>
      <c r="DM8" t="n">
        <v>42</v>
      </c>
      <c r="DN8" t="n">
        <v>23</v>
      </c>
      <c r="DO8" t="n">
        <v>16.1</v>
      </c>
      <c r="DP8" t="n">
        <v>167.6</v>
      </c>
      <c r="DQ8" t="n">
        <v>83.8</v>
      </c>
      <c r="DR8" t="n">
        <v>167.6</v>
      </c>
      <c r="DS8" t="n">
        <v>0</v>
      </c>
      <c r="DT8" t="n">
        <v>3209</v>
      </c>
      <c r="DU8" t="n">
        <v>84.45</v>
      </c>
      <c r="DV8" t="inlineStr">
        <is>
          <t>flat</t>
        </is>
      </c>
      <c r="DW8" t="n">
        <v>11.04</v>
      </c>
      <c r="DX8" t="n">
        <v>10.65</v>
      </c>
      <c r="DY8" t="n">
        <v>8.460000000000001</v>
      </c>
      <c r="DZ8" t="n">
        <v>2.5</v>
      </c>
      <c r="EA8" t="n">
        <v>90.40000000000001</v>
      </c>
      <c r="EB8" t="n">
        <v>179</v>
      </c>
      <c r="EC8" t="n">
        <v>86.09999999999999</v>
      </c>
      <c r="ED8" t="n">
        <v>16.4</v>
      </c>
      <c r="EE8" t="n">
        <v>9</v>
      </c>
      <c r="EF8" t="n">
        <v>39.1</v>
      </c>
      <c r="EG8" t="n">
        <v>19.4</v>
      </c>
      <c r="EH8" t="n">
        <v>136.8</v>
      </c>
      <c r="EI8" t="n">
        <v>144.9</v>
      </c>
      <c r="EJ8" t="n">
        <v>1243.2</v>
      </c>
      <c r="EK8" t="n">
        <v>129.8</v>
      </c>
      <c r="EL8" t="n">
        <v>18.1</v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n">
        <v>6.5</v>
      </c>
      <c r="F9" t="b">
        <v>1</v>
      </c>
      <c r="G9" t="b">
        <v>1</v>
      </c>
      <c r="H9" t="n">
        <v>23.8</v>
      </c>
      <c r="I9" t="inlineStr">
        <is>
          <t>a</t>
        </is>
      </c>
      <c r="L9" t="inlineStr">
        <is>
          <t>p215379</t>
        </is>
      </c>
      <c r="M9" t="n">
        <v>481</v>
      </c>
      <c r="O9" t="n">
        <v>3</v>
      </c>
      <c r="Q9" t="n">
        <v>3332</v>
      </c>
      <c r="R9" t="n">
        <v>38</v>
      </c>
      <c r="S9" t="n">
        <v>37</v>
      </c>
      <c r="T9" t="n">
        <v>37.022</v>
      </c>
      <c r="U9" t="n">
        <v>87.7</v>
      </c>
      <c r="V9" t="n">
        <v>180</v>
      </c>
      <c r="W9" t="n">
        <v>4.862</v>
      </c>
      <c r="X9" t="n">
        <v>4</v>
      </c>
      <c r="Y9" t="n">
        <v>5</v>
      </c>
      <c r="Z9" t="n">
        <v>4</v>
      </c>
      <c r="AA9" t="n">
        <v>10</v>
      </c>
      <c r="AB9" t="n">
        <v>50</v>
      </c>
      <c r="AC9" t="n">
        <v>16</v>
      </c>
      <c r="AD9" t="n">
        <v>18</v>
      </c>
      <c r="AE9" t="n">
        <v>2</v>
      </c>
      <c r="AF9" t="n">
        <v>795</v>
      </c>
      <c r="AG9" t="n">
        <v>775</v>
      </c>
      <c r="AH9" t="n">
        <v>-20</v>
      </c>
      <c r="AI9" t="n">
        <v>182</v>
      </c>
      <c r="AJ9" t="n">
        <v>0.089</v>
      </c>
      <c r="AK9" t="n">
        <v>0.098</v>
      </c>
      <c r="AL9" t="n">
        <v>515</v>
      </c>
      <c r="AM9" t="n">
        <v>13.911</v>
      </c>
      <c r="AN9" t="n">
        <v>26</v>
      </c>
      <c r="AO9" t="n">
        <v>52</v>
      </c>
      <c r="AP9" t="n">
        <v>0.703</v>
      </c>
      <c r="AQ9" t="n">
        <v>0.892</v>
      </c>
      <c r="AR9" t="n">
        <v>0.703</v>
      </c>
      <c r="AS9" t="n">
        <v>0.974</v>
      </c>
      <c r="AT9" t="n">
        <v>0.974</v>
      </c>
      <c r="AU9" t="n">
        <v>10</v>
      </c>
      <c r="AV9" t="n">
        <v>3</v>
      </c>
      <c r="AW9" t="n">
        <v>3.01</v>
      </c>
      <c r="AX9" t="n">
        <v>12</v>
      </c>
      <c r="AY9" t="n">
        <v>2.94</v>
      </c>
      <c r="AZ9" t="n">
        <v>3.444</v>
      </c>
      <c r="BA9" t="n">
        <v>3.192</v>
      </c>
      <c r="BB9" t="n">
        <v>2.683</v>
      </c>
      <c r="BC9" t="n">
        <v>0.079</v>
      </c>
      <c r="BD9" t="n">
        <v>0.093</v>
      </c>
      <c r="BE9" t="n">
        <v>0.08599999999999999</v>
      </c>
      <c r="BF9" t="n">
        <v>2.4</v>
      </c>
      <c r="BG9" t="n">
        <v>0.065</v>
      </c>
      <c r="BH9" t="n">
        <v>0.902</v>
      </c>
      <c r="BI9" t="n">
        <v>7.75</v>
      </c>
      <c r="BJ9" t="n">
        <v>2.651</v>
      </c>
      <c r="BK9" t="n">
        <v>0.07199999999999999</v>
      </c>
      <c r="BL9" t="n">
        <v>0.8080000000000001</v>
      </c>
      <c r="BM9" t="n">
        <v>-0.54</v>
      </c>
      <c r="BN9" t="n">
        <v>1.6</v>
      </c>
      <c r="BO9" t="n">
        <v>-0.504</v>
      </c>
      <c r="BP9" t="n">
        <v>44</v>
      </c>
      <c r="BQ9" t="n">
        <v>10</v>
      </c>
      <c r="BR9" t="n">
        <v>1</v>
      </c>
      <c r="BS9" t="n">
        <v>62</v>
      </c>
      <c r="BT9" t="n">
        <v>1.675</v>
      </c>
      <c r="BU9" t="n">
        <v>1</v>
      </c>
      <c r="BW9" t="n">
        <v>4.79</v>
      </c>
      <c r="BX9" t="n">
        <v>4.843</v>
      </c>
      <c r="BY9" t="n">
        <v>4.816</v>
      </c>
      <c r="BZ9" t="n">
        <v>0.13</v>
      </c>
      <c r="CA9" t="n">
        <v>8.007999999999999</v>
      </c>
      <c r="CB9" t="n">
        <v>0.216</v>
      </c>
      <c r="CC9" t="n">
        <v>55</v>
      </c>
      <c r="CD9" t="n">
        <v>9</v>
      </c>
      <c r="CE9" t="n">
        <v>54</v>
      </c>
      <c r="CF9" t="n">
        <v>51</v>
      </c>
      <c r="CG9" t="n">
        <v>2</v>
      </c>
      <c r="CH9" t="n">
        <v>87</v>
      </c>
      <c r="CI9" t="n">
        <v>16.283</v>
      </c>
      <c r="CJ9" t="n">
        <v>11.958</v>
      </c>
      <c r="CK9" t="n">
        <v>106</v>
      </c>
      <c r="CL9" t="n">
        <v>306</v>
      </c>
      <c r="CM9" t="n">
        <v>103</v>
      </c>
      <c r="CN9" t="n">
        <v>63</v>
      </c>
      <c r="CO9" t="n">
        <v>41</v>
      </c>
      <c r="CP9" t="n">
        <v>49</v>
      </c>
      <c r="CQ9" t="n">
        <v>16</v>
      </c>
      <c r="CR9" t="n">
        <v>297</v>
      </c>
      <c r="CS9" t="n">
        <v>66</v>
      </c>
      <c r="CT9" t="n">
        <v>0.7</v>
      </c>
      <c r="CV9" t="n">
        <v>4</v>
      </c>
      <c r="CW9" t="n">
        <v>53.65</v>
      </c>
      <c r="CX9" t="n">
        <v>1.449</v>
      </c>
      <c r="CY9" t="n">
        <v>0</v>
      </c>
      <c r="DB9" t="n">
        <v>0</v>
      </c>
      <c r="DE9" t="n">
        <v>7.51</v>
      </c>
      <c r="DF9" t="n">
        <v>8</v>
      </c>
      <c r="DG9" t="n">
        <v>0</v>
      </c>
      <c r="DH9" t="n">
        <v>57</v>
      </c>
      <c r="DI9" t="n">
        <v>80</v>
      </c>
      <c r="DK9" t="n">
        <v>1</v>
      </c>
      <c r="DL9" t="n">
        <v>50</v>
      </c>
      <c r="DM9" t="n">
        <v>62</v>
      </c>
      <c r="DN9" t="n">
        <v>2</v>
      </c>
      <c r="DO9" t="n">
        <v>11.1</v>
      </c>
      <c r="DP9" t="n">
        <v>116.9</v>
      </c>
      <c r="DQ9" t="n">
        <v>63.21</v>
      </c>
      <c r="DR9" t="n">
        <v>126.42</v>
      </c>
      <c r="DS9" t="n">
        <v>-9.52</v>
      </c>
      <c r="DT9" t="n">
        <v>2096</v>
      </c>
      <c r="DU9" t="n">
        <v>55.17</v>
      </c>
      <c r="DV9" t="inlineStr">
        <is>
          <t>flat</t>
        </is>
      </c>
      <c r="DW9" t="n">
        <v>32.44</v>
      </c>
      <c r="DX9" t="n">
        <v>34</v>
      </c>
      <c r="DY9" t="n">
        <v>15.95</v>
      </c>
      <c r="DZ9" t="n">
        <v>8</v>
      </c>
      <c r="EA9" t="n">
        <v>96</v>
      </c>
      <c r="EB9" t="n">
        <v>189</v>
      </c>
      <c r="EC9" t="n">
        <v>90.90000000000001</v>
      </c>
      <c r="ED9" t="n">
        <v>11.3</v>
      </c>
      <c r="EE9" t="n">
        <v>31</v>
      </c>
      <c r="EF9" t="n">
        <v>75.7</v>
      </c>
      <c r="EG9" t="n">
        <v>53.7</v>
      </c>
      <c r="EH9" t="n">
        <v>61.7</v>
      </c>
      <c r="EI9" t="n">
        <v>1043.8</v>
      </c>
      <c r="EJ9" t="n">
        <v>691.8</v>
      </c>
      <c r="EK9" t="n">
        <v>416.1</v>
      </c>
      <c r="EL9" t="n">
        <v>18.5</v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n">
        <v>6</v>
      </c>
      <c r="F10" t="b">
        <v>1</v>
      </c>
      <c r="G10" t="b">
        <v>1</v>
      </c>
      <c r="H10" t="n">
        <v>26.1</v>
      </c>
      <c r="I10" t="inlineStr">
        <is>
          <t>a</t>
        </is>
      </c>
      <c r="L10" t="inlineStr">
        <is>
          <t>p209036</t>
        </is>
      </c>
      <c r="M10" t="n">
        <v>388</v>
      </c>
      <c r="Q10" t="n">
        <v>3150</v>
      </c>
      <c r="R10" t="n">
        <v>35</v>
      </c>
      <c r="S10" t="n">
        <v>35</v>
      </c>
      <c r="T10" t="n">
        <v>35</v>
      </c>
      <c r="U10" t="n">
        <v>90</v>
      </c>
      <c r="V10" t="n">
        <v>179</v>
      </c>
      <c r="W10" t="n">
        <v>5.114</v>
      </c>
      <c r="X10" t="n">
        <v>3</v>
      </c>
      <c r="Y10" t="n">
        <v>5</v>
      </c>
      <c r="Z10" t="n">
        <v>3</v>
      </c>
      <c r="AA10" t="n">
        <v>14</v>
      </c>
      <c r="AB10" t="n">
        <v>35</v>
      </c>
      <c r="AC10" t="n">
        <v>14</v>
      </c>
      <c r="AD10" t="n">
        <v>12</v>
      </c>
      <c r="AE10" t="n">
        <v>-2</v>
      </c>
      <c r="AF10" t="n">
        <v>688</v>
      </c>
      <c r="AG10" t="n">
        <v>647</v>
      </c>
      <c r="AH10" t="n">
        <v>-41</v>
      </c>
      <c r="AI10" t="n">
        <v>177</v>
      </c>
      <c r="AJ10" t="n">
        <v>0.078</v>
      </c>
      <c r="AK10" t="n">
        <v>0.08500000000000001</v>
      </c>
      <c r="AL10" t="n">
        <v>278</v>
      </c>
      <c r="AM10" t="n">
        <v>7.943</v>
      </c>
      <c r="AN10" t="n">
        <v>11</v>
      </c>
      <c r="AO10" t="n">
        <v>22</v>
      </c>
      <c r="AP10" t="n">
        <v>0.314</v>
      </c>
      <c r="AQ10" t="n">
        <v>0.314</v>
      </c>
      <c r="AR10" t="n">
        <v>0.114</v>
      </c>
      <c r="AS10" t="n">
        <v>0.921</v>
      </c>
      <c r="AT10" t="n">
        <v>1</v>
      </c>
      <c r="AU10" t="n">
        <v>12</v>
      </c>
      <c r="AV10" t="n">
        <v>4</v>
      </c>
      <c r="AW10" t="n">
        <v>4</v>
      </c>
      <c r="AX10" t="n">
        <v>15</v>
      </c>
      <c r="AY10" t="n">
        <v>4.05</v>
      </c>
      <c r="AZ10" t="n">
        <v>4.697</v>
      </c>
      <c r="BA10" t="n">
        <v>4.374</v>
      </c>
      <c r="BB10" t="n">
        <v>4.697</v>
      </c>
      <c r="BC10" t="n">
        <v>0.116</v>
      </c>
      <c r="BD10" t="n">
        <v>0.134</v>
      </c>
      <c r="BE10" t="n">
        <v>0.125</v>
      </c>
      <c r="BF10" t="n">
        <v>4</v>
      </c>
      <c r="BG10" t="n">
        <v>0.114</v>
      </c>
      <c r="BH10" t="n">
        <v>1.084</v>
      </c>
      <c r="BI10" t="n">
        <v>7.96</v>
      </c>
      <c r="BJ10" t="n">
        <v>4.39</v>
      </c>
      <c r="BK10" t="n">
        <v>0.125</v>
      </c>
      <c r="BL10" t="n">
        <v>-1.374</v>
      </c>
      <c r="BM10" t="n">
        <v>-0.05</v>
      </c>
      <c r="BN10" t="n">
        <v>-1</v>
      </c>
      <c r="BO10" t="n">
        <v>-0.647</v>
      </c>
      <c r="BP10" t="n">
        <v>32</v>
      </c>
      <c r="BQ10" t="n">
        <v>9</v>
      </c>
      <c r="BR10" t="n">
        <v>6</v>
      </c>
      <c r="BS10" t="n">
        <v>62</v>
      </c>
      <c r="BT10" t="n">
        <v>1.771</v>
      </c>
      <c r="BV10" t="n">
        <v>1</v>
      </c>
      <c r="BW10" t="n">
        <v>2.37</v>
      </c>
      <c r="BX10" t="n">
        <v>2.727</v>
      </c>
      <c r="BY10" t="n">
        <v>2.548</v>
      </c>
      <c r="BZ10" t="n">
        <v>0.073</v>
      </c>
      <c r="CA10" t="n">
        <v>6.922</v>
      </c>
      <c r="CB10" t="n">
        <v>0.198</v>
      </c>
      <c r="CC10" t="n">
        <v>18</v>
      </c>
      <c r="CD10" t="n">
        <v>5</v>
      </c>
      <c r="CE10" t="n">
        <v>18</v>
      </c>
      <c r="CF10" t="n">
        <v>3</v>
      </c>
      <c r="CG10" t="n">
        <v>3</v>
      </c>
      <c r="CH10" t="n">
        <v>2</v>
      </c>
      <c r="CI10" t="n">
        <v>17.673</v>
      </c>
      <c r="CJ10" t="n">
        <v>15.488</v>
      </c>
      <c r="CK10" t="n">
        <v>232</v>
      </c>
      <c r="CL10" t="n">
        <v>139</v>
      </c>
      <c r="CM10" t="n">
        <v>46</v>
      </c>
      <c r="CN10" t="n">
        <v>31</v>
      </c>
      <c r="CO10" t="n">
        <v>50</v>
      </c>
      <c r="CP10" t="n">
        <v>164</v>
      </c>
      <c r="CQ10" t="n">
        <v>23</v>
      </c>
      <c r="CR10" t="n">
        <v>194</v>
      </c>
      <c r="CS10" t="n">
        <v>103</v>
      </c>
      <c r="CT10" t="n">
        <v>0.1</v>
      </c>
      <c r="CU10" t="n">
        <v>2</v>
      </c>
      <c r="CV10" t="n">
        <v>0</v>
      </c>
      <c r="CW10" t="n">
        <v>44.58</v>
      </c>
      <c r="CX10" t="n">
        <v>1.274</v>
      </c>
      <c r="CY10" t="n">
        <v>0</v>
      </c>
      <c r="DB10" t="n">
        <v>0</v>
      </c>
      <c r="DE10" t="n">
        <v>7.37</v>
      </c>
      <c r="DF10" t="n">
        <v>6</v>
      </c>
      <c r="DG10" t="n">
        <v>0</v>
      </c>
      <c r="DH10" t="n">
        <v>25</v>
      </c>
      <c r="DI10" t="n">
        <v>38</v>
      </c>
      <c r="DJ10" t="n">
        <v>1</v>
      </c>
      <c r="DL10" t="n">
        <v>7</v>
      </c>
      <c r="DM10" t="n">
        <v>18</v>
      </c>
      <c r="DO10" t="n">
        <v>22.6</v>
      </c>
      <c r="DP10" t="n">
        <v>116.75</v>
      </c>
      <c r="DQ10" t="n">
        <v>58.17</v>
      </c>
      <c r="DR10" t="n">
        <v>116.34</v>
      </c>
      <c r="DS10" t="n">
        <v>0.41</v>
      </c>
      <c r="DT10" t="n">
        <v>2611</v>
      </c>
      <c r="DU10" t="n">
        <v>68.7</v>
      </c>
      <c r="DV10" t="inlineStr">
        <is>
          <t>flat</t>
        </is>
      </c>
      <c r="DW10" t="n">
        <v>29.15</v>
      </c>
      <c r="DX10" t="n">
        <v>33.93</v>
      </c>
      <c r="DY10" t="n">
        <v>10.66</v>
      </c>
      <c r="DZ10" t="n">
        <v>8.5</v>
      </c>
      <c r="EA10" t="n">
        <v>66.67</v>
      </c>
      <c r="EB10" t="n">
        <v>192</v>
      </c>
      <c r="EC10" t="n">
        <v>92.3</v>
      </c>
      <c r="ED10" t="n">
        <v>10.3</v>
      </c>
      <c r="EE10" t="n">
        <v>56</v>
      </c>
      <c r="EF10" t="n">
        <v>98.40000000000001</v>
      </c>
      <c r="EG10" t="n">
        <v>50.8</v>
      </c>
      <c r="EH10" t="n">
        <v>175</v>
      </c>
      <c r="EI10" t="n">
        <v>720.2</v>
      </c>
      <c r="EJ10" t="n">
        <v>1236.1</v>
      </c>
      <c r="EK10" t="n">
        <v>455.1</v>
      </c>
      <c r="EL10" t="n">
        <v>17.6</v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n">
        <v>7.5</v>
      </c>
      <c r="F11" t="b">
        <v>1</v>
      </c>
      <c r="G11" t="b">
        <v>1</v>
      </c>
      <c r="H11" t="n">
        <v>24.9</v>
      </c>
      <c r="I11" t="inlineStr">
        <is>
          <t>a</t>
        </is>
      </c>
      <c r="L11" t="inlineStr">
        <is>
          <t>p475168</t>
        </is>
      </c>
      <c r="M11" t="n">
        <v>165</v>
      </c>
      <c r="Q11" t="n">
        <v>2658</v>
      </c>
      <c r="R11" t="n">
        <v>35</v>
      </c>
      <c r="S11" t="n">
        <v>31</v>
      </c>
      <c r="T11" t="n">
        <v>29.533</v>
      </c>
      <c r="U11" t="n">
        <v>75.90000000000001</v>
      </c>
      <c r="V11" t="n">
        <v>177</v>
      </c>
      <c r="W11" t="n">
        <v>5.993</v>
      </c>
      <c r="X11" t="n">
        <v>15</v>
      </c>
      <c r="Y11" t="n">
        <v>9</v>
      </c>
      <c r="Z11" t="n">
        <v>5</v>
      </c>
      <c r="AA11" t="n">
        <v>10</v>
      </c>
      <c r="AB11" t="n">
        <v>36</v>
      </c>
      <c r="AC11" t="n">
        <v>30</v>
      </c>
      <c r="AD11" t="n">
        <v>30</v>
      </c>
      <c r="AE11" t="n">
        <v>0</v>
      </c>
      <c r="AF11" t="n">
        <v>715</v>
      </c>
      <c r="AG11" t="n">
        <v>710</v>
      </c>
      <c r="AH11" t="n">
        <v>-5</v>
      </c>
      <c r="AI11" t="n">
        <v>177</v>
      </c>
      <c r="AJ11" t="n">
        <v>0.169</v>
      </c>
      <c r="AK11" t="n">
        <v>0.204</v>
      </c>
      <c r="AL11" t="n">
        <v>138</v>
      </c>
      <c r="AM11" t="n">
        <v>4.673</v>
      </c>
      <c r="AN11" t="n">
        <v>0</v>
      </c>
      <c r="AO11" t="n">
        <v>0</v>
      </c>
      <c r="AP11" t="n">
        <v>0</v>
      </c>
      <c r="AQ11" t="n">
        <v>0.032</v>
      </c>
      <c r="AR11" t="n">
        <v>0</v>
      </c>
      <c r="AS11" t="n">
        <v>0.8159999999999999</v>
      </c>
      <c r="AT11" t="n">
        <v>0.857</v>
      </c>
      <c r="AU11" t="n">
        <v>20</v>
      </c>
      <c r="AV11" t="n">
        <v>5</v>
      </c>
      <c r="AW11" t="n">
        <v>4.56</v>
      </c>
      <c r="AX11" t="n">
        <v>19</v>
      </c>
      <c r="AY11" t="n">
        <v>14.91</v>
      </c>
      <c r="AZ11" t="n">
        <v>15.724</v>
      </c>
      <c r="BA11" t="n">
        <v>15.317</v>
      </c>
      <c r="BB11" t="n">
        <v>15.724</v>
      </c>
      <c r="BC11" t="n">
        <v>0.505</v>
      </c>
      <c r="BD11" t="n">
        <v>0.532</v>
      </c>
      <c r="BE11" t="n">
        <v>0.519</v>
      </c>
      <c r="BF11" t="n">
        <v>15.2</v>
      </c>
      <c r="BG11" t="n">
        <v>0.515</v>
      </c>
      <c r="BH11" t="n">
        <v>1.003</v>
      </c>
      <c r="BI11" t="n">
        <v>35.88</v>
      </c>
      <c r="BJ11" t="n">
        <v>14.951</v>
      </c>
      <c r="BK11" t="n">
        <v>0.506</v>
      </c>
      <c r="BL11" t="n">
        <v>-0.317</v>
      </c>
      <c r="BM11" t="n">
        <v>0.29</v>
      </c>
      <c r="BN11" t="n">
        <v>-0.2</v>
      </c>
      <c r="BO11" t="n">
        <v>-0.8139999999999999</v>
      </c>
      <c r="BP11" t="n">
        <v>73</v>
      </c>
      <c r="BQ11" t="n">
        <v>28</v>
      </c>
      <c r="BR11" t="n">
        <v>12</v>
      </c>
      <c r="BS11" t="n">
        <v>145</v>
      </c>
      <c r="BT11" t="n">
        <v>4.91</v>
      </c>
      <c r="BV11" t="n">
        <v>3</v>
      </c>
      <c r="BW11" t="n">
        <v>1.96</v>
      </c>
      <c r="BX11" t="n">
        <v>3.984</v>
      </c>
      <c r="BY11" t="n">
        <v>2.972</v>
      </c>
      <c r="BZ11" t="n">
        <v>0.101</v>
      </c>
      <c r="CA11" t="n">
        <v>18.289</v>
      </c>
      <c r="CB11" t="n">
        <v>0.619</v>
      </c>
      <c r="CC11" t="n">
        <v>29</v>
      </c>
      <c r="CD11" t="n">
        <v>6</v>
      </c>
      <c r="CE11" t="n">
        <v>29</v>
      </c>
      <c r="CF11" t="n">
        <v>1</v>
      </c>
      <c r="CG11" t="n">
        <v>5</v>
      </c>
      <c r="CI11" t="n">
        <v>19.28</v>
      </c>
      <c r="CJ11" t="n">
        <v>4.796</v>
      </c>
      <c r="CK11" t="n">
        <v>39</v>
      </c>
      <c r="CL11" t="n">
        <v>72</v>
      </c>
      <c r="CM11" t="n">
        <v>27</v>
      </c>
      <c r="CN11" t="n">
        <v>18</v>
      </c>
      <c r="CO11" t="n">
        <v>7</v>
      </c>
      <c r="CP11" t="n">
        <v>27</v>
      </c>
      <c r="CQ11" t="n">
        <v>5</v>
      </c>
      <c r="CR11" t="n">
        <v>196</v>
      </c>
      <c r="CS11" t="n">
        <v>74</v>
      </c>
      <c r="CT11" t="n">
        <v>0.5</v>
      </c>
      <c r="CU11" t="n">
        <v>0</v>
      </c>
      <c r="CW11" t="n">
        <v>37.25</v>
      </c>
      <c r="CX11" t="n">
        <v>1.261</v>
      </c>
      <c r="CY11" t="n">
        <v>0</v>
      </c>
      <c r="DB11" t="n">
        <v>0</v>
      </c>
      <c r="DE11" t="n">
        <v>7.18</v>
      </c>
      <c r="DF11" t="n">
        <v>5</v>
      </c>
      <c r="DG11" t="n">
        <v>0</v>
      </c>
      <c r="DH11" t="n">
        <v>38</v>
      </c>
      <c r="DI11" t="n">
        <v>56</v>
      </c>
      <c r="DJ11" t="n">
        <v>3</v>
      </c>
      <c r="DL11" t="n">
        <v>40</v>
      </c>
      <c r="DM11" t="n">
        <v>55</v>
      </c>
      <c r="DN11" t="n">
        <v>16</v>
      </c>
      <c r="DO11" t="n">
        <v>55.9</v>
      </c>
      <c r="DP11" t="n">
        <v>176.3</v>
      </c>
      <c r="DQ11" t="n">
        <v>88.23</v>
      </c>
      <c r="DR11" t="n">
        <v>176.46</v>
      </c>
      <c r="DS11" t="n">
        <v>-0.16</v>
      </c>
      <c r="DT11" t="n">
        <v>2890</v>
      </c>
      <c r="DU11" t="n">
        <v>76.05</v>
      </c>
      <c r="DV11" t="inlineStr">
        <is>
          <t>flat</t>
        </is>
      </c>
      <c r="DW11" t="n">
        <v>7.45</v>
      </c>
      <c r="DX11" t="n">
        <v>8</v>
      </c>
      <c r="DY11" t="n">
        <v>5.87</v>
      </c>
      <c r="DZ11" t="n">
        <v>0.8</v>
      </c>
      <c r="EA11" t="n">
        <v>65.59999999999999</v>
      </c>
      <c r="EB11" t="n">
        <v>199</v>
      </c>
      <c r="EC11" t="n">
        <v>95.7</v>
      </c>
      <c r="ED11" t="n">
        <v>7.4</v>
      </c>
      <c r="EE11" t="n">
        <v>14</v>
      </c>
      <c r="EF11" t="n">
        <v>36.4</v>
      </c>
      <c r="EG11" t="n">
        <v>18.3</v>
      </c>
      <c r="EH11" t="n">
        <v>91.7</v>
      </c>
      <c r="EI11" t="n">
        <v>173.5</v>
      </c>
      <c r="EJ11" t="n">
        <v>894.4</v>
      </c>
      <c r="EK11" t="n">
        <v>145.3</v>
      </c>
      <c r="EL11" t="n">
        <v>15</v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n">
        <v>6.5</v>
      </c>
      <c r="F12" t="b">
        <v>1</v>
      </c>
      <c r="G12" t="b">
        <v>1</v>
      </c>
      <c r="H12" t="n">
        <v>35.1</v>
      </c>
      <c r="I12" t="inlineStr">
        <is>
          <t>a</t>
        </is>
      </c>
      <c r="L12" t="inlineStr">
        <is>
          <t>p97032</t>
        </is>
      </c>
      <c r="M12" t="n">
        <v>356</v>
      </c>
      <c r="Q12" t="n">
        <v>3420</v>
      </c>
      <c r="R12" t="n">
        <v>38</v>
      </c>
      <c r="S12" t="n">
        <v>38</v>
      </c>
      <c r="T12" t="n">
        <v>38</v>
      </c>
      <c r="U12" t="n">
        <v>90</v>
      </c>
      <c r="V12" t="n">
        <v>175</v>
      </c>
      <c r="W12" t="n">
        <v>4.605</v>
      </c>
      <c r="X12" t="n">
        <v>6</v>
      </c>
      <c r="Y12" t="n">
        <v>1</v>
      </c>
      <c r="AA12" t="n">
        <v>10</v>
      </c>
      <c r="AB12" t="n">
        <v>53</v>
      </c>
      <c r="AC12" t="n">
        <v>10</v>
      </c>
      <c r="AD12" t="n">
        <v>9</v>
      </c>
      <c r="AE12" t="n">
        <v>-1</v>
      </c>
      <c r="AF12" t="n">
        <v>593</v>
      </c>
      <c r="AG12" t="n">
        <v>534</v>
      </c>
      <c r="AH12" t="n">
        <v>-59</v>
      </c>
      <c r="AI12" t="n">
        <v>174</v>
      </c>
      <c r="AJ12" t="n">
        <v>0.057</v>
      </c>
      <c r="AK12" t="n">
        <v>0.061</v>
      </c>
      <c r="AL12" t="n">
        <v>352</v>
      </c>
      <c r="AM12" t="n">
        <v>9.263</v>
      </c>
      <c r="AN12" t="n">
        <v>16</v>
      </c>
      <c r="AO12" t="n">
        <v>32</v>
      </c>
      <c r="AP12" t="n">
        <v>0.421</v>
      </c>
      <c r="AQ12" t="n">
        <v>0.421</v>
      </c>
      <c r="AR12" t="n">
        <v>0.289</v>
      </c>
      <c r="AS12" t="n">
        <v>1</v>
      </c>
      <c r="AT12" t="n">
        <v>1</v>
      </c>
      <c r="AU12" t="n">
        <v>14</v>
      </c>
      <c r="AV12" t="n">
        <v>3</v>
      </c>
      <c r="AW12" t="n">
        <v>3.77</v>
      </c>
      <c r="AX12" t="n">
        <v>17</v>
      </c>
      <c r="AY12" t="n">
        <v>3.77</v>
      </c>
      <c r="AZ12" t="n">
        <v>4.891</v>
      </c>
      <c r="BA12" t="n">
        <v>4.331</v>
      </c>
      <c r="BB12" t="n">
        <v>4.891</v>
      </c>
      <c r="BC12" t="n">
        <v>0.099</v>
      </c>
      <c r="BD12" t="n">
        <v>0.129</v>
      </c>
      <c r="BE12" t="n">
        <v>0.114</v>
      </c>
      <c r="BF12" t="n">
        <v>4.9</v>
      </c>
      <c r="BG12" t="n">
        <v>0.129</v>
      </c>
      <c r="BH12" t="n">
        <v>0.991</v>
      </c>
      <c r="BI12" t="n">
        <v>11.37</v>
      </c>
      <c r="BJ12" t="n">
        <v>3.737</v>
      </c>
      <c r="BK12" t="n">
        <v>0.098</v>
      </c>
      <c r="BL12" t="n">
        <v>1.669</v>
      </c>
      <c r="BM12" t="n">
        <v>1.13</v>
      </c>
      <c r="BN12" t="n">
        <v>1.1</v>
      </c>
      <c r="BO12" t="n">
        <v>-1.121</v>
      </c>
      <c r="BP12" t="n">
        <v>30</v>
      </c>
      <c r="BQ12" t="n">
        <v>14</v>
      </c>
      <c r="BR12" t="n">
        <v>8</v>
      </c>
      <c r="BS12" t="n">
        <v>71</v>
      </c>
      <c r="BT12" t="n">
        <v>1.868</v>
      </c>
      <c r="BV12" t="n">
        <v>5</v>
      </c>
      <c r="BW12" t="n">
        <v>1.44</v>
      </c>
      <c r="BX12" t="n">
        <v>0.329</v>
      </c>
      <c r="BY12" t="n">
        <v>0.884</v>
      </c>
      <c r="BZ12" t="n">
        <v>0.023</v>
      </c>
      <c r="CA12" t="n">
        <v>5.215</v>
      </c>
      <c r="CB12" t="n">
        <v>0.137</v>
      </c>
      <c r="CC12" t="n">
        <v>11</v>
      </c>
      <c r="CE12" t="n">
        <v>12</v>
      </c>
      <c r="CG12" t="n">
        <v>1</v>
      </c>
      <c r="CI12" t="n">
        <v>12.486</v>
      </c>
      <c r="CJ12" t="n">
        <v>11.383</v>
      </c>
      <c r="CK12" t="n">
        <v>329</v>
      </c>
      <c r="CL12" t="n">
        <v>87</v>
      </c>
      <c r="CM12" t="n">
        <v>23</v>
      </c>
      <c r="CN12" t="n">
        <v>13</v>
      </c>
      <c r="CO12" t="n">
        <v>28</v>
      </c>
      <c r="CP12" t="n">
        <v>275</v>
      </c>
      <c r="CQ12" t="n">
        <v>26</v>
      </c>
      <c r="CR12" t="n">
        <v>216</v>
      </c>
      <c r="CS12" t="n">
        <v>174</v>
      </c>
      <c r="CT12" t="n">
        <v>0.1</v>
      </c>
      <c r="CU12" t="n">
        <v>2</v>
      </c>
      <c r="CV12" t="n">
        <v>2</v>
      </c>
      <c r="CW12" t="n">
        <v>47.63</v>
      </c>
      <c r="CX12" t="n">
        <v>1.253</v>
      </c>
      <c r="CY12" t="n">
        <v>0</v>
      </c>
      <c r="DB12" t="n">
        <v>0</v>
      </c>
      <c r="DE12" t="n">
        <v>7.26</v>
      </c>
      <c r="DF12" t="n">
        <v>4</v>
      </c>
      <c r="DG12" t="n">
        <v>0</v>
      </c>
      <c r="DH12" t="n">
        <v>19</v>
      </c>
      <c r="DI12" t="n">
        <v>18</v>
      </c>
      <c r="DK12" t="n">
        <v>1</v>
      </c>
      <c r="DL12" t="n">
        <v>2</v>
      </c>
      <c r="DM12" t="n">
        <v>1</v>
      </c>
      <c r="DN12" t="n">
        <v>1</v>
      </c>
      <c r="DO12" t="n">
        <v>16.9</v>
      </c>
      <c r="DP12" t="n">
        <v>158.96</v>
      </c>
      <c r="DQ12" t="n">
        <v>79.48</v>
      </c>
      <c r="DR12" t="n">
        <v>158.96</v>
      </c>
      <c r="DS12" t="n">
        <v>0</v>
      </c>
      <c r="DT12" t="n">
        <v>3340</v>
      </c>
      <c r="DU12" t="n">
        <v>87.90000000000001</v>
      </c>
      <c r="DV12" t="inlineStr">
        <is>
          <t>flat</t>
        </is>
      </c>
      <c r="DW12" t="n">
        <v>23.94</v>
      </c>
      <c r="DX12" t="n">
        <v>26.68</v>
      </c>
      <c r="DY12" t="n">
        <v>8.050000000000001</v>
      </c>
      <c r="DZ12" t="n">
        <v>8.57</v>
      </c>
      <c r="EA12" t="n">
        <v>56</v>
      </c>
      <c r="EB12" t="n">
        <v>192</v>
      </c>
      <c r="EC12" t="n">
        <v>92.3</v>
      </c>
      <c r="ED12" t="n">
        <v>10.3</v>
      </c>
      <c r="EE12" t="n">
        <v>32</v>
      </c>
      <c r="EF12" t="n">
        <v>114</v>
      </c>
      <c r="EG12" t="n">
        <v>48.2</v>
      </c>
      <c r="EH12" t="n">
        <v>285</v>
      </c>
      <c r="EI12" t="n">
        <v>789.7</v>
      </c>
      <c r="EJ12" t="n">
        <v>3867.6</v>
      </c>
      <c r="EK12" t="n">
        <v>655.8</v>
      </c>
      <c r="EL12" t="n">
        <v>19.5</v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n">
        <v>6</v>
      </c>
      <c r="F13" t="b">
        <v>1</v>
      </c>
      <c r="G13" t="b">
        <v>1</v>
      </c>
      <c r="H13" t="n">
        <v>29.3</v>
      </c>
      <c r="I13" t="inlineStr">
        <is>
          <t>a</t>
        </is>
      </c>
      <c r="L13" t="inlineStr">
        <is>
          <t>p221466</t>
        </is>
      </c>
      <c r="M13" t="n">
        <v>498</v>
      </c>
      <c r="Q13" t="n">
        <v>3288</v>
      </c>
      <c r="R13" t="n">
        <v>37</v>
      </c>
      <c r="S13" t="n">
        <v>37</v>
      </c>
      <c r="T13" t="n">
        <v>36.533</v>
      </c>
      <c r="U13" t="n">
        <v>88.90000000000001</v>
      </c>
      <c r="V13" t="n">
        <v>175</v>
      </c>
      <c r="W13" t="n">
        <v>4.79</v>
      </c>
      <c r="X13" t="n">
        <v>0</v>
      </c>
      <c r="Y13" t="n">
        <v>6</v>
      </c>
      <c r="Z13" t="n">
        <v>5</v>
      </c>
      <c r="AA13" t="n">
        <v>11</v>
      </c>
      <c r="AB13" t="n">
        <v>53</v>
      </c>
      <c r="AC13" t="n">
        <v>14</v>
      </c>
      <c r="AD13" t="n">
        <v>12</v>
      </c>
      <c r="AE13" t="n">
        <v>-2</v>
      </c>
      <c r="AF13" t="n">
        <v>571</v>
      </c>
      <c r="AG13" t="n">
        <v>508</v>
      </c>
      <c r="AH13" t="n">
        <v>-63</v>
      </c>
      <c r="AI13" t="n">
        <v>173</v>
      </c>
      <c r="AJ13" t="n">
        <v>0.08</v>
      </c>
      <c r="AK13" t="n">
        <v>0.08699999999999999</v>
      </c>
      <c r="AL13" t="n">
        <v>419</v>
      </c>
      <c r="AM13" t="n">
        <v>11.469</v>
      </c>
      <c r="AN13" t="n">
        <v>26</v>
      </c>
      <c r="AO13" t="n">
        <v>52</v>
      </c>
      <c r="AP13" t="n">
        <v>0.703</v>
      </c>
      <c r="AQ13" t="n">
        <v>0.703</v>
      </c>
      <c r="AR13" t="n">
        <v>0.432</v>
      </c>
      <c r="AS13" t="n">
        <v>0.974</v>
      </c>
      <c r="AT13" t="n">
        <v>1</v>
      </c>
      <c r="AU13" t="n">
        <v>13</v>
      </c>
      <c r="AV13" t="n">
        <v>4</v>
      </c>
      <c r="AW13" t="n">
        <v>3.58</v>
      </c>
      <c r="AX13" t="n">
        <v>14</v>
      </c>
      <c r="AY13" t="n">
        <v>1.53</v>
      </c>
      <c r="AZ13" t="n">
        <v>1.851</v>
      </c>
      <c r="BA13" t="n">
        <v>1.69</v>
      </c>
      <c r="BB13" t="n">
        <v>1.851</v>
      </c>
      <c r="BC13" t="n">
        <v>0.042</v>
      </c>
      <c r="BD13" t="n">
        <v>0.051</v>
      </c>
      <c r="BE13" t="n">
        <v>0.046</v>
      </c>
      <c r="BF13" t="n">
        <v>0.5</v>
      </c>
      <c r="BG13" t="n">
        <v>0.014</v>
      </c>
      <c r="BH13" t="n">
        <v>0.799</v>
      </c>
      <c r="BI13" t="n">
        <v>6.01</v>
      </c>
      <c r="BJ13" t="n">
        <v>1.223</v>
      </c>
      <c r="BK13" t="n">
        <v>0.033</v>
      </c>
      <c r="BL13" t="n">
        <v>-1.69</v>
      </c>
      <c r="BM13" t="n">
        <v>-1.03</v>
      </c>
      <c r="BN13" t="n">
        <v>-0.5</v>
      </c>
      <c r="BO13" t="n">
        <v>-0.321</v>
      </c>
      <c r="BP13" t="n">
        <v>17</v>
      </c>
      <c r="BQ13" t="n">
        <v>5</v>
      </c>
      <c r="BR13" t="n">
        <v>2</v>
      </c>
      <c r="BS13" t="n">
        <v>53</v>
      </c>
      <c r="BT13" t="n">
        <v>1.451</v>
      </c>
      <c r="BW13" t="n">
        <v>4.72</v>
      </c>
      <c r="BX13" t="n">
        <v>4.027</v>
      </c>
      <c r="BY13" t="n">
        <v>4.373</v>
      </c>
      <c r="BZ13" t="n">
        <v>0.12</v>
      </c>
      <c r="CA13" t="n">
        <v>6.064</v>
      </c>
      <c r="CB13" t="n">
        <v>0.166</v>
      </c>
      <c r="CC13" t="n">
        <v>24</v>
      </c>
      <c r="CD13" t="n">
        <v>7</v>
      </c>
      <c r="CE13" t="n">
        <v>24</v>
      </c>
      <c r="CF13" t="n">
        <v>8</v>
      </c>
      <c r="CG13" t="n">
        <v>10</v>
      </c>
      <c r="CI13" t="n">
        <v>14.265</v>
      </c>
      <c r="CJ13" t="n">
        <v>10.906</v>
      </c>
      <c r="CK13" t="n">
        <v>357</v>
      </c>
      <c r="CL13" t="n">
        <v>155</v>
      </c>
      <c r="CM13" t="n">
        <v>62</v>
      </c>
      <c r="CN13" t="n">
        <v>35</v>
      </c>
      <c r="CO13" t="n">
        <v>56</v>
      </c>
      <c r="CP13" t="n">
        <v>253</v>
      </c>
      <c r="CQ13" t="n">
        <v>47</v>
      </c>
      <c r="CR13" t="n">
        <v>196</v>
      </c>
      <c r="CS13" t="n">
        <v>92</v>
      </c>
      <c r="CT13" t="n">
        <v>0.1</v>
      </c>
      <c r="CV13" t="n">
        <v>2</v>
      </c>
      <c r="CW13" t="n">
        <v>54.77</v>
      </c>
      <c r="CX13" t="n">
        <v>1.499</v>
      </c>
      <c r="CY13" t="n">
        <v>0</v>
      </c>
      <c r="DB13" t="n">
        <v>0</v>
      </c>
      <c r="DE13" t="n">
        <v>7.19</v>
      </c>
      <c r="DF13" t="n">
        <v>8</v>
      </c>
      <c r="DG13" t="n">
        <v>0</v>
      </c>
      <c r="DH13" t="n">
        <v>34</v>
      </c>
      <c r="DI13" t="n">
        <v>37</v>
      </c>
      <c r="DJ13" t="n">
        <v>1</v>
      </c>
      <c r="DL13" t="n">
        <v>6</v>
      </c>
      <c r="DM13" t="n">
        <v>14</v>
      </c>
      <c r="DN13" t="n">
        <v>1</v>
      </c>
      <c r="DO13" t="n">
        <v>10.2</v>
      </c>
      <c r="DP13" t="n">
        <v>71.48</v>
      </c>
      <c r="DQ13" t="n">
        <v>35.74</v>
      </c>
      <c r="DR13" t="n">
        <v>71.48</v>
      </c>
      <c r="DS13" t="n">
        <v>0</v>
      </c>
      <c r="DT13" t="n">
        <v>1573</v>
      </c>
      <c r="DU13" t="n">
        <v>41.4</v>
      </c>
      <c r="DV13" t="inlineStr">
        <is>
          <t>flat</t>
        </is>
      </c>
      <c r="DW13" t="n">
        <v>48.99</v>
      </c>
      <c r="DX13" t="n">
        <v>51.57</v>
      </c>
      <c r="DY13" t="n">
        <v>17.56</v>
      </c>
      <c r="DZ13" t="n">
        <v>20.67</v>
      </c>
      <c r="EA13" t="n">
        <v>119</v>
      </c>
      <c r="EB13" t="n">
        <v>165</v>
      </c>
      <c r="EC13" t="n">
        <v>79.3</v>
      </c>
      <c r="ED13" t="n">
        <v>21.4</v>
      </c>
      <c r="EE13" t="n">
        <v>57</v>
      </c>
      <c r="EF13" t="n">
        <v>193.4</v>
      </c>
      <c r="EG13" t="n">
        <v>62</v>
      </c>
      <c r="EH13" t="n">
        <v>137</v>
      </c>
      <c r="EI13" t="n">
        <v>1945.2</v>
      </c>
      <c r="EJ13" t="n">
        <v>751.8</v>
      </c>
      <c r="EK13" t="n">
        <v>542.2</v>
      </c>
      <c r="EL13" t="n">
        <v>18.8</v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n">
        <v>6</v>
      </c>
      <c r="F14" t="b">
        <v>1</v>
      </c>
      <c r="G14" t="b">
        <v>1</v>
      </c>
      <c r="H14" t="n">
        <v>33.8</v>
      </c>
      <c r="I14" t="inlineStr">
        <is>
          <t>a</t>
        </is>
      </c>
      <c r="L14" t="inlineStr">
        <is>
          <t>p17761</t>
        </is>
      </c>
      <c r="M14" t="n">
        <v>229</v>
      </c>
      <c r="Q14" t="n">
        <v>3330</v>
      </c>
      <c r="R14" t="n">
        <v>37</v>
      </c>
      <c r="S14" t="n">
        <v>37</v>
      </c>
      <c r="T14" t="n">
        <v>37</v>
      </c>
      <c r="U14" t="n">
        <v>90</v>
      </c>
      <c r="V14" t="n">
        <v>170</v>
      </c>
      <c r="W14" t="n">
        <v>4.595</v>
      </c>
      <c r="X14" t="n">
        <v>2</v>
      </c>
      <c r="Y14" t="n">
        <v>3</v>
      </c>
      <c r="Z14" t="n">
        <v>3</v>
      </c>
      <c r="AA14" t="n">
        <v>11</v>
      </c>
      <c r="AB14" t="n">
        <v>48</v>
      </c>
      <c r="AC14" t="n">
        <v>12</v>
      </c>
      <c r="AD14" t="n">
        <v>12</v>
      </c>
      <c r="AE14" t="n">
        <v>0</v>
      </c>
      <c r="AF14" t="n">
        <v>592</v>
      </c>
      <c r="AG14" t="n">
        <v>538</v>
      </c>
      <c r="AH14" t="n">
        <v>-54</v>
      </c>
      <c r="AI14" t="n">
        <v>170</v>
      </c>
      <c r="AJ14" t="n">
        <v>0.07099999999999999</v>
      </c>
      <c r="AK14" t="n">
        <v>0.076</v>
      </c>
      <c r="AL14" t="n">
        <v>376</v>
      </c>
      <c r="AM14" t="n">
        <v>10.162</v>
      </c>
      <c r="AN14" t="n">
        <v>22</v>
      </c>
      <c r="AO14" t="n">
        <v>44</v>
      </c>
      <c r="AP14" t="n">
        <v>0.595</v>
      </c>
      <c r="AQ14" t="n">
        <v>0.595</v>
      </c>
      <c r="AR14" t="n">
        <v>0.351</v>
      </c>
      <c r="AS14" t="n">
        <v>0.974</v>
      </c>
      <c r="AT14" t="n">
        <v>1</v>
      </c>
      <c r="AU14" t="n">
        <v>11</v>
      </c>
      <c r="AV14" t="n">
        <v>3</v>
      </c>
      <c r="AW14" t="n">
        <v>3.74</v>
      </c>
      <c r="AX14" t="n">
        <v>15</v>
      </c>
      <c r="AY14" t="n">
        <v>2.53</v>
      </c>
      <c r="AZ14" t="n">
        <v>2.869</v>
      </c>
      <c r="BA14" t="n">
        <v>2.7</v>
      </c>
      <c r="BB14" t="n">
        <v>2.869</v>
      </c>
      <c r="BC14" t="n">
        <v>0.068</v>
      </c>
      <c r="BD14" t="n">
        <v>0.078</v>
      </c>
      <c r="BE14" t="n">
        <v>0.073</v>
      </c>
      <c r="BF14" t="n">
        <v>3.2</v>
      </c>
      <c r="BG14" t="n">
        <v>0.08599999999999999</v>
      </c>
      <c r="BH14" t="n">
        <v>0.8120000000000001</v>
      </c>
      <c r="BI14" t="n">
        <v>9.369999999999999</v>
      </c>
      <c r="BJ14" t="n">
        <v>2.054</v>
      </c>
      <c r="BK14" t="n">
        <v>0.056</v>
      </c>
      <c r="BL14" t="n">
        <v>-0.7</v>
      </c>
      <c r="BM14" t="n">
        <v>0.67</v>
      </c>
      <c r="BN14" t="n">
        <v>-1.2</v>
      </c>
      <c r="BO14" t="n">
        <v>-0.339</v>
      </c>
      <c r="BP14" t="n">
        <v>21</v>
      </c>
      <c r="BQ14" t="n">
        <v>10</v>
      </c>
      <c r="BR14" t="n">
        <v>4</v>
      </c>
      <c r="BS14" t="n">
        <v>84</v>
      </c>
      <c r="BT14" t="n">
        <v>2.27</v>
      </c>
      <c r="BV14" t="n">
        <v>1</v>
      </c>
      <c r="BW14" t="n">
        <v>2.1</v>
      </c>
      <c r="BX14" t="n">
        <v>2.057</v>
      </c>
      <c r="BY14" t="n">
        <v>2.078</v>
      </c>
      <c r="BZ14" t="n">
        <v>0.056</v>
      </c>
      <c r="CA14" t="n">
        <v>4.778</v>
      </c>
      <c r="CB14" t="n">
        <v>0.129</v>
      </c>
      <c r="CC14" t="n">
        <v>18</v>
      </c>
      <c r="CD14" t="n">
        <v>2</v>
      </c>
      <c r="CE14" t="n">
        <v>18</v>
      </c>
      <c r="CF14" t="n">
        <v>2</v>
      </c>
      <c r="CG14" t="n">
        <v>3</v>
      </c>
      <c r="CI14" t="n">
        <v>6.824</v>
      </c>
      <c r="CJ14" t="n">
        <v>5.569</v>
      </c>
      <c r="CK14" t="n">
        <v>325</v>
      </c>
      <c r="CL14" t="n">
        <v>90</v>
      </c>
      <c r="CM14" t="n">
        <v>51</v>
      </c>
      <c r="CN14" t="n">
        <v>29</v>
      </c>
      <c r="CO14" t="n">
        <v>32</v>
      </c>
      <c r="CP14" t="n">
        <v>242</v>
      </c>
      <c r="CQ14" t="n">
        <v>52</v>
      </c>
      <c r="CR14" t="n">
        <v>234</v>
      </c>
      <c r="CS14" t="n">
        <v>147</v>
      </c>
      <c r="CT14" t="n">
        <v>0.1</v>
      </c>
      <c r="CU14" t="n">
        <v>1</v>
      </c>
      <c r="CV14" t="n">
        <v>7</v>
      </c>
      <c r="CW14" t="n">
        <v>53.54</v>
      </c>
      <c r="CX14" t="n">
        <v>1.447</v>
      </c>
      <c r="CY14" t="n">
        <v>0</v>
      </c>
      <c r="DB14" t="n">
        <v>0</v>
      </c>
      <c r="DE14" t="n">
        <v>7.13</v>
      </c>
      <c r="DF14" t="n">
        <v>8</v>
      </c>
      <c r="DG14" t="n">
        <v>0</v>
      </c>
      <c r="DH14" t="n">
        <v>32</v>
      </c>
      <c r="DI14" t="n">
        <v>35</v>
      </c>
      <c r="DK14" t="n">
        <v>1</v>
      </c>
      <c r="DL14" t="n">
        <v>4</v>
      </c>
      <c r="DM14" t="n">
        <v>1</v>
      </c>
      <c r="DN14" t="n">
        <v>2</v>
      </c>
      <c r="DO14" t="n">
        <v>9.699999999999999</v>
      </c>
      <c r="DP14" t="n">
        <v>150.34</v>
      </c>
      <c r="DQ14" t="n">
        <v>75.17</v>
      </c>
      <c r="DR14" t="n">
        <v>150.34</v>
      </c>
      <c r="DS14" t="n">
        <v>0</v>
      </c>
      <c r="DT14" t="n">
        <v>3266</v>
      </c>
      <c r="DU14" t="n">
        <v>85.95</v>
      </c>
      <c r="DV14" t="inlineStr">
        <is>
          <t>flat</t>
        </is>
      </c>
      <c r="DW14" t="n">
        <v>44.3</v>
      </c>
      <c r="DX14" t="n">
        <v>49.8</v>
      </c>
      <c r="DY14" t="n">
        <v>15.42</v>
      </c>
      <c r="DZ14" t="n">
        <v>14.86</v>
      </c>
      <c r="EA14" t="n">
        <v>96</v>
      </c>
      <c r="EB14" t="n">
        <v>171</v>
      </c>
      <c r="EC14" t="n">
        <v>82.2</v>
      </c>
      <c r="ED14" t="n">
        <v>19.7</v>
      </c>
      <c r="EE14" t="n">
        <v>58</v>
      </c>
      <c r="EF14" t="n">
        <v>158.6</v>
      </c>
      <c r="EG14" t="n">
        <v>39.6</v>
      </c>
      <c r="EH14" t="n">
        <v>185</v>
      </c>
      <c r="EI14" t="n">
        <v>1233.5</v>
      </c>
      <c r="EJ14" t="n">
        <v>1602.2</v>
      </c>
      <c r="EK14" t="n">
        <v>697</v>
      </c>
      <c r="EL14" t="n">
        <v>19.6</v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n">
        <v>7.5</v>
      </c>
      <c r="F15" t="b">
        <v>1</v>
      </c>
      <c r="G15" t="b">
        <v>1</v>
      </c>
      <c r="H15" t="n">
        <v>24.1</v>
      </c>
      <c r="I15" t="inlineStr">
        <is>
          <t>a</t>
        </is>
      </c>
      <c r="L15" t="inlineStr">
        <is>
          <t>p244850</t>
        </is>
      </c>
      <c r="M15" t="n">
        <v>40</v>
      </c>
      <c r="Q15" t="n">
        <v>3280</v>
      </c>
      <c r="R15" t="n">
        <v>37</v>
      </c>
      <c r="S15" t="n">
        <v>37</v>
      </c>
      <c r="T15" t="n">
        <v>36.444</v>
      </c>
      <c r="U15" t="n">
        <v>88.59999999999999</v>
      </c>
      <c r="V15" t="n">
        <v>169</v>
      </c>
      <c r="W15" t="n">
        <v>4.637</v>
      </c>
      <c r="X15" t="n">
        <v>10</v>
      </c>
      <c r="Y15" t="n">
        <v>8</v>
      </c>
      <c r="Z15" t="n">
        <v>6</v>
      </c>
      <c r="AA15" t="n">
        <v>9</v>
      </c>
      <c r="AB15" t="n">
        <v>48</v>
      </c>
      <c r="AC15" t="n">
        <v>17</v>
      </c>
      <c r="AD15" t="n">
        <v>17</v>
      </c>
      <c r="AE15" t="n">
        <v>0</v>
      </c>
      <c r="AF15" t="n">
        <v>605</v>
      </c>
      <c r="AG15" t="n">
        <v>591</v>
      </c>
      <c r="AH15" t="n">
        <v>-14</v>
      </c>
      <c r="AI15" t="n">
        <v>169</v>
      </c>
      <c r="AJ15" t="n">
        <v>0.101</v>
      </c>
      <c r="AK15" t="n">
        <v>0.112</v>
      </c>
      <c r="AL15" t="n">
        <v>230</v>
      </c>
      <c r="AM15" t="n">
        <v>6.311</v>
      </c>
      <c r="AN15" t="n">
        <v>1</v>
      </c>
      <c r="AO15" t="n">
        <v>2</v>
      </c>
      <c r="AP15" t="n">
        <v>0.027</v>
      </c>
      <c r="AQ15" t="n">
        <v>0.135</v>
      </c>
      <c r="AR15" t="n">
        <v>0.027</v>
      </c>
      <c r="AS15" t="n">
        <v>0.974</v>
      </c>
      <c r="AT15" t="n">
        <v>1</v>
      </c>
      <c r="AU15" t="n">
        <v>18</v>
      </c>
      <c r="AV15" t="n">
        <v>5</v>
      </c>
      <c r="AW15" t="n">
        <v>4.14</v>
      </c>
      <c r="AX15" t="n">
        <v>15</v>
      </c>
      <c r="AY15" t="n">
        <v>6.84</v>
      </c>
      <c r="AZ15" t="n">
        <v>7.146</v>
      </c>
      <c r="BA15" t="n">
        <v>6.993</v>
      </c>
      <c r="BB15" t="n">
        <v>7.146</v>
      </c>
      <c r="BC15" t="n">
        <v>0.188</v>
      </c>
      <c r="BD15" t="n">
        <v>0.196</v>
      </c>
      <c r="BE15" t="n">
        <v>0.192</v>
      </c>
      <c r="BF15" t="n">
        <v>8.1</v>
      </c>
      <c r="BG15" t="n">
        <v>0.222</v>
      </c>
      <c r="BH15" t="n">
        <v>1.116</v>
      </c>
      <c r="BI15" t="n">
        <v>14.68</v>
      </c>
      <c r="BJ15" t="n">
        <v>7.63</v>
      </c>
      <c r="BK15" t="n">
        <v>0.209</v>
      </c>
      <c r="BL15" t="n">
        <v>3.007</v>
      </c>
      <c r="BM15" t="n">
        <v>1.26</v>
      </c>
      <c r="BN15" t="n">
        <v>1.9</v>
      </c>
      <c r="BO15" t="n">
        <v>-0.306</v>
      </c>
      <c r="BP15" t="n">
        <v>84</v>
      </c>
      <c r="BQ15" t="n">
        <v>32</v>
      </c>
      <c r="BR15" t="n">
        <v>4</v>
      </c>
      <c r="BS15" t="n">
        <v>181</v>
      </c>
      <c r="BT15" t="n">
        <v>4.966</v>
      </c>
      <c r="BW15" t="n">
        <v>4.32</v>
      </c>
      <c r="BX15" t="n">
        <v>7.475</v>
      </c>
      <c r="BY15" t="n">
        <v>5.898</v>
      </c>
      <c r="BZ15" t="n">
        <v>0.162</v>
      </c>
      <c r="CA15" t="n">
        <v>12.89</v>
      </c>
      <c r="CB15" t="n">
        <v>0.354</v>
      </c>
      <c r="CC15" t="n">
        <v>48</v>
      </c>
      <c r="CD15" t="n">
        <v>13</v>
      </c>
      <c r="CE15" t="n">
        <v>47</v>
      </c>
      <c r="CF15" t="n">
        <v>3</v>
      </c>
      <c r="CG15" t="n">
        <v>5</v>
      </c>
      <c r="CH15" t="n">
        <v>1</v>
      </c>
      <c r="CI15" t="n">
        <v>18.205</v>
      </c>
      <c r="CJ15" t="n">
        <v>7.18</v>
      </c>
      <c r="CK15" t="n">
        <v>49</v>
      </c>
      <c r="CL15" t="n">
        <v>139</v>
      </c>
      <c r="CM15" t="n">
        <v>42</v>
      </c>
      <c r="CN15" t="n">
        <v>23</v>
      </c>
      <c r="CO15" t="n">
        <v>13</v>
      </c>
      <c r="CP15" t="n">
        <v>32</v>
      </c>
      <c r="CQ15" t="n">
        <v>3</v>
      </c>
      <c r="CR15" t="n">
        <v>158</v>
      </c>
      <c r="CS15" t="n">
        <v>26</v>
      </c>
      <c r="CT15" t="n">
        <v>0.7</v>
      </c>
      <c r="CV15" t="n">
        <v>2</v>
      </c>
      <c r="CW15" t="n">
        <v>51.55</v>
      </c>
      <c r="CX15" t="n">
        <v>1.414</v>
      </c>
      <c r="CY15" t="n">
        <v>0</v>
      </c>
      <c r="DB15" t="n">
        <v>0</v>
      </c>
      <c r="DE15" t="n">
        <v>7</v>
      </c>
      <c r="DF15" t="n">
        <v>7</v>
      </c>
      <c r="DG15" t="n">
        <v>0</v>
      </c>
      <c r="DH15" t="n">
        <v>46</v>
      </c>
      <c r="DI15" t="n">
        <v>49</v>
      </c>
      <c r="DK15" t="n">
        <v>1</v>
      </c>
      <c r="DL15" t="n">
        <v>42</v>
      </c>
      <c r="DM15" t="n">
        <v>80</v>
      </c>
      <c r="DN15" t="n">
        <v>3</v>
      </c>
      <c r="DO15" t="n">
        <v>26.1</v>
      </c>
      <c r="DP15" t="n">
        <v>159.75</v>
      </c>
      <c r="DQ15" t="n">
        <v>79.56999999999999</v>
      </c>
      <c r="DR15" t="n">
        <v>159.14</v>
      </c>
      <c r="DS15" t="n">
        <v>0.61</v>
      </c>
      <c r="DT15" t="n">
        <v>2890</v>
      </c>
      <c r="DU15" t="n">
        <v>76.05</v>
      </c>
      <c r="DV15" t="inlineStr">
        <is>
          <t>flat</t>
        </is>
      </c>
      <c r="DW15" t="n">
        <v>15.3</v>
      </c>
      <c r="DX15" t="n">
        <v>16.45</v>
      </c>
      <c r="DY15" t="n">
        <v>9.15</v>
      </c>
      <c r="DZ15" t="n">
        <v>2</v>
      </c>
      <c r="EA15" t="n">
        <v>89.33</v>
      </c>
      <c r="EB15" t="n">
        <v>177</v>
      </c>
      <c r="EC15" t="n">
        <v>85.09999999999999</v>
      </c>
      <c r="ED15" t="n">
        <v>17.3</v>
      </c>
      <c r="EE15" t="n">
        <v>15</v>
      </c>
      <c r="EF15" t="n">
        <v>39</v>
      </c>
      <c r="EG15" t="n">
        <v>18.1</v>
      </c>
      <c r="EH15" t="n">
        <v>69.8</v>
      </c>
      <c r="EI15" t="n">
        <v>469</v>
      </c>
      <c r="EJ15" t="n">
        <v>556.2</v>
      </c>
      <c r="EK15" t="n">
        <v>254.5</v>
      </c>
      <c r="EL15" t="n">
        <v>19.4</v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n">
        <v>6.5</v>
      </c>
      <c r="F16" t="b">
        <v>1</v>
      </c>
      <c r="G16" t="b">
        <v>1</v>
      </c>
      <c r="H16" t="n">
        <v>29.4</v>
      </c>
      <c r="I16" t="inlineStr">
        <is>
          <t>a</t>
        </is>
      </c>
      <c r="L16" t="inlineStr">
        <is>
          <t>p153682</t>
        </is>
      </c>
      <c r="M16" t="n">
        <v>260</v>
      </c>
      <c r="O16" t="n">
        <v>2</v>
      </c>
      <c r="Q16" t="n">
        <v>2674</v>
      </c>
      <c r="R16" t="n">
        <v>36</v>
      </c>
      <c r="S16" t="n">
        <v>32</v>
      </c>
      <c r="T16" t="n">
        <v>29.711</v>
      </c>
      <c r="U16" t="n">
        <v>74.3</v>
      </c>
      <c r="V16" t="n">
        <v>168</v>
      </c>
      <c r="W16" t="n">
        <v>5.654</v>
      </c>
      <c r="X16" t="n">
        <v>10</v>
      </c>
      <c r="Y16" t="n">
        <v>9</v>
      </c>
      <c r="Z16" t="n">
        <v>7</v>
      </c>
      <c r="AA16" t="n">
        <v>9</v>
      </c>
      <c r="AB16" t="n">
        <v>38</v>
      </c>
      <c r="AC16" t="n">
        <v>21</v>
      </c>
      <c r="AD16" t="n">
        <v>21</v>
      </c>
      <c r="AE16" t="n">
        <v>0</v>
      </c>
      <c r="AF16" t="n">
        <v>637</v>
      </c>
      <c r="AG16" t="n">
        <v>624</v>
      </c>
      <c r="AH16" t="n">
        <v>-13</v>
      </c>
      <c r="AI16" t="n">
        <v>168</v>
      </c>
      <c r="AJ16" t="n">
        <v>0.125</v>
      </c>
      <c r="AK16" t="n">
        <v>0.143</v>
      </c>
      <c r="AL16" t="n">
        <v>177</v>
      </c>
      <c r="AM16" t="n">
        <v>5.957</v>
      </c>
      <c r="AN16" t="n">
        <v>1</v>
      </c>
      <c r="AO16" t="n">
        <v>2</v>
      </c>
      <c r="AP16" t="n">
        <v>0.031</v>
      </c>
      <c r="AQ16" t="n">
        <v>0.062</v>
      </c>
      <c r="AR16" t="n">
        <v>0.031</v>
      </c>
      <c r="AS16" t="n">
        <v>0.842</v>
      </c>
      <c r="AT16" t="n">
        <v>0.833</v>
      </c>
      <c r="AU16" t="n">
        <v>18</v>
      </c>
      <c r="AV16" t="n">
        <v>5</v>
      </c>
      <c r="AW16" t="n">
        <v>3.94</v>
      </c>
      <c r="AX16" t="n">
        <v>16</v>
      </c>
      <c r="AY16" t="n">
        <v>5.88</v>
      </c>
      <c r="AZ16" t="n">
        <v>5.76</v>
      </c>
      <c r="BA16" t="n">
        <v>5.82</v>
      </c>
      <c r="BB16" t="n">
        <v>5.76</v>
      </c>
      <c r="BC16" t="n">
        <v>0.198</v>
      </c>
      <c r="BD16" t="n">
        <v>0.194</v>
      </c>
      <c r="BE16" t="n">
        <v>0.196</v>
      </c>
      <c r="BF16" t="n">
        <v>8.9</v>
      </c>
      <c r="BG16" t="n">
        <v>0.3</v>
      </c>
      <c r="BH16" t="n">
        <v>1.236</v>
      </c>
      <c r="BI16" t="n">
        <v>15.55</v>
      </c>
      <c r="BJ16" t="n">
        <v>7.266</v>
      </c>
      <c r="BK16" t="n">
        <v>0.245</v>
      </c>
      <c r="BL16" t="n">
        <v>4.18</v>
      </c>
      <c r="BM16" t="n">
        <v>3.02</v>
      </c>
      <c r="BN16" t="n">
        <v>1.1</v>
      </c>
      <c r="BO16" t="n">
        <v>0.12</v>
      </c>
      <c r="BP16" t="n">
        <v>78</v>
      </c>
      <c r="BQ16" t="n">
        <v>25</v>
      </c>
      <c r="BR16" t="n">
        <v>1</v>
      </c>
      <c r="BS16" t="n">
        <v>105</v>
      </c>
      <c r="BT16" t="n">
        <v>3.534</v>
      </c>
      <c r="BW16" t="n">
        <v>4.77</v>
      </c>
      <c r="BX16" t="n">
        <v>5.504</v>
      </c>
      <c r="BY16" t="n">
        <v>5.137</v>
      </c>
      <c r="BZ16" t="n">
        <v>0.173</v>
      </c>
      <c r="CA16" t="n">
        <v>10.957</v>
      </c>
      <c r="CB16" t="n">
        <v>0.369</v>
      </c>
      <c r="CC16" t="n">
        <v>37</v>
      </c>
      <c r="CD16" t="n">
        <v>8</v>
      </c>
      <c r="CE16" t="n">
        <v>39</v>
      </c>
      <c r="CF16" t="n">
        <v>32</v>
      </c>
      <c r="CG16" t="n">
        <v>6</v>
      </c>
      <c r="CH16" t="n">
        <v>70</v>
      </c>
      <c r="CI16" t="n">
        <v>11.092</v>
      </c>
      <c r="CJ16" t="n">
        <v>4.133</v>
      </c>
      <c r="CK16" t="n">
        <v>66</v>
      </c>
      <c r="CL16" t="n">
        <v>82</v>
      </c>
      <c r="CM16" t="n">
        <v>29</v>
      </c>
      <c r="CN16" t="n">
        <v>19</v>
      </c>
      <c r="CO16" t="n">
        <v>15</v>
      </c>
      <c r="CP16" t="n">
        <v>48</v>
      </c>
      <c r="CQ16" t="n">
        <v>3</v>
      </c>
      <c r="CR16" t="n">
        <v>89</v>
      </c>
      <c r="CS16" t="n">
        <v>5</v>
      </c>
      <c r="CT16" t="n">
        <v>0.3</v>
      </c>
      <c r="CV16" t="n">
        <v>2</v>
      </c>
      <c r="CW16" t="n">
        <v>40.14</v>
      </c>
      <c r="CX16" t="n">
        <v>1.351</v>
      </c>
      <c r="CY16" t="n">
        <v>0</v>
      </c>
      <c r="DB16" t="n">
        <v>0</v>
      </c>
      <c r="DE16" t="n">
        <v>7.14</v>
      </c>
      <c r="DF16" t="n">
        <v>7</v>
      </c>
      <c r="DG16" t="n">
        <v>0</v>
      </c>
      <c r="DH16" t="n">
        <v>13</v>
      </c>
      <c r="DI16" t="n">
        <v>37</v>
      </c>
      <c r="DL16" t="n">
        <v>18</v>
      </c>
      <c r="DM16" t="n">
        <v>23</v>
      </c>
      <c r="DN16" t="n">
        <v>13</v>
      </c>
      <c r="DO16" t="n">
        <v>7.9</v>
      </c>
      <c r="DP16" t="n">
        <v>146.08</v>
      </c>
      <c r="DQ16" t="n">
        <v>73.04000000000001</v>
      </c>
      <c r="DR16" t="n">
        <v>146.08</v>
      </c>
      <c r="DS16" t="n">
        <v>0</v>
      </c>
      <c r="DT16" t="n">
        <v>2810</v>
      </c>
      <c r="DU16" t="n">
        <v>73.95</v>
      </c>
      <c r="DV16" t="inlineStr">
        <is>
          <t>flat</t>
        </is>
      </c>
      <c r="DW16" t="n">
        <v>44.06</v>
      </c>
      <c r="DX16" t="n">
        <v>44.19</v>
      </c>
      <c r="DY16" t="n">
        <v>18.55</v>
      </c>
      <c r="DZ16" t="n">
        <v>9</v>
      </c>
      <c r="EA16" t="n">
        <v>98.29000000000001</v>
      </c>
      <c r="EB16" t="n">
        <v>158</v>
      </c>
      <c r="EC16" t="n">
        <v>76</v>
      </c>
      <c r="ED16" t="n">
        <v>23.3</v>
      </c>
      <c r="EE16" t="n">
        <v>33</v>
      </c>
      <c r="EF16" t="n">
        <v>34.3</v>
      </c>
      <c r="EG16" t="n">
        <v>25.5</v>
      </c>
      <c r="EH16" t="n">
        <v>68.59999999999999</v>
      </c>
      <c r="EI16" t="n">
        <v>459.5</v>
      </c>
      <c r="EJ16" t="n">
        <v>520.6</v>
      </c>
      <c r="EK16" t="n">
        <v>244.1</v>
      </c>
      <c r="EL16" t="n">
        <v>15.9</v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n">
        <v>8</v>
      </c>
      <c r="F17" t="b">
        <v>1</v>
      </c>
      <c r="G17" t="b">
        <v>1</v>
      </c>
      <c r="H17" t="n">
        <v>30.6</v>
      </c>
      <c r="I17" t="inlineStr">
        <is>
          <t>a</t>
        </is>
      </c>
      <c r="L17" t="inlineStr">
        <is>
          <t>p178301</t>
        </is>
      </c>
      <c r="M17" t="n">
        <v>55</v>
      </c>
      <c r="N17" t="n">
        <v>2</v>
      </c>
      <c r="Q17" t="n">
        <v>2833</v>
      </c>
      <c r="R17" t="n">
        <v>37</v>
      </c>
      <c r="S17" t="n">
        <v>33</v>
      </c>
      <c r="T17" t="n">
        <v>31.478</v>
      </c>
      <c r="U17" t="n">
        <v>76.59999999999999</v>
      </c>
      <c r="V17" t="n">
        <v>167</v>
      </c>
      <c r="W17" t="n">
        <v>5.305</v>
      </c>
      <c r="X17" t="n">
        <v>16</v>
      </c>
      <c r="Y17" t="n">
        <v>4</v>
      </c>
      <c r="Z17" t="n">
        <v>3</v>
      </c>
      <c r="AA17" t="n">
        <v>9</v>
      </c>
      <c r="AB17" t="n">
        <v>38</v>
      </c>
      <c r="AC17" t="n">
        <v>26</v>
      </c>
      <c r="AD17" t="n">
        <v>26</v>
      </c>
      <c r="AE17" t="n">
        <v>0</v>
      </c>
      <c r="AF17" t="n">
        <v>623</v>
      </c>
      <c r="AG17" t="n">
        <v>618</v>
      </c>
      <c r="AH17" t="n">
        <v>-5</v>
      </c>
      <c r="AI17" t="n">
        <v>167</v>
      </c>
      <c r="AJ17" t="n">
        <v>0.156</v>
      </c>
      <c r="AK17" t="n">
        <v>0.184</v>
      </c>
      <c r="AL17" t="n">
        <v>94</v>
      </c>
      <c r="AM17" t="n">
        <v>2.986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0.868</v>
      </c>
      <c r="AT17" t="n">
        <v>0.865</v>
      </c>
      <c r="AU17" t="n">
        <v>24</v>
      </c>
      <c r="AV17" t="n">
        <v>5</v>
      </c>
      <c r="AW17" t="n">
        <v>4.42</v>
      </c>
      <c r="AX17" t="n">
        <v>16</v>
      </c>
      <c r="AY17" t="n">
        <v>15.4</v>
      </c>
      <c r="AZ17" t="n">
        <v>18.828</v>
      </c>
      <c r="BA17" t="n">
        <v>17.114</v>
      </c>
      <c r="BB17" t="n">
        <v>18.828</v>
      </c>
      <c r="BC17" t="n">
        <v>0.489</v>
      </c>
      <c r="BD17" t="n">
        <v>0.598</v>
      </c>
      <c r="BE17" t="n">
        <v>0.544</v>
      </c>
      <c r="BF17" t="n">
        <v>15.8</v>
      </c>
      <c r="BG17" t="n">
        <v>0.502</v>
      </c>
      <c r="BH17" t="n">
        <v>1.025</v>
      </c>
      <c r="BI17" t="n">
        <v>63.41</v>
      </c>
      <c r="BJ17" t="n">
        <v>15.786</v>
      </c>
      <c r="BK17" t="n">
        <v>0.501</v>
      </c>
      <c r="BL17" t="n">
        <v>-1.114</v>
      </c>
      <c r="BM17" t="n">
        <v>0.4</v>
      </c>
      <c r="BN17" t="n">
        <v>0.2</v>
      </c>
      <c r="BO17" t="n">
        <v>-3.428</v>
      </c>
      <c r="BP17" t="n">
        <v>83</v>
      </c>
      <c r="BQ17" t="n">
        <v>38</v>
      </c>
      <c r="BR17" t="n">
        <v>19</v>
      </c>
      <c r="BS17" t="n">
        <v>177</v>
      </c>
      <c r="BT17" t="n">
        <v>5.623</v>
      </c>
      <c r="BV17" t="n">
        <v>4</v>
      </c>
      <c r="BW17" t="n">
        <v>1.18</v>
      </c>
      <c r="BX17" t="n">
        <v>2.816</v>
      </c>
      <c r="BY17" t="n">
        <v>1.998</v>
      </c>
      <c r="BZ17" t="n">
        <v>0.063</v>
      </c>
      <c r="CA17" t="n">
        <v>19.112</v>
      </c>
      <c r="CB17" t="n">
        <v>0.607</v>
      </c>
      <c r="CC17" t="n">
        <v>23</v>
      </c>
      <c r="CD17" t="n">
        <v>4</v>
      </c>
      <c r="CE17" t="n">
        <v>23</v>
      </c>
      <c r="CF17" t="n">
        <v>2</v>
      </c>
      <c r="CH17" t="n">
        <v>0</v>
      </c>
      <c r="CI17" t="n">
        <v>21.746</v>
      </c>
      <c r="CJ17" t="n">
        <v>4.341</v>
      </c>
      <c r="CK17" t="n">
        <v>23</v>
      </c>
      <c r="CL17" t="n">
        <v>49</v>
      </c>
      <c r="CM17" t="n">
        <v>22</v>
      </c>
      <c r="CN17" t="n">
        <v>14</v>
      </c>
      <c r="CO17" t="n">
        <v>6</v>
      </c>
      <c r="CP17" t="n">
        <v>15</v>
      </c>
      <c r="CQ17" t="n">
        <v>2</v>
      </c>
      <c r="CR17" t="n">
        <v>116</v>
      </c>
      <c r="CS17" t="n">
        <v>36</v>
      </c>
      <c r="CT17" t="n">
        <v>0.5</v>
      </c>
      <c r="CW17" t="n">
        <v>43.39</v>
      </c>
      <c r="CX17" t="n">
        <v>1.378</v>
      </c>
      <c r="CY17" t="n">
        <v>0</v>
      </c>
      <c r="DB17" t="n">
        <v>0</v>
      </c>
      <c r="DE17" t="n">
        <v>6.97</v>
      </c>
      <c r="DF17" t="n">
        <v>4</v>
      </c>
      <c r="DG17" t="n">
        <v>0</v>
      </c>
      <c r="DH17" t="n">
        <v>35</v>
      </c>
      <c r="DI17" t="n">
        <v>32</v>
      </c>
      <c r="DJ17" t="n">
        <v>0</v>
      </c>
      <c r="DL17" t="n">
        <v>26</v>
      </c>
      <c r="DM17" t="n">
        <v>43</v>
      </c>
      <c r="DN17" t="n">
        <v>24</v>
      </c>
      <c r="DO17" t="n">
        <v>12.6</v>
      </c>
      <c r="DP17" t="n">
        <v>167.14</v>
      </c>
      <c r="DQ17" t="n">
        <v>83.7</v>
      </c>
      <c r="DR17" t="n">
        <v>167.4</v>
      </c>
      <c r="DS17" t="n">
        <v>-0.26</v>
      </c>
      <c r="DT17" t="n">
        <v>2679</v>
      </c>
      <c r="DU17" t="n">
        <v>70.5</v>
      </c>
      <c r="DV17" t="inlineStr">
        <is>
          <t>flat</t>
        </is>
      </c>
      <c r="DW17" t="n">
        <v>12.17</v>
      </c>
      <c r="DX17" t="n">
        <v>10.71</v>
      </c>
      <c r="DY17" t="n">
        <v>10.97</v>
      </c>
      <c r="DZ17" t="n">
        <v>1.85</v>
      </c>
      <c r="EA17" t="n">
        <v>112</v>
      </c>
      <c r="EB17" t="n">
        <v>171</v>
      </c>
      <c r="EC17" t="n">
        <v>82.2</v>
      </c>
      <c r="ED17" t="n">
        <v>20.1</v>
      </c>
      <c r="EE17" t="n">
        <v>10</v>
      </c>
      <c r="EF17" t="n">
        <v>34.1</v>
      </c>
      <c r="EG17" t="n">
        <v>16</v>
      </c>
      <c r="EH17" t="n">
        <v>123.2</v>
      </c>
      <c r="EI17" t="n">
        <v>165.5</v>
      </c>
      <c r="EJ17" t="n">
        <v>1417.9</v>
      </c>
      <c r="EK17" t="n">
        <v>148.2</v>
      </c>
      <c r="EL17" t="n">
        <v>17</v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n">
        <v>5.5</v>
      </c>
      <c r="F18" t="b">
        <v>1</v>
      </c>
      <c r="G18" t="b">
        <v>1</v>
      </c>
      <c r="H18" t="n">
        <v>24.8</v>
      </c>
      <c r="I18" t="inlineStr">
        <is>
          <t>a</t>
        </is>
      </c>
      <c r="L18" t="inlineStr">
        <is>
          <t>p494521</t>
        </is>
      </c>
      <c r="M18" t="n">
        <v>61</v>
      </c>
      <c r="Q18" t="n">
        <v>3378</v>
      </c>
      <c r="R18" t="n">
        <v>38</v>
      </c>
      <c r="S18" t="n">
        <v>38</v>
      </c>
      <c r="T18" t="n">
        <v>37.533</v>
      </c>
      <c r="U18" t="n">
        <v>88.90000000000001</v>
      </c>
      <c r="V18" t="n">
        <v>165</v>
      </c>
      <c r="W18" t="n">
        <v>4.396</v>
      </c>
      <c r="X18" t="n">
        <v>1</v>
      </c>
      <c r="Y18" t="n">
        <v>6</v>
      </c>
      <c r="Z18" t="n">
        <v>5</v>
      </c>
      <c r="AA18" t="n">
        <v>11</v>
      </c>
      <c r="AB18" t="n">
        <v>51</v>
      </c>
      <c r="AC18" t="n">
        <v>19</v>
      </c>
      <c r="AD18" t="n">
        <v>19</v>
      </c>
      <c r="AE18" t="n">
        <v>0</v>
      </c>
      <c r="AF18" t="n">
        <v>607</v>
      </c>
      <c r="AG18" t="n">
        <v>567</v>
      </c>
      <c r="AH18" t="n">
        <v>-40</v>
      </c>
      <c r="AI18" t="n">
        <v>165</v>
      </c>
      <c r="AJ18" t="n">
        <v>0.115</v>
      </c>
      <c r="AK18" t="n">
        <v>0.13</v>
      </c>
      <c r="AL18" t="n">
        <v>301</v>
      </c>
      <c r="AM18" t="n">
        <v>8.02</v>
      </c>
      <c r="AN18" t="n">
        <v>12</v>
      </c>
      <c r="AO18" t="n">
        <v>24</v>
      </c>
      <c r="AP18" t="n">
        <v>0.316</v>
      </c>
      <c r="AQ18" t="n">
        <v>0.316</v>
      </c>
      <c r="AR18" t="n">
        <v>0.132</v>
      </c>
      <c r="AS18" t="n">
        <v>1</v>
      </c>
      <c r="AT18" t="n">
        <v>1</v>
      </c>
      <c r="AU18" t="n">
        <v>12</v>
      </c>
      <c r="AV18" t="n">
        <v>3</v>
      </c>
      <c r="AW18" t="n">
        <v>3.1</v>
      </c>
      <c r="AX18" t="n">
        <v>11</v>
      </c>
      <c r="AY18" t="n">
        <v>1.35</v>
      </c>
      <c r="AZ18" t="n">
        <v>1.989</v>
      </c>
      <c r="BA18" t="n">
        <v>1.669</v>
      </c>
      <c r="BB18" t="n">
        <v>1.989</v>
      </c>
      <c r="BC18" t="n">
        <v>0.036</v>
      </c>
      <c r="BD18" t="n">
        <v>0.053</v>
      </c>
      <c r="BE18" t="n">
        <v>0.044</v>
      </c>
      <c r="BF18" t="n">
        <v>1.6</v>
      </c>
      <c r="BG18" t="n">
        <v>0.043</v>
      </c>
      <c r="BH18" t="n">
        <v>1.027</v>
      </c>
      <c r="BI18" t="n">
        <v>1.35</v>
      </c>
      <c r="BJ18" t="n">
        <v>1.386</v>
      </c>
      <c r="BK18" t="n">
        <v>0.037</v>
      </c>
      <c r="BL18" t="n">
        <v>-0.669</v>
      </c>
      <c r="BM18" t="n">
        <v>0.25</v>
      </c>
      <c r="BN18" t="n">
        <v>-0.6</v>
      </c>
      <c r="BO18" t="n">
        <v>-0.639</v>
      </c>
      <c r="BP18" t="n">
        <v>16</v>
      </c>
      <c r="BQ18" t="n">
        <v>6</v>
      </c>
      <c r="BR18" t="n">
        <v>1</v>
      </c>
      <c r="BS18" t="n">
        <v>53</v>
      </c>
      <c r="BT18" t="n">
        <v>1.412</v>
      </c>
      <c r="BW18" t="n">
        <v>3.07</v>
      </c>
      <c r="BX18" t="n">
        <v>4.408</v>
      </c>
      <c r="BY18" t="n">
        <v>3.739</v>
      </c>
      <c r="BZ18" t="n">
        <v>0.1</v>
      </c>
      <c r="CA18" t="n">
        <v>5.408</v>
      </c>
      <c r="CB18" t="n">
        <v>0.144</v>
      </c>
      <c r="CC18" t="n">
        <v>33</v>
      </c>
      <c r="CD18" t="n">
        <v>4</v>
      </c>
      <c r="CE18" t="n">
        <v>32</v>
      </c>
      <c r="CF18" t="n">
        <v>34</v>
      </c>
      <c r="CH18" t="n">
        <v>1</v>
      </c>
      <c r="CI18" t="n">
        <v>15.239</v>
      </c>
      <c r="CJ18" t="n">
        <v>9.959</v>
      </c>
      <c r="CK18" t="n">
        <v>199</v>
      </c>
      <c r="CL18" t="n">
        <v>188</v>
      </c>
      <c r="CM18" t="n">
        <v>102</v>
      </c>
      <c r="CN18" t="n">
        <v>52</v>
      </c>
      <c r="CO18" t="n">
        <v>48</v>
      </c>
      <c r="CP18" t="n">
        <v>143</v>
      </c>
      <c r="CQ18" t="n">
        <v>10</v>
      </c>
      <c r="CR18" t="n">
        <v>212</v>
      </c>
      <c r="CS18" t="n">
        <v>44</v>
      </c>
      <c r="CT18" t="n">
        <v>0.2</v>
      </c>
      <c r="CU18" t="n">
        <v>1</v>
      </c>
      <c r="CV18" t="n">
        <v>2</v>
      </c>
      <c r="CW18" t="n">
        <v>54.42</v>
      </c>
      <c r="CX18" t="n">
        <v>1.45</v>
      </c>
      <c r="CY18" t="n">
        <v>0</v>
      </c>
      <c r="DB18" t="n">
        <v>0</v>
      </c>
      <c r="DE18" t="n">
        <v>7.18</v>
      </c>
      <c r="DF18" t="n">
        <v>5</v>
      </c>
      <c r="DG18" t="n">
        <v>0</v>
      </c>
      <c r="DH18" t="n">
        <v>39</v>
      </c>
      <c r="DI18" t="n">
        <v>32</v>
      </c>
      <c r="DL18" t="n">
        <v>33</v>
      </c>
      <c r="DM18" t="n">
        <v>24</v>
      </c>
      <c r="DO18" t="n">
        <v>4.9</v>
      </c>
      <c r="DP18" t="n">
        <v>140.24</v>
      </c>
      <c r="DQ18" t="n">
        <v>70.12</v>
      </c>
      <c r="DR18" t="n">
        <v>140.24</v>
      </c>
      <c r="DS18" t="n">
        <v>0</v>
      </c>
      <c r="DT18" t="n">
        <v>3266</v>
      </c>
      <c r="DU18" t="n">
        <v>85.95</v>
      </c>
      <c r="DV18" t="inlineStr">
        <is>
          <t>flat</t>
        </is>
      </c>
      <c r="DW18" t="n">
        <v>62.06</v>
      </c>
      <c r="DX18" t="n">
        <v>67.03</v>
      </c>
      <c r="DY18" t="n">
        <v>16.85</v>
      </c>
      <c r="DZ18" t="n">
        <v>24.73</v>
      </c>
      <c r="EA18" t="n">
        <v>112</v>
      </c>
      <c r="EB18" t="n">
        <v>154</v>
      </c>
      <c r="EC18" t="n">
        <v>74</v>
      </c>
      <c r="ED18" t="n">
        <v>25.2</v>
      </c>
      <c r="EE18" t="n">
        <v>111</v>
      </c>
      <c r="EF18" t="n">
        <v>211.1</v>
      </c>
      <c r="EG18" t="n">
        <v>63.7</v>
      </c>
      <c r="EH18" t="n">
        <v>105.6</v>
      </c>
      <c r="EI18" t="n">
        <v>2023.5</v>
      </c>
      <c r="EJ18" t="n">
        <v>903.4</v>
      </c>
      <c r="EK18" t="n">
        <v>624.6</v>
      </c>
      <c r="EL18" t="n">
        <v>20.5</v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n">
        <v>6</v>
      </c>
      <c r="F19" t="b">
        <v>1</v>
      </c>
      <c r="G19" t="b">
        <v>1</v>
      </c>
      <c r="H19" t="n">
        <v>30.9</v>
      </c>
      <c r="I19" t="inlineStr">
        <is>
          <t>a</t>
        </is>
      </c>
      <c r="L19" t="inlineStr">
        <is>
          <t>p154561</t>
        </is>
      </c>
      <c r="M19" t="n">
        <v>1</v>
      </c>
      <c r="Q19" t="n">
        <v>3330</v>
      </c>
      <c r="R19" t="n">
        <v>37</v>
      </c>
      <c r="S19" t="n">
        <v>37</v>
      </c>
      <c r="T19" t="n">
        <v>37</v>
      </c>
      <c r="U19" t="n">
        <v>90</v>
      </c>
      <c r="V19" t="n">
        <v>162</v>
      </c>
      <c r="W19" t="n">
        <v>4.378</v>
      </c>
      <c r="X19" t="n">
        <v>0</v>
      </c>
      <c r="Y19" t="n">
        <v>0</v>
      </c>
      <c r="AA19" t="n">
        <v>19</v>
      </c>
      <c r="AB19" t="n">
        <v>26</v>
      </c>
      <c r="AC19" t="n">
        <v>11</v>
      </c>
      <c r="AD19" t="n">
        <v>11</v>
      </c>
      <c r="AE19" t="n">
        <v>0</v>
      </c>
      <c r="AF19" t="n">
        <v>633</v>
      </c>
      <c r="AG19" t="n">
        <v>624</v>
      </c>
      <c r="AH19" t="n">
        <v>-9</v>
      </c>
      <c r="AI19" t="n">
        <v>162</v>
      </c>
      <c r="AJ19" t="n">
        <v>0.068</v>
      </c>
      <c r="AK19" t="n">
        <v>0.073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0.974</v>
      </c>
      <c r="AT19" t="n">
        <v>1</v>
      </c>
      <c r="AU19" t="n">
        <v>15</v>
      </c>
      <c r="AV19" t="n">
        <v>2</v>
      </c>
      <c r="AW19" t="n">
        <v>2.79</v>
      </c>
      <c r="AX19" t="n">
        <v>10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H19" t="n">
        <v>0.986</v>
      </c>
      <c r="BI19" t="n">
        <v>0.11</v>
      </c>
      <c r="BJ19" t="n">
        <v>0</v>
      </c>
      <c r="BK19" t="n">
        <v>0</v>
      </c>
      <c r="BL19" t="n">
        <v>0</v>
      </c>
      <c r="BO19" t="n">
        <v>0</v>
      </c>
      <c r="BW19" t="n">
        <v>0.07000000000000001</v>
      </c>
      <c r="BX19" t="n">
        <v>0.149</v>
      </c>
      <c r="BY19" t="n">
        <v>0.11</v>
      </c>
      <c r="BZ19" t="n">
        <v>0.003</v>
      </c>
      <c r="CA19" t="n">
        <v>0.11</v>
      </c>
      <c r="CB19" t="n">
        <v>0.003</v>
      </c>
      <c r="CC19" t="n">
        <v>3</v>
      </c>
      <c r="CE19" t="n">
        <v>3</v>
      </c>
      <c r="CI19" t="n">
        <v>6.412</v>
      </c>
      <c r="CJ19" t="n">
        <v>6.322</v>
      </c>
      <c r="CK19" t="n">
        <v>37</v>
      </c>
      <c r="CL19" t="n">
        <v>304</v>
      </c>
      <c r="CM19" t="n">
        <v>1</v>
      </c>
      <c r="CN19" t="n">
        <v>1</v>
      </c>
      <c r="CO19" t="n">
        <v>1</v>
      </c>
      <c r="CP19" t="n">
        <v>37</v>
      </c>
      <c r="CR19" t="n">
        <v>25</v>
      </c>
      <c r="CS19" t="n">
        <v>10</v>
      </c>
      <c r="CU19" t="n">
        <v>1</v>
      </c>
      <c r="CV19" t="n">
        <v>3</v>
      </c>
      <c r="CW19" t="n">
        <v>27.56</v>
      </c>
      <c r="CX19" t="n">
        <v>0.745</v>
      </c>
      <c r="CY19" t="n">
        <v>60</v>
      </c>
      <c r="CZ19" t="n">
        <v>69.8</v>
      </c>
      <c r="DA19" t="n">
        <v>-1.1</v>
      </c>
      <c r="DB19" t="n">
        <v>0</v>
      </c>
      <c r="DC19" t="n">
        <v>39</v>
      </c>
      <c r="DD19" t="n">
        <v>10</v>
      </c>
      <c r="DE19" t="n">
        <v>7.21</v>
      </c>
      <c r="DF19" t="n">
        <v>1</v>
      </c>
      <c r="DG19" t="n">
        <v>0</v>
      </c>
      <c r="DI19" t="n">
        <v>14</v>
      </c>
      <c r="DL19" t="n">
        <v>1</v>
      </c>
      <c r="DO19" t="n">
        <v>31.2</v>
      </c>
      <c r="DP19" t="n">
        <v>149.74</v>
      </c>
      <c r="DQ19" t="n">
        <v>74.87</v>
      </c>
      <c r="DR19" t="n">
        <v>149.74</v>
      </c>
      <c r="DS19" t="n">
        <v>0</v>
      </c>
      <c r="DT19" t="n">
        <v>3385</v>
      </c>
      <c r="DU19" t="n">
        <v>89.09</v>
      </c>
      <c r="DV19" t="inlineStr">
        <is>
          <t>flat</t>
        </is>
      </c>
      <c r="DW19" t="n">
        <v>25.5</v>
      </c>
      <c r="DX19" t="n">
        <v>29.34</v>
      </c>
      <c r="DY19" t="n">
        <v>12.34</v>
      </c>
      <c r="DZ19" t="n">
        <v>2.5</v>
      </c>
      <c r="EA19" t="n">
        <v>56</v>
      </c>
      <c r="EB19" t="n">
        <v>193</v>
      </c>
      <c r="EC19" t="n">
        <v>92.8</v>
      </c>
      <c r="ED19" t="n">
        <v>9.800000000000001</v>
      </c>
      <c r="EE19" t="n">
        <v>59</v>
      </c>
      <c r="EH19" t="n">
        <v>1110</v>
      </c>
      <c r="EJ19" t="n">
        <v>30356.3</v>
      </c>
      <c r="EK19" t="n">
        <v>30356.3</v>
      </c>
      <c r="EL19" t="n">
        <v>20.6</v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n">
        <v>7</v>
      </c>
      <c r="F20" t="b">
        <v>1</v>
      </c>
      <c r="G20" t="b">
        <v>1</v>
      </c>
      <c r="H20" t="n">
        <v>25.8</v>
      </c>
      <c r="I20" t="inlineStr">
        <is>
          <t>a</t>
        </is>
      </c>
      <c r="L20" t="inlineStr">
        <is>
          <t>p424876</t>
        </is>
      </c>
      <c r="M20" t="n">
        <v>368</v>
      </c>
      <c r="N20" t="n">
        <v>2</v>
      </c>
      <c r="O20" t="n">
        <v>1</v>
      </c>
      <c r="P20" t="n">
        <v>1</v>
      </c>
      <c r="Q20" t="n">
        <v>3232</v>
      </c>
      <c r="R20" t="n">
        <v>36</v>
      </c>
      <c r="S20" t="n">
        <v>36</v>
      </c>
      <c r="T20" t="n">
        <v>35.911</v>
      </c>
      <c r="U20" t="n">
        <v>89.8</v>
      </c>
      <c r="V20" t="n">
        <v>160</v>
      </c>
      <c r="W20" t="n">
        <v>4.455</v>
      </c>
      <c r="X20" t="n">
        <v>6</v>
      </c>
      <c r="Y20" t="n">
        <v>7</v>
      </c>
      <c r="Z20" t="n">
        <v>7</v>
      </c>
      <c r="AA20" t="n">
        <v>9</v>
      </c>
      <c r="AB20" t="n">
        <v>52</v>
      </c>
      <c r="AC20" t="n">
        <v>21</v>
      </c>
      <c r="AD20" t="n">
        <v>21</v>
      </c>
      <c r="AE20" t="n">
        <v>0</v>
      </c>
      <c r="AF20" t="n">
        <v>780</v>
      </c>
      <c r="AG20" t="n">
        <v>762</v>
      </c>
      <c r="AH20" t="n">
        <v>-18</v>
      </c>
      <c r="AI20" t="n">
        <v>160</v>
      </c>
      <c r="AJ20" t="n">
        <v>0.131</v>
      </c>
      <c r="AK20" t="n">
        <v>0.151</v>
      </c>
      <c r="AL20" t="n">
        <v>338</v>
      </c>
      <c r="AM20" t="n">
        <v>9.412000000000001</v>
      </c>
      <c r="AN20" t="n">
        <v>10</v>
      </c>
      <c r="AO20" t="n">
        <v>20</v>
      </c>
      <c r="AP20" t="n">
        <v>0.278</v>
      </c>
      <c r="AQ20" t="n">
        <v>0.389</v>
      </c>
      <c r="AR20" t="n">
        <v>0.278</v>
      </c>
      <c r="AS20" t="n">
        <v>0.947</v>
      </c>
      <c r="AT20" t="n">
        <v>1</v>
      </c>
      <c r="AU20" t="n">
        <v>14</v>
      </c>
      <c r="AV20" t="n">
        <v>5</v>
      </c>
      <c r="AW20" t="n">
        <v>3.75</v>
      </c>
      <c r="AX20" t="n">
        <v>13</v>
      </c>
      <c r="AY20" t="n">
        <v>4.76</v>
      </c>
      <c r="AZ20" t="n">
        <v>4.724</v>
      </c>
      <c r="BA20" t="n">
        <v>4.742</v>
      </c>
      <c r="BB20" t="n">
        <v>3.963</v>
      </c>
      <c r="BC20" t="n">
        <v>0.133</v>
      </c>
      <c r="BD20" t="n">
        <v>0.132</v>
      </c>
      <c r="BE20" t="n">
        <v>0.132</v>
      </c>
      <c r="BF20" t="n">
        <v>4.2</v>
      </c>
      <c r="BG20" t="n">
        <v>0.117</v>
      </c>
      <c r="BH20" t="n">
        <v>0.797</v>
      </c>
      <c r="BI20" t="n">
        <v>15.34</v>
      </c>
      <c r="BJ20" t="n">
        <v>3.793</v>
      </c>
      <c r="BK20" t="n">
        <v>0.106</v>
      </c>
      <c r="BL20" t="n">
        <v>1.258</v>
      </c>
      <c r="BM20" t="n">
        <v>-0.5600000000000001</v>
      </c>
      <c r="BN20" t="n">
        <v>1.8</v>
      </c>
      <c r="BO20" t="n">
        <v>0.036</v>
      </c>
      <c r="BP20" t="n">
        <v>71</v>
      </c>
      <c r="BQ20" t="n">
        <v>23</v>
      </c>
      <c r="BR20" t="n">
        <v>4</v>
      </c>
      <c r="BS20" t="n">
        <v>69</v>
      </c>
      <c r="BT20" t="n">
        <v>1.921</v>
      </c>
      <c r="BW20" t="n">
        <v>6.83</v>
      </c>
      <c r="BX20" t="n">
        <v>8.835000000000001</v>
      </c>
      <c r="BY20" t="n">
        <v>7.833</v>
      </c>
      <c r="BZ20" t="n">
        <v>0.218</v>
      </c>
      <c r="CA20" t="n">
        <v>12.575</v>
      </c>
      <c r="CB20" t="n">
        <v>0.35</v>
      </c>
      <c r="CC20" t="n">
        <v>78</v>
      </c>
      <c r="CD20" t="n">
        <v>14</v>
      </c>
      <c r="CE20" t="n">
        <v>78</v>
      </c>
      <c r="CF20" t="n">
        <v>68</v>
      </c>
      <c r="CG20" t="n">
        <v>2</v>
      </c>
      <c r="CH20" t="n">
        <v>104</v>
      </c>
      <c r="CI20" t="n">
        <v>21.543</v>
      </c>
      <c r="CJ20" t="n">
        <v>15.062</v>
      </c>
      <c r="CK20" t="n">
        <v>96</v>
      </c>
      <c r="CL20" t="n">
        <v>186</v>
      </c>
      <c r="CM20" t="n">
        <v>56</v>
      </c>
      <c r="CN20" t="n">
        <v>32</v>
      </c>
      <c r="CO20" t="n">
        <v>30</v>
      </c>
      <c r="CP20" t="n">
        <v>58</v>
      </c>
      <c r="CQ20" t="n">
        <v>8</v>
      </c>
      <c r="CR20" t="n">
        <v>131</v>
      </c>
      <c r="CS20" t="n">
        <v>19</v>
      </c>
      <c r="CT20" t="n">
        <v>0.6</v>
      </c>
      <c r="CU20" t="n">
        <v>2</v>
      </c>
      <c r="CV20" t="n">
        <v>5</v>
      </c>
      <c r="CW20" t="n">
        <v>45.63</v>
      </c>
      <c r="CX20" t="n">
        <v>1.271</v>
      </c>
      <c r="CY20" t="n">
        <v>0</v>
      </c>
      <c r="DB20" t="n">
        <v>0</v>
      </c>
      <c r="DE20" t="n">
        <v>7.5</v>
      </c>
      <c r="DF20" t="n">
        <v>8</v>
      </c>
      <c r="DG20" t="n">
        <v>1</v>
      </c>
      <c r="DH20" t="n">
        <v>41</v>
      </c>
      <c r="DI20" t="n">
        <v>30</v>
      </c>
      <c r="DL20" t="n">
        <v>26</v>
      </c>
      <c r="DM20" t="n">
        <v>27</v>
      </c>
      <c r="DN20" t="n">
        <v>2</v>
      </c>
      <c r="DO20" t="n">
        <v>42.7</v>
      </c>
      <c r="DP20" t="n">
        <v>184.21</v>
      </c>
      <c r="DQ20" t="n">
        <v>92.09999999999999</v>
      </c>
      <c r="DR20" t="n">
        <v>184.2</v>
      </c>
      <c r="DS20" t="n">
        <v>0.01</v>
      </c>
      <c r="DT20" t="n">
        <v>3344</v>
      </c>
      <c r="DU20" t="n">
        <v>88</v>
      </c>
      <c r="DV20" t="inlineStr">
        <is>
          <t>flat</t>
        </is>
      </c>
      <c r="DW20" t="n">
        <v>18.81</v>
      </c>
      <c r="DX20" t="n">
        <v>20.03</v>
      </c>
      <c r="DY20" t="n">
        <v>9.25</v>
      </c>
      <c r="DZ20" t="n">
        <v>2</v>
      </c>
      <c r="EA20" t="n">
        <v>77.33</v>
      </c>
      <c r="EB20" t="n">
        <v>198</v>
      </c>
      <c r="EC20" t="n">
        <v>95.2</v>
      </c>
      <c r="ED20" t="n">
        <v>7.5</v>
      </c>
      <c r="EE20" t="n">
        <v>23</v>
      </c>
      <c r="EF20" t="n">
        <v>45.5</v>
      </c>
      <c r="EG20" t="n">
        <v>46.8</v>
      </c>
      <c r="EH20" t="n">
        <v>41.4</v>
      </c>
      <c r="EI20" t="n">
        <v>681.6</v>
      </c>
      <c r="EJ20" t="n">
        <v>412.6</v>
      </c>
      <c r="EK20" t="n">
        <v>257</v>
      </c>
      <c r="EL20" t="n">
        <v>20.2</v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n">
        <v>6.5</v>
      </c>
      <c r="F21" t="b">
        <v>1</v>
      </c>
      <c r="G21" t="b">
        <v>1</v>
      </c>
      <c r="H21" t="n">
        <v>21.4</v>
      </c>
      <c r="I21" t="inlineStr">
        <is>
          <t>a</t>
        </is>
      </c>
      <c r="L21" t="inlineStr">
        <is>
          <t>p472769</t>
        </is>
      </c>
      <c r="M21" t="n">
        <v>387</v>
      </c>
      <c r="Q21" t="n">
        <v>2643</v>
      </c>
      <c r="R21" t="n">
        <v>34</v>
      </c>
      <c r="S21" t="n">
        <v>29</v>
      </c>
      <c r="T21" t="n">
        <v>29.367</v>
      </c>
      <c r="U21" t="n">
        <v>77.7</v>
      </c>
      <c r="V21" t="n">
        <v>160</v>
      </c>
      <c r="W21" t="n">
        <v>5.448</v>
      </c>
      <c r="X21" t="n">
        <v>5</v>
      </c>
      <c r="Y21" t="n">
        <v>4</v>
      </c>
      <c r="Z21" t="n">
        <v>3</v>
      </c>
      <c r="AA21" t="n">
        <v>14</v>
      </c>
      <c r="AB21" t="n">
        <v>25</v>
      </c>
      <c r="AC21" t="n">
        <v>10</v>
      </c>
      <c r="AD21" t="n">
        <v>11</v>
      </c>
      <c r="AE21" t="n">
        <v>1</v>
      </c>
      <c r="AF21" t="n">
        <v>567</v>
      </c>
      <c r="AG21" t="n">
        <v>549</v>
      </c>
      <c r="AH21" t="n">
        <v>-18</v>
      </c>
      <c r="AI21" t="n">
        <v>161</v>
      </c>
      <c r="AJ21" t="n">
        <v>0.062</v>
      </c>
      <c r="AK21" t="n">
        <v>0.067</v>
      </c>
      <c r="AL21" t="n">
        <v>172</v>
      </c>
      <c r="AM21" t="n">
        <v>5.857</v>
      </c>
      <c r="AN21" t="n">
        <v>1</v>
      </c>
      <c r="AO21" t="n">
        <v>2</v>
      </c>
      <c r="AP21" t="n">
        <v>0.034</v>
      </c>
      <c r="AQ21" t="n">
        <v>0.034</v>
      </c>
      <c r="AR21" t="n">
        <v>0</v>
      </c>
      <c r="AS21" t="n">
        <v>0.763</v>
      </c>
      <c r="AT21" t="n">
        <v>0.824</v>
      </c>
      <c r="AU21" t="n">
        <v>16</v>
      </c>
      <c r="AV21" t="n">
        <v>5</v>
      </c>
      <c r="AW21" t="n">
        <v>4.41</v>
      </c>
      <c r="AX21" t="n">
        <v>17</v>
      </c>
      <c r="AY21" t="n">
        <v>6.12</v>
      </c>
      <c r="AZ21" t="n">
        <v>6.727</v>
      </c>
      <c r="BA21" t="n">
        <v>6.424</v>
      </c>
      <c r="BB21" t="n">
        <v>6.727</v>
      </c>
      <c r="BC21" t="n">
        <v>0.208</v>
      </c>
      <c r="BD21" t="n">
        <v>0.229</v>
      </c>
      <c r="BE21" t="n">
        <v>0.219</v>
      </c>
      <c r="BF21" t="n">
        <v>6.2</v>
      </c>
      <c r="BG21" t="n">
        <v>0.211</v>
      </c>
      <c r="BH21" t="n">
        <v>1.039</v>
      </c>
      <c r="BI21" t="n">
        <v>7.4</v>
      </c>
      <c r="BJ21" t="n">
        <v>6.358</v>
      </c>
      <c r="BK21" t="n">
        <v>0.217</v>
      </c>
      <c r="BL21" t="n">
        <v>-1.424</v>
      </c>
      <c r="BM21" t="n">
        <v>0.08</v>
      </c>
      <c r="BN21" t="n">
        <v>-1.2</v>
      </c>
      <c r="BO21" t="n">
        <v>-0.607</v>
      </c>
      <c r="BP21" t="n">
        <v>41</v>
      </c>
      <c r="BQ21" t="n">
        <v>15</v>
      </c>
      <c r="BR21" t="n">
        <v>7</v>
      </c>
      <c r="BS21" t="n">
        <v>103</v>
      </c>
      <c r="BT21" t="n">
        <v>3.507</v>
      </c>
      <c r="BV21" t="n">
        <v>2</v>
      </c>
      <c r="BW21" t="n">
        <v>2.67</v>
      </c>
      <c r="BX21" t="n">
        <v>3.847</v>
      </c>
      <c r="BY21" t="n">
        <v>3.259</v>
      </c>
      <c r="BZ21" t="n">
        <v>0.111</v>
      </c>
      <c r="CA21" t="n">
        <v>9.682</v>
      </c>
      <c r="CB21" t="n">
        <v>0.33</v>
      </c>
      <c r="CC21" t="n">
        <v>23</v>
      </c>
      <c r="CD21" t="n">
        <v>6</v>
      </c>
      <c r="CE21" t="n">
        <v>23</v>
      </c>
      <c r="CF21" t="n">
        <v>9</v>
      </c>
      <c r="CG21" t="n">
        <v>1</v>
      </c>
      <c r="CI21" t="n">
        <v>21.241</v>
      </c>
      <c r="CJ21" t="n">
        <v>14.798</v>
      </c>
      <c r="CK21" t="n">
        <v>105</v>
      </c>
      <c r="CL21" t="n">
        <v>108</v>
      </c>
      <c r="CM21" t="n">
        <v>67</v>
      </c>
      <c r="CN21" t="n">
        <v>36</v>
      </c>
      <c r="CO21" t="n">
        <v>20</v>
      </c>
      <c r="CP21" t="n">
        <v>72</v>
      </c>
      <c r="CQ21" t="n">
        <v>12</v>
      </c>
      <c r="CR21" t="n">
        <v>161</v>
      </c>
      <c r="CS21" t="n">
        <v>51</v>
      </c>
      <c r="CT21" t="n">
        <v>0.4</v>
      </c>
      <c r="CV21" t="n">
        <v>1</v>
      </c>
      <c r="CW21" t="n">
        <v>34.97</v>
      </c>
      <c r="CX21" t="n">
        <v>1.191</v>
      </c>
      <c r="CY21" t="n">
        <v>0</v>
      </c>
      <c r="DB21" t="n">
        <v>0</v>
      </c>
      <c r="DE21" t="n">
        <v>7.17</v>
      </c>
      <c r="DF21" t="n">
        <v>5</v>
      </c>
      <c r="DG21" t="n">
        <v>0</v>
      </c>
      <c r="DH21" t="n">
        <v>45</v>
      </c>
      <c r="DI21" t="n">
        <v>18</v>
      </c>
      <c r="DL21" t="n">
        <v>24</v>
      </c>
      <c r="DM21" t="n">
        <v>34</v>
      </c>
      <c r="DN21" t="n">
        <v>1</v>
      </c>
      <c r="DO21" t="n">
        <v>22.2</v>
      </c>
      <c r="DP21" t="n">
        <v>142.55</v>
      </c>
      <c r="DQ21" t="n">
        <v>71.97</v>
      </c>
      <c r="DR21" t="n">
        <v>143.94</v>
      </c>
      <c r="DS21" t="n">
        <v>-1.39</v>
      </c>
      <c r="DT21" t="n">
        <v>2753</v>
      </c>
      <c r="DU21" t="n">
        <v>72.45</v>
      </c>
      <c r="DV21" t="inlineStr">
        <is>
          <t>flat</t>
        </is>
      </c>
      <c r="DW21" t="n">
        <v>25.08</v>
      </c>
      <c r="DX21" t="n">
        <v>26.69</v>
      </c>
      <c r="DY21" t="n">
        <v>9.18</v>
      </c>
      <c r="DZ21" t="n">
        <v>8.800000000000001</v>
      </c>
      <c r="EA21" t="n">
        <v>65.33</v>
      </c>
      <c r="EB21" t="n">
        <v>193</v>
      </c>
      <c r="EC21" t="n">
        <v>92.8</v>
      </c>
      <c r="ED21" t="n">
        <v>9.800000000000001</v>
      </c>
      <c r="EE21" t="n">
        <v>34</v>
      </c>
      <c r="EF21" t="n">
        <v>64.5</v>
      </c>
      <c r="EG21" t="n">
        <v>25.7</v>
      </c>
      <c r="EH21" t="n">
        <v>114.9</v>
      </c>
      <c r="EI21" t="n">
        <v>411.5</v>
      </c>
      <c r="EJ21" t="n">
        <v>811.1</v>
      </c>
      <c r="EK21" t="n">
        <v>273</v>
      </c>
      <c r="EL21" t="n">
        <v>16.5</v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n">
        <v>6</v>
      </c>
      <c r="F22" t="b">
        <v>1</v>
      </c>
      <c r="G22" t="b">
        <v>1</v>
      </c>
      <c r="H22" t="n">
        <v>25.4</v>
      </c>
      <c r="I22" t="inlineStr">
        <is>
          <t>i</t>
        </is>
      </c>
      <c r="J22" t="inlineStr">
        <is>
          <t>Groin injury - Expected back 22 Aug</t>
        </is>
      </c>
      <c r="K22" t="n">
        <v>0</v>
      </c>
      <c r="L22" t="inlineStr">
        <is>
          <t>p232928</t>
        </is>
      </c>
      <c r="M22" t="n">
        <v>239</v>
      </c>
      <c r="N22" t="n">
        <v>3</v>
      </c>
      <c r="O22" t="n">
        <v>1</v>
      </c>
      <c r="P22" t="n">
        <v>1</v>
      </c>
      <c r="Q22" t="n">
        <v>3413</v>
      </c>
      <c r="R22" t="n">
        <v>38</v>
      </c>
      <c r="S22" t="n">
        <v>38</v>
      </c>
      <c r="T22" t="n">
        <v>37.922</v>
      </c>
      <c r="U22" t="n">
        <v>89.8</v>
      </c>
      <c r="V22" t="n">
        <v>159</v>
      </c>
      <c r="W22" t="n">
        <v>4.193</v>
      </c>
      <c r="X22" t="n">
        <v>2</v>
      </c>
      <c r="Y22" t="n">
        <v>7</v>
      </c>
      <c r="Z22" t="n">
        <v>7</v>
      </c>
      <c r="AA22" t="n">
        <v>11</v>
      </c>
      <c r="AB22" t="n">
        <v>50</v>
      </c>
      <c r="AC22" t="n">
        <v>13</v>
      </c>
      <c r="AD22" t="n">
        <v>12</v>
      </c>
      <c r="AE22" t="n">
        <v>-1</v>
      </c>
      <c r="AF22" t="n">
        <v>818</v>
      </c>
      <c r="AG22" t="n">
        <v>788</v>
      </c>
      <c r="AH22" t="n">
        <v>-30</v>
      </c>
      <c r="AI22" t="n">
        <v>158</v>
      </c>
      <c r="AJ22" t="n">
        <v>0.082</v>
      </c>
      <c r="AK22" t="n">
        <v>0.089</v>
      </c>
      <c r="AL22" t="n">
        <v>458</v>
      </c>
      <c r="AM22" t="n">
        <v>12.077</v>
      </c>
      <c r="AN22" t="n">
        <v>20</v>
      </c>
      <c r="AO22" t="n">
        <v>40</v>
      </c>
      <c r="AP22" t="n">
        <v>0.526</v>
      </c>
      <c r="AQ22" t="n">
        <v>0.632</v>
      </c>
      <c r="AR22" t="n">
        <v>0.526</v>
      </c>
      <c r="AS22" t="n">
        <v>1</v>
      </c>
      <c r="AT22" t="n">
        <v>1</v>
      </c>
      <c r="AU22" t="n">
        <v>10</v>
      </c>
      <c r="AV22" t="n">
        <v>3</v>
      </c>
      <c r="AW22" t="n">
        <v>2.89</v>
      </c>
      <c r="AX22" t="n">
        <v>16</v>
      </c>
      <c r="AY22" t="n">
        <v>2.1</v>
      </c>
      <c r="AZ22" t="n">
        <v>2.076</v>
      </c>
      <c r="BA22" t="n">
        <v>2.088</v>
      </c>
      <c r="BB22" t="n">
        <v>2.076</v>
      </c>
      <c r="BC22" t="n">
        <v>0.055</v>
      </c>
      <c r="BD22" t="n">
        <v>0.055</v>
      </c>
      <c r="BE22" t="n">
        <v>0.055</v>
      </c>
      <c r="BF22" t="n">
        <v>1.3</v>
      </c>
      <c r="BG22" t="n">
        <v>0.034</v>
      </c>
      <c r="BH22" t="n">
        <v>0.916</v>
      </c>
      <c r="BI22" t="n">
        <v>6.09</v>
      </c>
      <c r="BJ22" t="n">
        <v>1.923</v>
      </c>
      <c r="BK22" t="n">
        <v>0.051</v>
      </c>
      <c r="BL22" t="n">
        <v>-0.08799999999999999</v>
      </c>
      <c r="BM22" t="n">
        <v>-0.8</v>
      </c>
      <c r="BN22" t="n">
        <v>0.7</v>
      </c>
      <c r="BO22" t="n">
        <v>0.024</v>
      </c>
      <c r="BP22" t="n">
        <v>45</v>
      </c>
      <c r="BQ22" t="n">
        <v>14</v>
      </c>
      <c r="BS22" t="n">
        <v>27</v>
      </c>
      <c r="BT22" t="n">
        <v>0.712</v>
      </c>
      <c r="BW22" t="n">
        <v>6.18</v>
      </c>
      <c r="BX22" t="n">
        <v>6.067</v>
      </c>
      <c r="BY22" t="n">
        <v>6.123</v>
      </c>
      <c r="BZ22" t="n">
        <v>0.161</v>
      </c>
      <c r="CA22" t="n">
        <v>8.211</v>
      </c>
      <c r="CB22" t="n">
        <v>0.217</v>
      </c>
      <c r="CC22" t="n">
        <v>56</v>
      </c>
      <c r="CD22" t="n">
        <v>12</v>
      </c>
      <c r="CE22" t="n">
        <v>56</v>
      </c>
      <c r="CF22" t="n">
        <v>53</v>
      </c>
      <c r="CG22" t="n">
        <v>3</v>
      </c>
      <c r="CH22" t="n">
        <v>110</v>
      </c>
      <c r="CI22" t="n">
        <v>11.283</v>
      </c>
      <c r="CJ22" t="n">
        <v>8.333</v>
      </c>
      <c r="CK22" t="n">
        <v>154</v>
      </c>
      <c r="CL22" t="n">
        <v>185</v>
      </c>
      <c r="CM22" t="n">
        <v>119</v>
      </c>
      <c r="CN22" t="n">
        <v>71</v>
      </c>
      <c r="CO22" t="n">
        <v>59</v>
      </c>
      <c r="CP22" t="n">
        <v>85</v>
      </c>
      <c r="CQ22" t="n">
        <v>10</v>
      </c>
      <c r="CR22" t="n">
        <v>209</v>
      </c>
      <c r="CS22" t="n">
        <v>30</v>
      </c>
      <c r="CT22" t="n">
        <v>0.4</v>
      </c>
      <c r="CV22" t="n">
        <v>1</v>
      </c>
      <c r="CW22" t="n">
        <v>56.18</v>
      </c>
      <c r="CX22" t="n">
        <v>1.481</v>
      </c>
      <c r="CY22" t="n">
        <v>0</v>
      </c>
      <c r="DB22" t="n">
        <v>0</v>
      </c>
      <c r="DE22" t="n">
        <v>7.4</v>
      </c>
      <c r="DF22" t="n">
        <v>12</v>
      </c>
      <c r="DG22" t="n">
        <v>0</v>
      </c>
      <c r="DH22" t="n">
        <v>39</v>
      </c>
      <c r="DI22" t="n">
        <v>42</v>
      </c>
      <c r="DL22" t="n">
        <v>18</v>
      </c>
      <c r="DM22" t="n">
        <v>15</v>
      </c>
      <c r="DO22" t="n">
        <v>0.4</v>
      </c>
      <c r="DP22" t="n">
        <v>137.8</v>
      </c>
      <c r="DQ22" t="n">
        <v>65.66</v>
      </c>
      <c r="DR22" t="n">
        <v>131.32</v>
      </c>
      <c r="DS22" t="n">
        <v>6.48</v>
      </c>
      <c r="DT22" t="n">
        <v>3310</v>
      </c>
      <c r="DU22" t="n">
        <v>87.09999999999999</v>
      </c>
      <c r="DV22" t="inlineStr">
        <is>
          <t>flat</t>
        </is>
      </c>
      <c r="DW22" t="n">
        <v>76.23</v>
      </c>
      <c r="DX22" t="n">
        <v>72.59999999999999</v>
      </c>
      <c r="DY22" t="n">
        <v>20.56</v>
      </c>
      <c r="DZ22" t="n">
        <v>24</v>
      </c>
      <c r="EA22" t="n">
        <v>118.4</v>
      </c>
      <c r="EB22" t="n">
        <v>72</v>
      </c>
      <c r="EC22" t="n">
        <v>34.6</v>
      </c>
      <c r="ED22" t="n">
        <v>7.7</v>
      </c>
      <c r="EE22" t="n">
        <v>60</v>
      </c>
      <c r="EF22" t="n">
        <v>75.8</v>
      </c>
      <c r="EG22" t="n">
        <v>126.4</v>
      </c>
      <c r="EH22" t="n">
        <v>60.9</v>
      </c>
      <c r="EI22" t="n">
        <v>1634.7</v>
      </c>
      <c r="EJ22" t="n">
        <v>557.4</v>
      </c>
      <c r="EK22" t="n">
        <v>415.7</v>
      </c>
      <c r="EL22" t="n">
        <v>21.5</v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n">
        <v>7</v>
      </c>
      <c r="F23" t="b">
        <v>1</v>
      </c>
      <c r="G23" t="b">
        <v>1</v>
      </c>
      <c r="H23" t="n">
        <v>25.6</v>
      </c>
      <c r="I23" t="inlineStr">
        <is>
          <t>a</t>
        </is>
      </c>
      <c r="L23" t="inlineStr">
        <is>
          <t>p448047</t>
        </is>
      </c>
      <c r="M23" t="n">
        <v>155</v>
      </c>
      <c r="N23" t="n">
        <v>2</v>
      </c>
      <c r="O23" t="n">
        <v>2</v>
      </c>
      <c r="P23" t="n">
        <v>2</v>
      </c>
      <c r="Q23" t="n">
        <v>3114</v>
      </c>
      <c r="R23" t="n">
        <v>36</v>
      </c>
      <c r="S23" t="n">
        <v>35</v>
      </c>
      <c r="T23" t="n">
        <v>34.6</v>
      </c>
      <c r="U23" t="n">
        <v>86.5</v>
      </c>
      <c r="V23" t="n">
        <v>157</v>
      </c>
      <c r="W23" t="n">
        <v>4.538</v>
      </c>
      <c r="X23" t="n">
        <v>10</v>
      </c>
      <c r="Y23" t="n">
        <v>5</v>
      </c>
      <c r="Z23" t="n">
        <v>4</v>
      </c>
      <c r="AA23" t="n">
        <v>8</v>
      </c>
      <c r="AB23" t="n">
        <v>46</v>
      </c>
      <c r="AC23" t="n">
        <v>19</v>
      </c>
      <c r="AD23" t="n">
        <v>19</v>
      </c>
      <c r="AE23" t="n">
        <v>0</v>
      </c>
      <c r="AF23" t="n">
        <v>700</v>
      </c>
      <c r="AG23" t="n">
        <v>697</v>
      </c>
      <c r="AH23" t="n">
        <v>-3</v>
      </c>
      <c r="AI23" t="n">
        <v>157</v>
      </c>
      <c r="AJ23" t="n">
        <v>0.121</v>
      </c>
      <c r="AK23" t="n">
        <v>0.138</v>
      </c>
      <c r="AL23" t="n">
        <v>244</v>
      </c>
      <c r="AM23" t="n">
        <v>7.052</v>
      </c>
      <c r="AN23" t="n">
        <v>2</v>
      </c>
      <c r="AO23" t="n">
        <v>4</v>
      </c>
      <c r="AP23" t="n">
        <v>0.057</v>
      </c>
      <c r="AQ23" t="n">
        <v>0.171</v>
      </c>
      <c r="AR23" t="n">
        <v>0.057</v>
      </c>
      <c r="AS23" t="n">
        <v>0.921</v>
      </c>
      <c r="AT23" t="n">
        <v>0.972</v>
      </c>
      <c r="AU23" t="n">
        <v>19</v>
      </c>
      <c r="AV23" t="n">
        <v>5</v>
      </c>
      <c r="AW23" t="n">
        <v>3.76</v>
      </c>
      <c r="AX23" t="n">
        <v>13</v>
      </c>
      <c r="AY23" t="n">
        <v>11.26</v>
      </c>
      <c r="AZ23" t="n">
        <v>11.917</v>
      </c>
      <c r="BA23" t="n">
        <v>11.589</v>
      </c>
      <c r="BB23" t="n">
        <v>10.395</v>
      </c>
      <c r="BC23" t="n">
        <v>0.325</v>
      </c>
      <c r="BD23" t="n">
        <v>0.344</v>
      </c>
      <c r="BE23" t="n">
        <v>0.335</v>
      </c>
      <c r="BF23" t="n">
        <v>12.4</v>
      </c>
      <c r="BG23" t="n">
        <v>0.358</v>
      </c>
      <c r="BH23" t="n">
        <v>1.06</v>
      </c>
      <c r="BI23" t="n">
        <v>23.99</v>
      </c>
      <c r="BJ23" t="n">
        <v>11.932</v>
      </c>
      <c r="BK23" t="n">
        <v>0.345</v>
      </c>
      <c r="BL23" t="n">
        <v>-1.589</v>
      </c>
      <c r="BM23" t="n">
        <v>1.14</v>
      </c>
      <c r="BN23" t="n">
        <v>-2.4</v>
      </c>
      <c r="BO23" t="n">
        <v>-0.657</v>
      </c>
      <c r="BP23" t="n">
        <v>72</v>
      </c>
      <c r="BQ23" t="n">
        <v>31</v>
      </c>
      <c r="BR23" t="n">
        <v>9</v>
      </c>
      <c r="BS23" t="n">
        <v>102</v>
      </c>
      <c r="BT23" t="n">
        <v>2.948</v>
      </c>
      <c r="BU23" t="n">
        <v>2</v>
      </c>
      <c r="BV23" t="n">
        <v>1</v>
      </c>
      <c r="BW23" t="n">
        <v>7.26</v>
      </c>
      <c r="BX23" t="n">
        <v>8.866</v>
      </c>
      <c r="BY23" t="n">
        <v>8.063000000000001</v>
      </c>
      <c r="BZ23" t="n">
        <v>0.233</v>
      </c>
      <c r="CA23" t="n">
        <v>19.652</v>
      </c>
      <c r="CB23" t="n">
        <v>0.5679999999999999</v>
      </c>
      <c r="CC23" t="n">
        <v>68</v>
      </c>
      <c r="CD23" t="n">
        <v>11</v>
      </c>
      <c r="CE23" t="n">
        <v>68</v>
      </c>
      <c r="CF23" t="n">
        <v>16</v>
      </c>
      <c r="CG23" t="n">
        <v>11</v>
      </c>
      <c r="CH23" t="n">
        <v>55</v>
      </c>
      <c r="CI23" t="n">
        <v>27.902</v>
      </c>
      <c r="CJ23" t="n">
        <v>16.16</v>
      </c>
      <c r="CK23" t="n">
        <v>51</v>
      </c>
      <c r="CL23" t="n">
        <v>140</v>
      </c>
      <c r="CM23" t="n">
        <v>53</v>
      </c>
      <c r="CN23" t="n">
        <v>22</v>
      </c>
      <c r="CO23" t="n">
        <v>21</v>
      </c>
      <c r="CP23" t="n">
        <v>28</v>
      </c>
      <c r="CQ23" t="n">
        <v>2</v>
      </c>
      <c r="CR23" t="n">
        <v>137</v>
      </c>
      <c r="CS23" t="n">
        <v>26</v>
      </c>
      <c r="CT23" t="n">
        <v>0.4</v>
      </c>
      <c r="CW23" t="n">
        <v>44.89</v>
      </c>
      <c r="CX23" t="n">
        <v>1.297</v>
      </c>
      <c r="CY23" t="n">
        <v>0</v>
      </c>
      <c r="DB23" t="n">
        <v>0</v>
      </c>
      <c r="DE23" t="n">
        <v>7.3</v>
      </c>
      <c r="DF23" t="n">
        <v>10</v>
      </c>
      <c r="DG23" t="n">
        <v>0</v>
      </c>
      <c r="DH23" t="n">
        <v>36</v>
      </c>
      <c r="DI23" t="n">
        <v>45</v>
      </c>
      <c r="DL23" t="n">
        <v>13</v>
      </c>
      <c r="DM23" t="n">
        <v>41</v>
      </c>
      <c r="DN23" t="n">
        <v>1</v>
      </c>
      <c r="DO23" t="n">
        <v>5.6</v>
      </c>
      <c r="DP23" t="n">
        <v>150.5</v>
      </c>
      <c r="DQ23" t="n">
        <v>74.84999999999999</v>
      </c>
      <c r="DR23" t="n">
        <v>149.7</v>
      </c>
      <c r="DS23" t="n">
        <v>0.8</v>
      </c>
      <c r="DT23" t="n">
        <v>3146</v>
      </c>
      <c r="DU23" t="n">
        <v>82.8</v>
      </c>
      <c r="DV23" t="inlineStr">
        <is>
          <t>flat</t>
        </is>
      </c>
      <c r="DW23" t="n">
        <v>38.68</v>
      </c>
      <c r="DX23" t="n">
        <v>46.12</v>
      </c>
      <c r="DY23" t="n">
        <v>20.44</v>
      </c>
      <c r="DZ23" t="n">
        <v>6</v>
      </c>
      <c r="EA23" t="n">
        <v>120</v>
      </c>
      <c r="EB23" t="n">
        <v>153</v>
      </c>
      <c r="EC23" t="n">
        <v>73.59999999999999</v>
      </c>
      <c r="ED23" t="n">
        <v>27.8</v>
      </c>
      <c r="EE23" t="n">
        <v>24</v>
      </c>
      <c r="EF23" t="n">
        <v>43.2</v>
      </c>
      <c r="EG23" t="n">
        <v>30.5</v>
      </c>
      <c r="EH23" t="n">
        <v>45.8</v>
      </c>
      <c r="EI23" t="n">
        <v>268.7</v>
      </c>
      <c r="EJ23" t="n">
        <v>386.2</v>
      </c>
      <c r="EK23" t="n">
        <v>158.5</v>
      </c>
      <c r="EL23" t="n">
        <v>19.8</v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n">
        <v>9.5</v>
      </c>
      <c r="F24" t="b">
        <v>1</v>
      </c>
      <c r="G24" t="b">
        <v>1</v>
      </c>
      <c r="H24" t="n">
        <v>25</v>
      </c>
      <c r="I24" t="inlineStr">
        <is>
          <t>a</t>
        </is>
      </c>
      <c r="L24" t="inlineStr">
        <is>
          <t>p223340</t>
        </is>
      </c>
      <c r="M24" t="n">
        <v>12</v>
      </c>
      <c r="N24" t="n">
        <v>1</v>
      </c>
      <c r="O24" t="n">
        <v>2</v>
      </c>
      <c r="P24" t="n">
        <v>2</v>
      </c>
      <c r="Q24" t="n">
        <v>2218</v>
      </c>
      <c r="R24" t="n">
        <v>31</v>
      </c>
      <c r="S24" t="n">
        <v>25</v>
      </c>
      <c r="T24" t="n">
        <v>24.644</v>
      </c>
      <c r="U24" t="n">
        <v>71.5</v>
      </c>
      <c r="V24" t="n">
        <v>157</v>
      </c>
      <c r="W24" t="n">
        <v>6.371</v>
      </c>
      <c r="X24" t="n">
        <v>7</v>
      </c>
      <c r="Y24" t="n">
        <v>10</v>
      </c>
      <c r="Z24" t="n">
        <v>5</v>
      </c>
      <c r="AA24" t="n">
        <v>12</v>
      </c>
      <c r="AB24" t="n">
        <v>16</v>
      </c>
      <c r="AC24" t="n">
        <v>18</v>
      </c>
      <c r="AD24" t="n">
        <v>16</v>
      </c>
      <c r="AE24" t="n">
        <v>-2</v>
      </c>
      <c r="AF24" t="n">
        <v>570</v>
      </c>
      <c r="AG24" t="n">
        <v>565</v>
      </c>
      <c r="AH24" t="n">
        <v>-5</v>
      </c>
      <c r="AI24" t="n">
        <v>155</v>
      </c>
      <c r="AJ24" t="n">
        <v>0.115</v>
      </c>
      <c r="AK24" t="n">
        <v>0.129</v>
      </c>
      <c r="AL24" t="n">
        <v>184</v>
      </c>
      <c r="AM24" t="n">
        <v>7.466</v>
      </c>
      <c r="AN24" t="n">
        <v>5</v>
      </c>
      <c r="AO24" t="n">
        <v>10</v>
      </c>
      <c r="AP24" t="n">
        <v>0.2</v>
      </c>
      <c r="AQ24" t="n">
        <v>0.2</v>
      </c>
      <c r="AR24" t="n">
        <v>0.2</v>
      </c>
      <c r="AS24" t="n">
        <v>0.658</v>
      </c>
      <c r="AT24" t="n">
        <v>0.742</v>
      </c>
      <c r="AU24" t="n">
        <v>8</v>
      </c>
      <c r="AV24" t="n">
        <v>5</v>
      </c>
      <c r="AW24" t="n">
        <v>3.69</v>
      </c>
      <c r="AX24" t="n">
        <v>12</v>
      </c>
      <c r="AY24" t="n">
        <v>7.57</v>
      </c>
      <c r="AZ24" t="n">
        <v>8.701000000000001</v>
      </c>
      <c r="BA24" t="n">
        <v>8.135999999999999</v>
      </c>
      <c r="BB24" t="n">
        <v>7.94</v>
      </c>
      <c r="BC24" t="n">
        <v>0.307</v>
      </c>
      <c r="BD24" t="n">
        <v>0.353</v>
      </c>
      <c r="BE24" t="n">
        <v>0.33</v>
      </c>
      <c r="BF24" t="n">
        <v>6.1</v>
      </c>
      <c r="BG24" t="n">
        <v>0.248</v>
      </c>
      <c r="BH24" t="n">
        <v>0.963</v>
      </c>
      <c r="BI24" t="n">
        <v>41.33</v>
      </c>
      <c r="BJ24" t="n">
        <v>7.289</v>
      </c>
      <c r="BK24" t="n">
        <v>0.296</v>
      </c>
      <c r="BL24" t="n">
        <v>-1.136</v>
      </c>
      <c r="BM24" t="n">
        <v>-1.47</v>
      </c>
      <c r="BN24" t="n">
        <v>0.9</v>
      </c>
      <c r="BO24" t="n">
        <v>-1.131</v>
      </c>
      <c r="BP24" t="n">
        <v>71</v>
      </c>
      <c r="BQ24" t="n">
        <v>27</v>
      </c>
      <c r="BR24" t="n">
        <v>8</v>
      </c>
      <c r="BS24" t="n">
        <v>185</v>
      </c>
      <c r="BT24" t="n">
        <v>7.507</v>
      </c>
      <c r="BU24" t="n">
        <v>1</v>
      </c>
      <c r="BV24" t="n">
        <v>1</v>
      </c>
      <c r="BW24" t="n">
        <v>7.16</v>
      </c>
      <c r="BX24" t="n">
        <v>8.553000000000001</v>
      </c>
      <c r="BY24" t="n">
        <v>7.856</v>
      </c>
      <c r="BZ24" t="n">
        <v>0.319</v>
      </c>
      <c r="CA24" t="n">
        <v>15.992</v>
      </c>
      <c r="CB24" t="n">
        <v>0.649</v>
      </c>
      <c r="CC24" t="n">
        <v>62</v>
      </c>
      <c r="CD24" t="n">
        <v>12</v>
      </c>
      <c r="CE24" t="n">
        <v>61</v>
      </c>
      <c r="CF24" t="n">
        <v>40</v>
      </c>
      <c r="CG24" t="n">
        <v>2</v>
      </c>
      <c r="CH24" t="n">
        <v>65</v>
      </c>
      <c r="CI24" t="n">
        <v>19.113</v>
      </c>
      <c r="CJ24" t="n">
        <v>8.038</v>
      </c>
      <c r="CK24" t="n">
        <v>28</v>
      </c>
      <c r="CL24" t="n">
        <v>116</v>
      </c>
      <c r="CM24" t="n">
        <v>40</v>
      </c>
      <c r="CN24" t="n">
        <v>21</v>
      </c>
      <c r="CO24" t="n">
        <v>16</v>
      </c>
      <c r="CP24" t="n">
        <v>11</v>
      </c>
      <c r="CQ24" t="n">
        <v>1</v>
      </c>
      <c r="CR24" t="n">
        <v>167</v>
      </c>
      <c r="CS24" t="n">
        <v>22</v>
      </c>
      <c r="CT24" t="n">
        <v>1.1</v>
      </c>
      <c r="CV24" t="n">
        <v>1</v>
      </c>
      <c r="CW24" t="n">
        <v>15.57</v>
      </c>
      <c r="CX24" t="n">
        <v>0.632</v>
      </c>
      <c r="CY24" t="n">
        <v>0</v>
      </c>
      <c r="DB24" t="n">
        <v>0</v>
      </c>
      <c r="DE24" t="n">
        <v>7.52</v>
      </c>
      <c r="DF24" t="n">
        <v>2</v>
      </c>
      <c r="DG24" t="n">
        <v>0</v>
      </c>
      <c r="DH24" t="n">
        <v>33</v>
      </c>
      <c r="DI24" t="n">
        <v>54</v>
      </c>
      <c r="DJ24" t="n">
        <v>0</v>
      </c>
      <c r="DL24" t="n">
        <v>50</v>
      </c>
      <c r="DM24" t="n">
        <v>32</v>
      </c>
      <c r="DN24" t="n">
        <v>14</v>
      </c>
      <c r="DO24" t="n">
        <v>10.6</v>
      </c>
      <c r="DP24" t="n">
        <v>191.85</v>
      </c>
      <c r="DQ24" t="n">
        <v>94.81</v>
      </c>
      <c r="DR24" t="n">
        <v>189.62</v>
      </c>
      <c r="DS24" t="n">
        <v>2.23</v>
      </c>
      <c r="DT24" t="n">
        <v>2827</v>
      </c>
      <c r="DU24" t="n">
        <v>74.40000000000001</v>
      </c>
      <c r="DV24" t="inlineStr">
        <is>
          <t>flat</t>
        </is>
      </c>
      <c r="DW24" t="n">
        <v>5.7</v>
      </c>
      <c r="DX24" t="n">
        <v>5.02</v>
      </c>
      <c r="DY24" t="n">
        <v>5.2</v>
      </c>
      <c r="DZ24" t="n">
        <v>1</v>
      </c>
      <c r="EA24" t="n">
        <v>44.8</v>
      </c>
      <c r="EB24" t="n">
        <v>157</v>
      </c>
      <c r="EC24" t="n">
        <v>75.5</v>
      </c>
      <c r="ED24" t="n">
        <v>26.6</v>
      </c>
      <c r="EE24" t="n">
        <v>3</v>
      </c>
      <c r="EF24" t="n">
        <v>31.2</v>
      </c>
      <c r="EG24" t="n">
        <v>12</v>
      </c>
      <c r="EH24" t="n">
        <v>36.4</v>
      </c>
      <c r="EI24" t="n">
        <v>272.6</v>
      </c>
      <c r="EJ24" t="n">
        <v>282.3</v>
      </c>
      <c r="EK24" t="n">
        <v>138.7</v>
      </c>
      <c r="EL24" t="n">
        <v>14.1</v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n">
        <v>6</v>
      </c>
      <c r="F25" t="b">
        <v>1</v>
      </c>
      <c r="G25" t="b">
        <v>1</v>
      </c>
      <c r="H25" t="n">
        <v>26.4</v>
      </c>
      <c r="I25" t="inlineStr">
        <is>
          <t>a</t>
        </is>
      </c>
      <c r="L25" t="inlineStr">
        <is>
          <t>p437499</t>
        </is>
      </c>
      <c r="M25" t="n">
        <v>200</v>
      </c>
      <c r="Q25" t="n">
        <v>3085</v>
      </c>
      <c r="R25" t="n">
        <v>35</v>
      </c>
      <c r="S25" t="n">
        <v>35</v>
      </c>
      <c r="T25" t="n">
        <v>34.278</v>
      </c>
      <c r="U25" t="n">
        <v>88.09999999999999</v>
      </c>
      <c r="V25" t="n">
        <v>154</v>
      </c>
      <c r="W25" t="n">
        <v>4.493</v>
      </c>
      <c r="X25" t="n">
        <v>1</v>
      </c>
      <c r="Y25" t="n">
        <v>2</v>
      </c>
      <c r="Z25" t="n">
        <v>2</v>
      </c>
      <c r="AA25" t="n">
        <v>11</v>
      </c>
      <c r="AB25" t="n">
        <v>47</v>
      </c>
      <c r="AC25" t="n">
        <v>11</v>
      </c>
      <c r="AD25" t="n">
        <v>12</v>
      </c>
      <c r="AE25" t="n">
        <v>1</v>
      </c>
      <c r="AF25" t="n">
        <v>529</v>
      </c>
      <c r="AG25" t="n">
        <v>474</v>
      </c>
      <c r="AH25" t="n">
        <v>-55</v>
      </c>
      <c r="AI25" t="n">
        <v>155</v>
      </c>
      <c r="AJ25" t="n">
        <v>0.07099999999999999</v>
      </c>
      <c r="AK25" t="n">
        <v>0.077</v>
      </c>
      <c r="AL25" t="n">
        <v>370</v>
      </c>
      <c r="AM25" t="n">
        <v>10.794</v>
      </c>
      <c r="AN25" t="n">
        <v>20</v>
      </c>
      <c r="AO25" t="n">
        <v>40</v>
      </c>
      <c r="AP25" t="n">
        <v>0.571</v>
      </c>
      <c r="AQ25" t="n">
        <v>0.571</v>
      </c>
      <c r="AR25" t="n">
        <v>0.371</v>
      </c>
      <c r="AS25" t="n">
        <v>0.921</v>
      </c>
      <c r="AT25" t="n">
        <v>0.971</v>
      </c>
      <c r="AU25" t="n">
        <v>12</v>
      </c>
      <c r="AV25" t="n">
        <v>4</v>
      </c>
      <c r="AW25" t="n">
        <v>3.4</v>
      </c>
      <c r="AX25" t="n">
        <v>11</v>
      </c>
      <c r="AY25" t="n">
        <v>2.45</v>
      </c>
      <c r="AZ25" t="n">
        <v>3.007</v>
      </c>
      <c r="BA25" t="n">
        <v>2.728</v>
      </c>
      <c r="BB25" t="n">
        <v>3.007</v>
      </c>
      <c r="BC25" t="n">
        <v>0.07099999999999999</v>
      </c>
      <c r="BD25" t="n">
        <v>0.08799999999999999</v>
      </c>
      <c r="BE25" t="n">
        <v>0.08</v>
      </c>
      <c r="BF25" t="n">
        <v>1.5</v>
      </c>
      <c r="BG25" t="n">
        <v>0.044</v>
      </c>
      <c r="BH25" t="n">
        <v>0.803</v>
      </c>
      <c r="BI25" t="n">
        <v>5.95</v>
      </c>
      <c r="BJ25" t="n">
        <v>1.967</v>
      </c>
      <c r="BK25" t="n">
        <v>0.057</v>
      </c>
      <c r="BL25" t="n">
        <v>-1.728</v>
      </c>
      <c r="BM25" t="n">
        <v>-0.95</v>
      </c>
      <c r="BN25" t="n">
        <v>-0.5</v>
      </c>
      <c r="BO25" t="n">
        <v>-0.5570000000000001</v>
      </c>
      <c r="BP25" t="n">
        <v>24</v>
      </c>
      <c r="BQ25" t="n">
        <v>7</v>
      </c>
      <c r="BR25" t="n">
        <v>2</v>
      </c>
      <c r="BS25" t="n">
        <v>74</v>
      </c>
      <c r="BT25" t="n">
        <v>2.159</v>
      </c>
      <c r="BV25" t="n">
        <v>1</v>
      </c>
      <c r="BW25" t="n">
        <v>0.83</v>
      </c>
      <c r="BX25" t="n">
        <v>1.287</v>
      </c>
      <c r="BY25" t="n">
        <v>1.058</v>
      </c>
      <c r="BZ25" t="n">
        <v>0.031</v>
      </c>
      <c r="CA25" t="n">
        <v>3.787</v>
      </c>
      <c r="CB25" t="n">
        <v>0.11</v>
      </c>
      <c r="CC25" t="n">
        <v>7</v>
      </c>
      <c r="CD25" t="n">
        <v>3</v>
      </c>
      <c r="CE25" t="n">
        <v>7</v>
      </c>
      <c r="CF25" t="n">
        <v>2</v>
      </c>
      <c r="CI25" t="n">
        <v>10.744</v>
      </c>
      <c r="CJ25" t="n">
        <v>9.981</v>
      </c>
      <c r="CK25" t="n">
        <v>310</v>
      </c>
      <c r="CL25" t="n">
        <v>96</v>
      </c>
      <c r="CM25" t="n">
        <v>60</v>
      </c>
      <c r="CN25" t="n">
        <v>38</v>
      </c>
      <c r="CO25" t="n">
        <v>45</v>
      </c>
      <c r="CP25" t="n">
        <v>252</v>
      </c>
      <c r="CQ25" t="n">
        <v>18</v>
      </c>
      <c r="CR25" t="n">
        <v>204</v>
      </c>
      <c r="CS25" t="n">
        <v>119</v>
      </c>
      <c r="CT25" t="n">
        <v>0</v>
      </c>
      <c r="CU25" t="n">
        <v>1</v>
      </c>
      <c r="CV25" t="n">
        <v>2</v>
      </c>
      <c r="CW25" t="n">
        <v>44.04</v>
      </c>
      <c r="CX25" t="n">
        <v>1.285</v>
      </c>
      <c r="CY25" t="n">
        <v>0</v>
      </c>
      <c r="DB25" t="n">
        <v>0</v>
      </c>
      <c r="DE25" t="n">
        <v>7.04</v>
      </c>
      <c r="DF25" t="n">
        <v>4</v>
      </c>
      <c r="DG25" t="n">
        <v>1</v>
      </c>
      <c r="DH25" t="n">
        <v>34</v>
      </c>
      <c r="DI25" t="n">
        <v>19</v>
      </c>
      <c r="DK25" t="n">
        <v>2</v>
      </c>
      <c r="DL25" t="n">
        <v>7</v>
      </c>
      <c r="DM25" t="n">
        <v>6</v>
      </c>
      <c r="DO25" t="n">
        <v>11.2</v>
      </c>
      <c r="DP25" t="n">
        <v>104.52</v>
      </c>
      <c r="DQ25" t="n">
        <v>52.6</v>
      </c>
      <c r="DR25" t="n">
        <v>105.2</v>
      </c>
      <c r="DS25" t="n">
        <v>-0.68</v>
      </c>
      <c r="DT25" t="n">
        <v>2189</v>
      </c>
      <c r="DU25" t="n">
        <v>57.6</v>
      </c>
      <c r="DV25" t="inlineStr">
        <is>
          <t>flat</t>
        </is>
      </c>
      <c r="DW25" t="n">
        <v>45</v>
      </c>
      <c r="DX25" t="n">
        <v>46.19</v>
      </c>
      <c r="DY25" t="n">
        <v>15.1</v>
      </c>
      <c r="DZ25" t="n">
        <v>12.57</v>
      </c>
      <c r="EA25" t="n">
        <v>108</v>
      </c>
      <c r="EB25" t="n">
        <v>172</v>
      </c>
      <c r="EC25" t="n">
        <v>82.7</v>
      </c>
      <c r="ED25" t="n">
        <v>19.6</v>
      </c>
      <c r="EE25" t="n">
        <v>61</v>
      </c>
      <c r="EF25" t="n">
        <v>128.5</v>
      </c>
      <c r="EG25" t="n">
        <v>41.7</v>
      </c>
      <c r="EH25" t="n">
        <v>440.7</v>
      </c>
      <c r="EI25" t="n">
        <v>1130.7</v>
      </c>
      <c r="EJ25" t="n">
        <v>2914.7</v>
      </c>
      <c r="EK25" t="n">
        <v>814.7</v>
      </c>
      <c r="EL25" t="n">
        <v>20</v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n">
        <v>7</v>
      </c>
      <c r="F26" t="b">
        <v>1</v>
      </c>
      <c r="G26" t="b">
        <v>1</v>
      </c>
      <c r="H26" t="n">
        <v>28.8</v>
      </c>
      <c r="I26" t="inlineStr">
        <is>
          <t>a</t>
        </is>
      </c>
      <c r="L26" t="inlineStr">
        <is>
          <t>p208706</t>
        </is>
      </c>
      <c r="M26" t="n">
        <v>452</v>
      </c>
      <c r="Q26" t="n">
        <v>2456</v>
      </c>
      <c r="R26" t="n">
        <v>29</v>
      </c>
      <c r="S26" t="n">
        <v>27</v>
      </c>
      <c r="T26" t="n">
        <v>27.289</v>
      </c>
      <c r="U26" t="n">
        <v>84.7</v>
      </c>
      <c r="V26" t="n">
        <v>154</v>
      </c>
      <c r="W26" t="n">
        <v>5.643</v>
      </c>
      <c r="X26" t="n">
        <v>9</v>
      </c>
      <c r="Y26" t="n">
        <v>7</v>
      </c>
      <c r="Z26" t="n">
        <v>5</v>
      </c>
      <c r="AA26" t="n">
        <v>6</v>
      </c>
      <c r="AB26" t="n">
        <v>37</v>
      </c>
      <c r="AC26" t="n">
        <v>22</v>
      </c>
      <c r="AD26" t="n">
        <v>22</v>
      </c>
      <c r="AE26" t="n">
        <v>0</v>
      </c>
      <c r="AF26" t="n">
        <v>681</v>
      </c>
      <c r="AG26" t="n">
        <v>673</v>
      </c>
      <c r="AH26" t="n">
        <v>-8</v>
      </c>
      <c r="AI26" t="n">
        <v>154</v>
      </c>
      <c r="AJ26" t="n">
        <v>0.143</v>
      </c>
      <c r="AK26" t="n">
        <v>0.167</v>
      </c>
      <c r="AL26" t="n">
        <v>251</v>
      </c>
      <c r="AM26" t="n">
        <v>9.198</v>
      </c>
      <c r="AN26" t="n">
        <v>5</v>
      </c>
      <c r="AO26" t="n">
        <v>10</v>
      </c>
      <c r="AP26" t="n">
        <v>0.185</v>
      </c>
      <c r="AQ26" t="n">
        <v>0.481</v>
      </c>
      <c r="AR26" t="n">
        <v>0.185</v>
      </c>
      <c r="AS26" t="n">
        <v>0.711</v>
      </c>
      <c r="AT26" t="n">
        <v>0.931</v>
      </c>
      <c r="AU26" t="n">
        <v>9</v>
      </c>
      <c r="AV26" t="n">
        <v>8</v>
      </c>
      <c r="AW26" t="n">
        <v>4.02</v>
      </c>
      <c r="AX26" t="n">
        <v>14</v>
      </c>
      <c r="AY26" t="n">
        <v>5.59</v>
      </c>
      <c r="AZ26" t="n">
        <v>6.597</v>
      </c>
      <c r="BA26" t="n">
        <v>6.094</v>
      </c>
      <c r="BB26" t="n">
        <v>5.075</v>
      </c>
      <c r="BC26" t="n">
        <v>0.205</v>
      </c>
      <c r="BD26" t="n">
        <v>0.242</v>
      </c>
      <c r="BE26" t="n">
        <v>0.223</v>
      </c>
      <c r="BF26" t="n">
        <v>8.6</v>
      </c>
      <c r="BG26" t="n">
        <v>0.315</v>
      </c>
      <c r="BH26" t="n">
        <v>1.107</v>
      </c>
      <c r="BI26" t="n">
        <v>17.66</v>
      </c>
      <c r="BJ26" t="n">
        <v>6.187</v>
      </c>
      <c r="BK26" t="n">
        <v>0.227</v>
      </c>
      <c r="BL26" t="n">
        <v>2.906</v>
      </c>
      <c r="BM26" t="n">
        <v>3.01</v>
      </c>
      <c r="BN26" t="n">
        <v>0.4</v>
      </c>
      <c r="BO26" t="n">
        <v>-1.007</v>
      </c>
      <c r="BP26" t="n">
        <v>42</v>
      </c>
      <c r="BQ26" t="n">
        <v>23</v>
      </c>
      <c r="BR26" t="n">
        <v>4</v>
      </c>
      <c r="BS26" t="n">
        <v>55</v>
      </c>
      <c r="BT26" t="n">
        <v>2.015</v>
      </c>
      <c r="BU26" t="n">
        <v>2</v>
      </c>
      <c r="BV26" t="n">
        <v>2</v>
      </c>
      <c r="BW26" t="n">
        <v>4.96</v>
      </c>
      <c r="BX26" t="n">
        <v>3.869</v>
      </c>
      <c r="BY26" t="n">
        <v>4.415</v>
      </c>
      <c r="BZ26" t="n">
        <v>0.162</v>
      </c>
      <c r="CA26" t="n">
        <v>10.508</v>
      </c>
      <c r="CB26" t="n">
        <v>0.385</v>
      </c>
      <c r="CC26" t="n">
        <v>44</v>
      </c>
      <c r="CD26" t="n">
        <v>7</v>
      </c>
      <c r="CE26" t="n">
        <v>45</v>
      </c>
      <c r="CF26" t="n">
        <v>21</v>
      </c>
      <c r="CG26" t="n">
        <v>8</v>
      </c>
      <c r="CH26" t="n">
        <v>44</v>
      </c>
      <c r="CI26" t="n">
        <v>14.098</v>
      </c>
      <c r="CJ26" t="n">
        <v>9.366</v>
      </c>
      <c r="CK26" t="n">
        <v>55</v>
      </c>
      <c r="CL26" t="n">
        <v>134</v>
      </c>
      <c r="CM26" t="n">
        <v>62</v>
      </c>
      <c r="CN26" t="n">
        <v>43</v>
      </c>
      <c r="CO26" t="n">
        <v>15</v>
      </c>
      <c r="CP26" t="n">
        <v>36</v>
      </c>
      <c r="CQ26" t="n">
        <v>3</v>
      </c>
      <c r="CR26" t="n">
        <v>168</v>
      </c>
      <c r="CS26" t="n">
        <v>13</v>
      </c>
      <c r="CT26" t="n">
        <v>0.7</v>
      </c>
      <c r="CW26" t="n">
        <v>31.99</v>
      </c>
      <c r="CX26" t="n">
        <v>1.172</v>
      </c>
      <c r="CY26" t="n">
        <v>0</v>
      </c>
      <c r="DB26" t="n">
        <v>0</v>
      </c>
      <c r="DE26" t="n">
        <v>7.52</v>
      </c>
      <c r="DF26" t="n">
        <v>6</v>
      </c>
      <c r="DG26" t="n">
        <v>0</v>
      </c>
      <c r="DH26" t="n">
        <v>45</v>
      </c>
      <c r="DI26" t="n">
        <v>75</v>
      </c>
      <c r="DJ26" t="n">
        <v>2</v>
      </c>
      <c r="DL26" t="n">
        <v>18</v>
      </c>
      <c r="DM26" t="n">
        <v>46</v>
      </c>
      <c r="DN26" t="n">
        <v>2</v>
      </c>
      <c r="DO26" t="n">
        <v>10.3</v>
      </c>
      <c r="DP26" t="n">
        <v>144.73</v>
      </c>
      <c r="DQ26" t="n">
        <v>72.48999999999999</v>
      </c>
      <c r="DR26" t="n">
        <v>144.98</v>
      </c>
      <c r="DS26" t="n">
        <v>-0.25</v>
      </c>
      <c r="DT26" t="n">
        <v>2816</v>
      </c>
      <c r="DU26" t="n">
        <v>74.09999999999999</v>
      </c>
      <c r="DV26" t="inlineStr">
        <is>
          <t>flat</t>
        </is>
      </c>
      <c r="DW26" t="n">
        <v>29.18</v>
      </c>
      <c r="DX26" t="n">
        <v>30.46</v>
      </c>
      <c r="DY26" t="n">
        <v>15.09</v>
      </c>
      <c r="DZ26" t="n">
        <v>9.140000000000001</v>
      </c>
      <c r="EA26" t="n">
        <v>104</v>
      </c>
      <c r="EB26" t="n">
        <v>171</v>
      </c>
      <c r="EC26" t="n">
        <v>82.2</v>
      </c>
      <c r="ED26" t="n">
        <v>19</v>
      </c>
      <c r="EE26" t="n">
        <v>25</v>
      </c>
      <c r="EF26" t="n">
        <v>58.5</v>
      </c>
      <c r="EG26" t="n">
        <v>44.7</v>
      </c>
      <c r="EH26" t="n">
        <v>54.6</v>
      </c>
      <c r="EI26" t="n">
        <v>403</v>
      </c>
      <c r="EJ26" t="n">
        <v>556.3</v>
      </c>
      <c r="EK26" t="n">
        <v>233.7</v>
      </c>
      <c r="EL26" t="n">
        <v>15.9</v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n">
        <v>6</v>
      </c>
      <c r="F27" t="b">
        <v>1</v>
      </c>
      <c r="G27" t="b">
        <v>1</v>
      </c>
      <c r="H27" t="n">
        <v>28</v>
      </c>
      <c r="I27" t="inlineStr">
        <is>
          <t>a</t>
        </is>
      </c>
      <c r="L27" t="inlineStr">
        <is>
          <t>p465351</t>
        </is>
      </c>
      <c r="M27" t="n">
        <v>389</v>
      </c>
      <c r="N27" t="n">
        <v>5</v>
      </c>
      <c r="Q27" t="n">
        <v>2861</v>
      </c>
      <c r="R27" t="n">
        <v>34</v>
      </c>
      <c r="S27" t="n">
        <v>32</v>
      </c>
      <c r="T27" t="n">
        <v>31.789</v>
      </c>
      <c r="U27" t="n">
        <v>84.09999999999999</v>
      </c>
      <c r="V27" t="n">
        <v>154</v>
      </c>
      <c r="W27" t="n">
        <v>4.844</v>
      </c>
      <c r="X27" t="n">
        <v>1</v>
      </c>
      <c r="Y27" t="n">
        <v>8</v>
      </c>
      <c r="Z27" t="n">
        <v>5</v>
      </c>
      <c r="AA27" t="n">
        <v>12</v>
      </c>
      <c r="AB27" t="n">
        <v>28</v>
      </c>
      <c r="AC27" t="n">
        <v>16</v>
      </c>
      <c r="AD27" t="n">
        <v>16</v>
      </c>
      <c r="AE27" t="n">
        <v>0</v>
      </c>
      <c r="AF27" t="n">
        <v>676</v>
      </c>
      <c r="AG27" t="n">
        <v>653</v>
      </c>
      <c r="AH27" t="n">
        <v>-23</v>
      </c>
      <c r="AI27" t="n">
        <v>154</v>
      </c>
      <c r="AJ27" t="n">
        <v>0.104</v>
      </c>
      <c r="AK27" t="n">
        <v>0.116</v>
      </c>
      <c r="AL27" t="n">
        <v>195</v>
      </c>
      <c r="AM27" t="n">
        <v>6.134</v>
      </c>
      <c r="AN27" t="n">
        <v>4</v>
      </c>
      <c r="AO27" t="n">
        <v>8</v>
      </c>
      <c r="AP27" t="n">
        <v>0.125</v>
      </c>
      <c r="AQ27" t="n">
        <v>0.125</v>
      </c>
      <c r="AR27" t="n">
        <v>0</v>
      </c>
      <c r="AS27" t="n">
        <v>0.842</v>
      </c>
      <c r="AT27" t="n">
        <v>0.882</v>
      </c>
      <c r="AU27" t="n">
        <v>16</v>
      </c>
      <c r="AV27" t="n">
        <v>5</v>
      </c>
      <c r="AW27" t="n">
        <v>3.74</v>
      </c>
      <c r="AX27" t="n">
        <v>13</v>
      </c>
      <c r="AY27" t="n">
        <v>0.34</v>
      </c>
      <c r="AZ27" t="n">
        <v>0.675</v>
      </c>
      <c r="BA27" t="n">
        <v>0.508</v>
      </c>
      <c r="BB27" t="n">
        <v>0.675</v>
      </c>
      <c r="BC27" t="n">
        <v>0.011</v>
      </c>
      <c r="BD27" t="n">
        <v>0.021</v>
      </c>
      <c r="BE27" t="n">
        <v>0.016</v>
      </c>
      <c r="BF27" t="n">
        <v>1</v>
      </c>
      <c r="BG27" t="n">
        <v>0.031</v>
      </c>
      <c r="BH27" t="n">
        <v>0.98</v>
      </c>
      <c r="BI27" t="n">
        <v>4.75</v>
      </c>
      <c r="BJ27" t="n">
        <v>0.333</v>
      </c>
      <c r="BK27" t="n">
        <v>0.01</v>
      </c>
      <c r="BL27" t="n">
        <v>0.492</v>
      </c>
      <c r="BM27" t="n">
        <v>0.66</v>
      </c>
      <c r="BN27" t="n">
        <v>0</v>
      </c>
      <c r="BO27" t="n">
        <v>-0.335</v>
      </c>
      <c r="BP27" t="n">
        <v>7</v>
      </c>
      <c r="BQ27" t="n">
        <v>2</v>
      </c>
      <c r="BS27" t="n">
        <v>40</v>
      </c>
      <c r="BT27" t="n">
        <v>1.258</v>
      </c>
      <c r="BW27" t="n">
        <v>2.23</v>
      </c>
      <c r="BX27" t="n">
        <v>3.099</v>
      </c>
      <c r="BY27" t="n">
        <v>2.665</v>
      </c>
      <c r="BZ27" t="n">
        <v>0.08400000000000001</v>
      </c>
      <c r="CA27" t="n">
        <v>3.172</v>
      </c>
      <c r="CB27" t="n">
        <v>0.1</v>
      </c>
      <c r="CC27" t="n">
        <v>28</v>
      </c>
      <c r="CD27" t="n">
        <v>6</v>
      </c>
      <c r="CE27" t="n">
        <v>28</v>
      </c>
      <c r="CF27" t="n">
        <v>16</v>
      </c>
      <c r="CG27" t="n">
        <v>2</v>
      </c>
      <c r="CH27" t="n">
        <v>1</v>
      </c>
      <c r="CI27" t="n">
        <v>22.104</v>
      </c>
      <c r="CJ27" t="n">
        <v>20.289</v>
      </c>
      <c r="CK27" t="n">
        <v>138</v>
      </c>
      <c r="CL27" t="n">
        <v>166</v>
      </c>
      <c r="CM27" t="n">
        <v>57</v>
      </c>
      <c r="CN27" t="n">
        <v>40</v>
      </c>
      <c r="CO27" t="n">
        <v>30</v>
      </c>
      <c r="CP27" t="n">
        <v>100</v>
      </c>
      <c r="CQ27" t="n">
        <v>8</v>
      </c>
      <c r="CR27" t="n">
        <v>157</v>
      </c>
      <c r="CS27" t="n">
        <v>42</v>
      </c>
      <c r="CT27" t="n">
        <v>0.3</v>
      </c>
      <c r="CU27" t="n">
        <v>1</v>
      </c>
      <c r="CV27" t="n">
        <v>2</v>
      </c>
      <c r="CW27" t="n">
        <v>34.89</v>
      </c>
      <c r="CX27" t="n">
        <v>1.098</v>
      </c>
      <c r="CY27" t="n">
        <v>0</v>
      </c>
      <c r="DB27" t="n">
        <v>0</v>
      </c>
      <c r="DE27" t="n">
        <v>7.45</v>
      </c>
      <c r="DF27" t="n">
        <v>5</v>
      </c>
      <c r="DG27" t="n">
        <v>0</v>
      </c>
      <c r="DH27" t="n">
        <v>17</v>
      </c>
      <c r="DI27" t="n">
        <v>30</v>
      </c>
      <c r="DJ27" t="n">
        <v>1</v>
      </c>
      <c r="DK27" t="n">
        <v>1</v>
      </c>
      <c r="DL27" t="n">
        <v>28</v>
      </c>
      <c r="DM27" t="n">
        <v>18</v>
      </c>
      <c r="DN27" t="n">
        <v>4</v>
      </c>
      <c r="DO27" t="n">
        <v>4.6</v>
      </c>
      <c r="DP27" t="n">
        <v>138.68</v>
      </c>
      <c r="DQ27" t="n">
        <v>69.34</v>
      </c>
      <c r="DR27" t="n">
        <v>138.68</v>
      </c>
      <c r="DS27" t="n">
        <v>0</v>
      </c>
      <c r="DT27" t="n">
        <v>2896</v>
      </c>
      <c r="DU27" t="n">
        <v>76.2</v>
      </c>
      <c r="DV27" t="inlineStr">
        <is>
          <t>flat</t>
        </is>
      </c>
      <c r="DW27" t="n">
        <v>49.93</v>
      </c>
      <c r="DX27" t="n">
        <v>55.14</v>
      </c>
      <c r="DY27" t="n">
        <v>18.5</v>
      </c>
      <c r="DZ27" t="n">
        <v>14.4</v>
      </c>
      <c r="EA27" t="n">
        <v>120</v>
      </c>
      <c r="EB27" t="n">
        <v>177</v>
      </c>
      <c r="EC27" t="n">
        <v>85.09999999999999</v>
      </c>
      <c r="ED27" t="n">
        <v>16.9</v>
      </c>
      <c r="EE27" t="n">
        <v>62</v>
      </c>
      <c r="EF27" t="n">
        <v>408.7</v>
      </c>
      <c r="EG27" t="n">
        <v>71.5</v>
      </c>
      <c r="EH27" t="n">
        <v>102.2</v>
      </c>
      <c r="EI27" t="n">
        <v>5634.8</v>
      </c>
      <c r="EJ27" t="n">
        <v>1073.7</v>
      </c>
      <c r="EK27" t="n">
        <v>901.9</v>
      </c>
      <c r="EL27" t="n">
        <v>18.6</v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n">
        <v>5.5</v>
      </c>
      <c r="F28" t="b">
        <v>1</v>
      </c>
      <c r="G28" t="b">
        <v>1</v>
      </c>
      <c r="H28" t="n">
        <v>28.8</v>
      </c>
      <c r="I28" t="inlineStr">
        <is>
          <t>d</t>
        </is>
      </c>
      <c r="J28" t="inlineStr">
        <is>
          <t>Knock - 75% chance of playing</t>
        </is>
      </c>
      <c r="K28" t="n">
        <v>75</v>
      </c>
      <c r="L28" t="inlineStr">
        <is>
          <t>p200834</t>
        </is>
      </c>
      <c r="M28" t="n">
        <v>533</v>
      </c>
      <c r="Q28" t="n">
        <v>2784</v>
      </c>
      <c r="R28" t="n">
        <v>32</v>
      </c>
      <c r="S28" t="n">
        <v>32</v>
      </c>
      <c r="T28" t="n">
        <v>30.933</v>
      </c>
      <c r="U28" t="n">
        <v>87</v>
      </c>
      <c r="V28" t="n">
        <v>151</v>
      </c>
      <c r="W28" t="n">
        <v>4.881</v>
      </c>
      <c r="X28" t="n">
        <v>3</v>
      </c>
      <c r="Y28" t="n">
        <v>5</v>
      </c>
      <c r="Z28" t="n">
        <v>4</v>
      </c>
      <c r="AA28" t="n">
        <v>9</v>
      </c>
      <c r="AB28" t="n">
        <v>40</v>
      </c>
      <c r="AC28" t="n">
        <v>11</v>
      </c>
      <c r="AD28" t="n">
        <v>11</v>
      </c>
      <c r="AE28" t="n">
        <v>0</v>
      </c>
      <c r="AF28" t="n">
        <v>489</v>
      </c>
      <c r="AG28" t="n">
        <v>452</v>
      </c>
      <c r="AH28" t="n">
        <v>-37</v>
      </c>
      <c r="AI28" t="n">
        <v>151</v>
      </c>
      <c r="AJ28" t="n">
        <v>0.073</v>
      </c>
      <c r="AK28" t="n">
        <v>0.079</v>
      </c>
      <c r="AL28" t="n">
        <v>273</v>
      </c>
      <c r="AM28" t="n">
        <v>8.824999999999999</v>
      </c>
      <c r="AN28" t="n">
        <v>13</v>
      </c>
      <c r="AO28" t="n">
        <v>26</v>
      </c>
      <c r="AP28" t="n">
        <v>0.406</v>
      </c>
      <c r="AQ28" t="n">
        <v>0.406</v>
      </c>
      <c r="AR28" t="n">
        <v>0.281</v>
      </c>
      <c r="AS28" t="n">
        <v>0.842</v>
      </c>
      <c r="AT28" t="n">
        <v>0.969</v>
      </c>
      <c r="AU28" t="n">
        <v>11</v>
      </c>
      <c r="AV28" t="n">
        <v>5</v>
      </c>
      <c r="AW28" t="n">
        <v>4.29</v>
      </c>
      <c r="AX28" t="n">
        <v>17</v>
      </c>
      <c r="AY28" t="n">
        <v>1.62</v>
      </c>
      <c r="AZ28" t="n">
        <v>2.779</v>
      </c>
      <c r="BA28" t="n">
        <v>2.199</v>
      </c>
      <c r="BB28" t="n">
        <v>2.779</v>
      </c>
      <c r="BC28" t="n">
        <v>0.052</v>
      </c>
      <c r="BD28" t="n">
        <v>0.09</v>
      </c>
      <c r="BE28" t="n">
        <v>0.07099999999999999</v>
      </c>
      <c r="BF28" t="n">
        <v>1.3</v>
      </c>
      <c r="BG28" t="n">
        <v>0.042</v>
      </c>
      <c r="BH28" t="n">
        <v>0.967</v>
      </c>
      <c r="BI28" t="n">
        <v>1.62</v>
      </c>
      <c r="BJ28" t="n">
        <v>1.566</v>
      </c>
      <c r="BK28" t="n">
        <v>0.051</v>
      </c>
      <c r="BL28" t="n">
        <v>0.801</v>
      </c>
      <c r="BM28" t="n">
        <v>-0.32</v>
      </c>
      <c r="BN28" t="n">
        <v>1.7</v>
      </c>
      <c r="BO28" t="n">
        <v>-1.159</v>
      </c>
      <c r="BP28" t="n">
        <v>26</v>
      </c>
      <c r="BQ28" t="n">
        <v>4</v>
      </c>
      <c r="BR28" t="n">
        <v>3</v>
      </c>
      <c r="BS28" t="n">
        <v>58</v>
      </c>
      <c r="BT28" t="n">
        <v>1.875</v>
      </c>
      <c r="BV28" t="n">
        <v>1</v>
      </c>
      <c r="BW28" t="n">
        <v>2.65</v>
      </c>
      <c r="BX28" t="n">
        <v>2.753</v>
      </c>
      <c r="BY28" t="n">
        <v>2.701</v>
      </c>
      <c r="BZ28" t="n">
        <v>0.08699999999999999</v>
      </c>
      <c r="CA28" t="n">
        <v>4.901</v>
      </c>
      <c r="CB28" t="n">
        <v>0.158</v>
      </c>
      <c r="CC28" t="n">
        <v>23</v>
      </c>
      <c r="CD28" t="n">
        <v>7</v>
      </c>
      <c r="CE28" t="n">
        <v>24</v>
      </c>
      <c r="CF28" t="n">
        <v>14</v>
      </c>
      <c r="CG28" t="n">
        <v>2</v>
      </c>
      <c r="CI28" t="n">
        <v>9.077</v>
      </c>
      <c r="CJ28" t="n">
        <v>6.989</v>
      </c>
      <c r="CK28" t="n">
        <v>204</v>
      </c>
      <c r="CL28" t="n">
        <v>131</v>
      </c>
      <c r="CM28" t="n">
        <v>69</v>
      </c>
      <c r="CN28" t="n">
        <v>46</v>
      </c>
      <c r="CO28" t="n">
        <v>40</v>
      </c>
      <c r="CP28" t="n">
        <v>156</v>
      </c>
      <c r="CQ28" t="n">
        <v>10</v>
      </c>
      <c r="CR28" t="n">
        <v>183</v>
      </c>
      <c r="CS28" t="n">
        <v>79</v>
      </c>
      <c r="CT28" t="n">
        <v>0.1</v>
      </c>
      <c r="CU28" t="n">
        <v>1</v>
      </c>
      <c r="CV28" t="n">
        <v>2</v>
      </c>
      <c r="CW28" t="n">
        <v>44.71</v>
      </c>
      <c r="CX28" t="n">
        <v>1.445</v>
      </c>
      <c r="CY28" t="n">
        <v>0</v>
      </c>
      <c r="DB28" t="n">
        <v>0</v>
      </c>
      <c r="DE28" t="n">
        <v>7.13</v>
      </c>
      <c r="DF28" t="n">
        <v>5</v>
      </c>
      <c r="DG28" t="n">
        <v>0</v>
      </c>
      <c r="DH28" t="n">
        <v>35</v>
      </c>
      <c r="DI28" t="n">
        <v>26</v>
      </c>
      <c r="DL28" t="n">
        <v>13</v>
      </c>
      <c r="DM28" t="n">
        <v>15</v>
      </c>
      <c r="DN28" t="n">
        <v>3</v>
      </c>
      <c r="DO28" t="n">
        <v>4.4</v>
      </c>
      <c r="DP28" t="n">
        <v>137.29</v>
      </c>
      <c r="DQ28" t="n">
        <v>68.65000000000001</v>
      </c>
      <c r="DR28" t="n">
        <v>137.3</v>
      </c>
      <c r="DS28" t="n">
        <v>-0.01</v>
      </c>
      <c r="DT28" t="n">
        <v>3312</v>
      </c>
      <c r="DU28" t="n">
        <v>87.15000000000001</v>
      </c>
      <c r="DV28" t="inlineStr">
        <is>
          <t>flat</t>
        </is>
      </c>
      <c r="DW28" t="n">
        <v>73.59999999999999</v>
      </c>
      <c r="DX28" t="n">
        <v>79.09999999999999</v>
      </c>
      <c r="DY28" t="n">
        <v>19.2</v>
      </c>
      <c r="DZ28" t="n">
        <v>25.78</v>
      </c>
      <c r="EA28" t="n">
        <v>119</v>
      </c>
      <c r="EB28" t="n">
        <v>133</v>
      </c>
      <c r="EC28" t="n">
        <v>63.9</v>
      </c>
      <c r="ED28" t="n">
        <v>31.4</v>
      </c>
      <c r="EE28" t="n">
        <v>112</v>
      </c>
      <c r="EF28" t="n">
        <v>107.1</v>
      </c>
      <c r="EG28" t="n">
        <v>48</v>
      </c>
      <c r="EH28" t="n">
        <v>116</v>
      </c>
      <c r="EI28" t="n">
        <v>1265.8</v>
      </c>
      <c r="EJ28" t="n">
        <v>1030.6</v>
      </c>
      <c r="EK28" t="n">
        <v>568.1</v>
      </c>
      <c r="EL28" t="n">
        <v>18.4</v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n">
        <v>6.5</v>
      </c>
      <c r="F29" t="b">
        <v>1</v>
      </c>
      <c r="G29" t="b">
        <v>1</v>
      </c>
      <c r="H29" t="n">
        <v>28</v>
      </c>
      <c r="I29" t="inlineStr">
        <is>
          <t>a</t>
        </is>
      </c>
      <c r="L29" t="inlineStr">
        <is>
          <t>p215413</t>
        </is>
      </c>
      <c r="M29" t="n">
        <v>236</v>
      </c>
      <c r="O29" t="n">
        <v>2</v>
      </c>
      <c r="Q29" t="n">
        <v>2629</v>
      </c>
      <c r="R29" t="n">
        <v>31</v>
      </c>
      <c r="S29" t="n">
        <v>30</v>
      </c>
      <c r="T29" t="n">
        <v>29.211</v>
      </c>
      <c r="U29" t="n">
        <v>84.8</v>
      </c>
      <c r="V29" t="n">
        <v>151</v>
      </c>
      <c r="W29" t="n">
        <v>5.169</v>
      </c>
      <c r="X29" t="n">
        <v>8</v>
      </c>
      <c r="Y29" t="n">
        <v>7</v>
      </c>
      <c r="Z29" t="n">
        <v>4</v>
      </c>
      <c r="AA29" t="n">
        <v>8</v>
      </c>
      <c r="AB29" t="n">
        <v>39</v>
      </c>
      <c r="AC29" t="n">
        <v>18</v>
      </c>
      <c r="AD29" t="n">
        <v>18</v>
      </c>
      <c r="AE29" t="n">
        <v>0</v>
      </c>
      <c r="AF29" t="n">
        <v>598</v>
      </c>
      <c r="AG29" t="n">
        <v>589</v>
      </c>
      <c r="AH29" t="n">
        <v>-9</v>
      </c>
      <c r="AI29" t="n">
        <v>151</v>
      </c>
      <c r="AJ29" t="n">
        <v>0.119</v>
      </c>
      <c r="AK29" t="n">
        <v>0.135</v>
      </c>
      <c r="AL29" t="n">
        <v>230</v>
      </c>
      <c r="AM29" t="n">
        <v>7.874</v>
      </c>
      <c r="AN29" t="n">
        <v>5</v>
      </c>
      <c r="AO29" t="n">
        <v>10</v>
      </c>
      <c r="AP29" t="n">
        <v>0.167</v>
      </c>
      <c r="AQ29" t="n">
        <v>0.367</v>
      </c>
      <c r="AR29" t="n">
        <v>0.167</v>
      </c>
      <c r="AS29" t="n">
        <v>0.789</v>
      </c>
      <c r="AT29" t="n">
        <v>0.9350000000000001</v>
      </c>
      <c r="AU29" t="n">
        <v>16</v>
      </c>
      <c r="AV29" t="n">
        <v>4</v>
      </c>
      <c r="AW29" t="n">
        <v>4.28</v>
      </c>
      <c r="AX29" t="n">
        <v>16</v>
      </c>
      <c r="AY29" t="n">
        <v>4.35</v>
      </c>
      <c r="AZ29" t="n">
        <v>4.33</v>
      </c>
      <c r="BA29" t="n">
        <v>4.34</v>
      </c>
      <c r="BB29" t="n">
        <v>4.33</v>
      </c>
      <c r="BC29" t="n">
        <v>0.149</v>
      </c>
      <c r="BD29" t="n">
        <v>0.148</v>
      </c>
      <c r="BE29" t="n">
        <v>0.149</v>
      </c>
      <c r="BF29" t="n">
        <v>4.8</v>
      </c>
      <c r="BG29" t="n">
        <v>0.164</v>
      </c>
      <c r="BH29" t="n">
        <v>1.024</v>
      </c>
      <c r="BI29" t="n">
        <v>6.74</v>
      </c>
      <c r="BJ29" t="n">
        <v>4.456</v>
      </c>
      <c r="BK29" t="n">
        <v>0.153</v>
      </c>
      <c r="BL29" t="n">
        <v>3.66</v>
      </c>
      <c r="BM29" t="n">
        <v>0.45</v>
      </c>
      <c r="BN29" t="n">
        <v>3.2</v>
      </c>
      <c r="BO29" t="n">
        <v>0.02</v>
      </c>
      <c r="BP29" t="n">
        <v>39</v>
      </c>
      <c r="BQ29" t="n">
        <v>15</v>
      </c>
      <c r="BR29" t="n">
        <v>3</v>
      </c>
      <c r="BS29" t="n">
        <v>84</v>
      </c>
      <c r="BT29" t="n">
        <v>2.876</v>
      </c>
      <c r="BW29" t="n">
        <v>5.34</v>
      </c>
      <c r="BX29" t="n">
        <v>6.575</v>
      </c>
      <c r="BY29" t="n">
        <v>5.957</v>
      </c>
      <c r="BZ29" t="n">
        <v>0.204</v>
      </c>
      <c r="CA29" t="n">
        <v>10.297</v>
      </c>
      <c r="CB29" t="n">
        <v>0.353</v>
      </c>
      <c r="CC29" t="n">
        <v>36</v>
      </c>
      <c r="CD29" t="n">
        <v>10</v>
      </c>
      <c r="CE29" t="n">
        <v>37</v>
      </c>
      <c r="CF29" t="n">
        <v>21</v>
      </c>
      <c r="CG29" t="n">
        <v>1</v>
      </c>
      <c r="CH29" t="n">
        <v>43</v>
      </c>
      <c r="CI29" t="n">
        <v>14.278</v>
      </c>
      <c r="CJ29" t="n">
        <v>8.121</v>
      </c>
      <c r="CK29" t="n">
        <v>44</v>
      </c>
      <c r="CL29" t="n">
        <v>134</v>
      </c>
      <c r="CM29" t="n">
        <v>52</v>
      </c>
      <c r="CN29" t="n">
        <v>25</v>
      </c>
      <c r="CO29" t="n">
        <v>12</v>
      </c>
      <c r="CP29" t="n">
        <v>28</v>
      </c>
      <c r="CQ29" t="n">
        <v>4</v>
      </c>
      <c r="CR29" t="n">
        <v>147</v>
      </c>
      <c r="CS29" t="n">
        <v>21</v>
      </c>
      <c r="CT29" t="n">
        <v>0.7</v>
      </c>
      <c r="CV29" t="n">
        <v>1</v>
      </c>
      <c r="CW29" t="n">
        <v>40.38</v>
      </c>
      <c r="CX29" t="n">
        <v>1.382</v>
      </c>
      <c r="CY29" t="n">
        <v>0</v>
      </c>
      <c r="DB29" t="n">
        <v>0</v>
      </c>
      <c r="DE29" t="n">
        <v>7.17</v>
      </c>
      <c r="DF29" t="n">
        <v>6</v>
      </c>
      <c r="DG29" t="n">
        <v>0</v>
      </c>
      <c r="DH29" t="n">
        <v>32</v>
      </c>
      <c r="DI29" t="n">
        <v>48</v>
      </c>
      <c r="DK29" t="n">
        <v>1</v>
      </c>
      <c r="DL29" t="n">
        <v>27</v>
      </c>
      <c r="DM29" t="n">
        <v>49</v>
      </c>
      <c r="DN29" t="n">
        <v>2</v>
      </c>
      <c r="DO29" t="n">
        <v>3.7</v>
      </c>
      <c r="DP29" t="n">
        <v>146.14</v>
      </c>
      <c r="DQ29" t="n">
        <v>73.2</v>
      </c>
      <c r="DR29" t="n">
        <v>146.4</v>
      </c>
      <c r="DS29" t="n">
        <v>-0.26</v>
      </c>
      <c r="DT29" t="n">
        <v>3152</v>
      </c>
      <c r="DU29" t="n">
        <v>82.95</v>
      </c>
      <c r="DV29" t="inlineStr">
        <is>
          <t>flat</t>
        </is>
      </c>
      <c r="DW29" t="n">
        <v>48.5</v>
      </c>
      <c r="DX29" t="n">
        <v>52.73</v>
      </c>
      <c r="DY29" t="n">
        <v>20.07</v>
      </c>
      <c r="DZ29" t="n">
        <v>16.67</v>
      </c>
      <c r="EA29" t="n">
        <v>109.33</v>
      </c>
      <c r="EB29" t="n">
        <v>158</v>
      </c>
      <c r="EC29" t="n">
        <v>76</v>
      </c>
      <c r="ED29" t="n">
        <v>21.4</v>
      </c>
      <c r="EE29" t="n">
        <v>35</v>
      </c>
      <c r="EF29" t="n">
        <v>67.40000000000001</v>
      </c>
      <c r="EG29" t="n">
        <v>31.3</v>
      </c>
      <c r="EH29" t="n">
        <v>71.09999999999999</v>
      </c>
      <c r="EI29" t="n">
        <v>605.8</v>
      </c>
      <c r="EJ29" t="n">
        <v>441.3</v>
      </c>
      <c r="EK29" t="n">
        <v>255.3</v>
      </c>
      <c r="EL29" t="n">
        <v>17.4</v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n">
        <v>6.5</v>
      </c>
      <c r="F30" t="b">
        <v>1</v>
      </c>
      <c r="G30" t="b">
        <v>1</v>
      </c>
      <c r="H30" t="n">
        <v>25.2</v>
      </c>
      <c r="I30" t="inlineStr">
        <is>
          <t>i</t>
        </is>
      </c>
      <c r="J30" t="inlineStr">
        <is>
          <t>Groin injury - Unknown return date</t>
        </is>
      </c>
      <c r="K30" t="n">
        <v>0</v>
      </c>
      <c r="L30" t="inlineStr">
        <is>
          <t>p445122</t>
        </is>
      </c>
      <c r="M30" t="n">
        <v>5</v>
      </c>
      <c r="Q30" t="n">
        <v>2452</v>
      </c>
      <c r="R30" t="n">
        <v>30</v>
      </c>
      <c r="S30" t="n">
        <v>28</v>
      </c>
      <c r="T30" t="n">
        <v>27.244</v>
      </c>
      <c r="U30" t="n">
        <v>81.7</v>
      </c>
      <c r="V30" t="n">
        <v>149</v>
      </c>
      <c r="W30" t="n">
        <v>5.469</v>
      </c>
      <c r="X30" t="n">
        <v>3</v>
      </c>
      <c r="Y30" t="n">
        <v>6</v>
      </c>
      <c r="Z30" t="n">
        <v>5</v>
      </c>
      <c r="AA30" t="n">
        <v>13</v>
      </c>
      <c r="AB30" t="n">
        <v>20</v>
      </c>
      <c r="AC30" t="n">
        <v>9</v>
      </c>
      <c r="AD30" t="n">
        <v>10</v>
      </c>
      <c r="AE30" t="n">
        <v>1</v>
      </c>
      <c r="AF30" t="n">
        <v>532</v>
      </c>
      <c r="AG30" t="n">
        <v>514</v>
      </c>
      <c r="AH30" t="n">
        <v>-18</v>
      </c>
      <c r="AI30" t="n">
        <v>150</v>
      </c>
      <c r="AJ30" t="n">
        <v>0.06</v>
      </c>
      <c r="AK30" t="n">
        <v>0.064</v>
      </c>
      <c r="AL30" t="n">
        <v>148</v>
      </c>
      <c r="AM30" t="n">
        <v>5.432</v>
      </c>
      <c r="AN30" t="n">
        <v>3</v>
      </c>
      <c r="AO30" t="n">
        <v>6</v>
      </c>
      <c r="AP30" t="n">
        <v>0.107</v>
      </c>
      <c r="AQ30" t="n">
        <v>0.107</v>
      </c>
      <c r="AR30" t="n">
        <v>0.036</v>
      </c>
      <c r="AS30" t="n">
        <v>0.737</v>
      </c>
      <c r="AT30" t="n">
        <v>0.867</v>
      </c>
      <c r="AU30" t="n">
        <v>12</v>
      </c>
      <c r="AV30" t="n">
        <v>3</v>
      </c>
      <c r="AW30" t="n">
        <v>4.75</v>
      </c>
      <c r="AX30" t="n">
        <v>24</v>
      </c>
      <c r="AY30" t="n">
        <v>4.71</v>
      </c>
      <c r="AZ30" t="n">
        <v>4.031</v>
      </c>
      <c r="BA30" t="n">
        <v>4.37</v>
      </c>
      <c r="BB30" t="n">
        <v>4.031</v>
      </c>
      <c r="BC30" t="n">
        <v>0.173</v>
      </c>
      <c r="BD30" t="n">
        <v>0.148</v>
      </c>
      <c r="BE30" t="n">
        <v>0.16</v>
      </c>
      <c r="BF30" t="n">
        <v>4.2</v>
      </c>
      <c r="BG30" t="n">
        <v>0.154</v>
      </c>
      <c r="BH30" t="n">
        <v>0.9330000000000001</v>
      </c>
      <c r="BI30" t="n">
        <v>5.94</v>
      </c>
      <c r="BJ30" t="n">
        <v>4.392</v>
      </c>
      <c r="BK30" t="n">
        <v>0.161</v>
      </c>
      <c r="BL30" t="n">
        <v>-1.37</v>
      </c>
      <c r="BM30" t="n">
        <v>-0.51</v>
      </c>
      <c r="BN30" t="n">
        <v>-1.2</v>
      </c>
      <c r="BO30" t="n">
        <v>0.679</v>
      </c>
      <c r="BP30" t="n">
        <v>25</v>
      </c>
      <c r="BQ30" t="n">
        <v>7</v>
      </c>
      <c r="BR30" t="n">
        <v>7</v>
      </c>
      <c r="BS30" t="n">
        <v>91</v>
      </c>
      <c r="BT30" t="n">
        <v>3.34</v>
      </c>
      <c r="BV30" t="n">
        <v>2</v>
      </c>
      <c r="BW30" t="n">
        <v>1.53</v>
      </c>
      <c r="BX30" t="n">
        <v>2.589</v>
      </c>
      <c r="BY30" t="n">
        <v>2.06</v>
      </c>
      <c r="BZ30" t="n">
        <v>0.076</v>
      </c>
      <c r="CA30" t="n">
        <v>6.43</v>
      </c>
      <c r="CB30" t="n">
        <v>0.236</v>
      </c>
      <c r="CC30" t="n">
        <v>28</v>
      </c>
      <c r="CD30" t="n">
        <v>4</v>
      </c>
      <c r="CE30" t="n">
        <v>27</v>
      </c>
      <c r="CF30" t="n">
        <v>6</v>
      </c>
      <c r="CG30" t="n">
        <v>3</v>
      </c>
      <c r="CH30" t="n">
        <v>1</v>
      </c>
      <c r="CI30" t="n">
        <v>11.439</v>
      </c>
      <c r="CJ30" t="n">
        <v>8.659000000000001</v>
      </c>
      <c r="CK30" t="n">
        <v>82</v>
      </c>
      <c r="CL30" t="n">
        <v>97</v>
      </c>
      <c r="CM30" t="n">
        <v>66</v>
      </c>
      <c r="CN30" t="n">
        <v>37</v>
      </c>
      <c r="CO30" t="n">
        <v>24</v>
      </c>
      <c r="CP30" t="n">
        <v>53</v>
      </c>
      <c r="CQ30" t="n">
        <v>6</v>
      </c>
      <c r="CR30" t="n">
        <v>147</v>
      </c>
      <c r="CS30" t="n">
        <v>40</v>
      </c>
      <c r="CT30" t="n">
        <v>0.3</v>
      </c>
      <c r="CV30" t="n">
        <v>1</v>
      </c>
      <c r="CW30" t="n">
        <v>17.45</v>
      </c>
      <c r="CX30" t="n">
        <v>0.64</v>
      </c>
      <c r="CY30" t="n">
        <v>0</v>
      </c>
      <c r="DB30" t="n">
        <v>0</v>
      </c>
      <c r="DE30" t="n">
        <v>7.26</v>
      </c>
      <c r="DF30" t="n">
        <v>5</v>
      </c>
      <c r="DG30" t="n">
        <v>0</v>
      </c>
      <c r="DH30" t="n">
        <v>38</v>
      </c>
      <c r="DI30" t="n">
        <v>29</v>
      </c>
      <c r="DJ30" t="n">
        <v>1</v>
      </c>
      <c r="DL30" t="n">
        <v>13</v>
      </c>
      <c r="DM30" t="n">
        <v>25</v>
      </c>
      <c r="DN30" t="n">
        <v>0</v>
      </c>
      <c r="DO30" t="n">
        <v>0.3</v>
      </c>
      <c r="DP30" t="n">
        <v>154.51</v>
      </c>
      <c r="DQ30" t="n">
        <v>74.34</v>
      </c>
      <c r="DR30" t="n">
        <v>148.68</v>
      </c>
      <c r="DS30" t="n">
        <v>5.83</v>
      </c>
      <c r="DT30" t="n">
        <v>2878</v>
      </c>
      <c r="DU30" t="n">
        <v>75.75</v>
      </c>
      <c r="DV30" t="inlineStr">
        <is>
          <t>flat</t>
        </is>
      </c>
      <c r="DW30" t="n">
        <v>52.17</v>
      </c>
      <c r="DX30" t="n">
        <v>50</v>
      </c>
      <c r="DY30" t="n">
        <v>22.56</v>
      </c>
      <c r="DZ30" t="n">
        <v>17.45</v>
      </c>
      <c r="EA30" t="n">
        <v>112</v>
      </c>
      <c r="EB30" t="n">
        <v>150</v>
      </c>
      <c r="EC30" t="n">
        <v>72.09999999999999</v>
      </c>
      <c r="ED30" t="n">
        <v>27.2</v>
      </c>
      <c r="EE30" t="n">
        <v>36</v>
      </c>
      <c r="EF30" t="n">
        <v>98.09999999999999</v>
      </c>
      <c r="EG30" t="n">
        <v>26.9</v>
      </c>
      <c r="EH30" t="n">
        <v>90.8</v>
      </c>
      <c r="EI30" t="n">
        <v>561</v>
      </c>
      <c r="EJ30" t="n">
        <v>1190.5</v>
      </c>
      <c r="EK30" t="n">
        <v>381.3</v>
      </c>
      <c r="EL30" t="n">
        <v>16.5</v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n">
        <v>8</v>
      </c>
      <c r="F31" t="b">
        <v>1</v>
      </c>
      <c r="G31" t="b">
        <v>1</v>
      </c>
      <c r="H31" t="n">
        <v>27</v>
      </c>
      <c r="I31" t="inlineStr">
        <is>
          <t>a</t>
        </is>
      </c>
      <c r="L31" t="inlineStr">
        <is>
          <t>p446008</t>
        </is>
      </c>
      <c r="M31" t="n">
        <v>427</v>
      </c>
      <c r="N31" t="n">
        <v>2</v>
      </c>
      <c r="O31" t="n">
        <v>2</v>
      </c>
      <c r="P31" t="n">
        <v>2</v>
      </c>
      <c r="Q31" t="n">
        <v>2611</v>
      </c>
      <c r="R31" t="n">
        <v>33</v>
      </c>
      <c r="S31" t="n">
        <v>31</v>
      </c>
      <c r="T31" t="n">
        <v>29.011</v>
      </c>
      <c r="U31" t="n">
        <v>79.09999999999999</v>
      </c>
      <c r="V31" t="n">
        <v>148</v>
      </c>
      <c r="W31" t="n">
        <v>5.101</v>
      </c>
      <c r="X31" t="n">
        <v>11</v>
      </c>
      <c r="Y31" t="n">
        <v>3</v>
      </c>
      <c r="Z31" t="n">
        <v>3</v>
      </c>
      <c r="AA31" t="n">
        <v>8</v>
      </c>
      <c r="AB31" t="n">
        <v>37</v>
      </c>
      <c r="AC31" t="n">
        <v>16</v>
      </c>
      <c r="AD31" t="n">
        <v>17</v>
      </c>
      <c r="AE31" t="n">
        <v>1</v>
      </c>
      <c r="AF31" t="n">
        <v>528</v>
      </c>
      <c r="AG31" t="n">
        <v>525</v>
      </c>
      <c r="AH31" t="n">
        <v>-3</v>
      </c>
      <c r="AI31" t="n">
        <v>149</v>
      </c>
      <c r="AJ31" t="n">
        <v>0.108</v>
      </c>
      <c r="AK31" t="n">
        <v>0.121</v>
      </c>
      <c r="AL31" t="n">
        <v>139</v>
      </c>
      <c r="AM31" t="n">
        <v>4.791</v>
      </c>
      <c r="AN31" t="n">
        <v>0</v>
      </c>
      <c r="AO31" t="n">
        <v>0</v>
      </c>
      <c r="AP31" t="n">
        <v>0</v>
      </c>
      <c r="AQ31" t="n">
        <v>0.032</v>
      </c>
      <c r="AR31" t="n">
        <v>0</v>
      </c>
      <c r="AS31" t="n">
        <v>0.8159999999999999</v>
      </c>
      <c r="AT31" t="n">
        <v>0.9389999999999999</v>
      </c>
      <c r="AU31" t="n">
        <v>17</v>
      </c>
      <c r="AV31" t="n">
        <v>3</v>
      </c>
      <c r="AW31" t="n">
        <v>3.7</v>
      </c>
      <c r="AX31" t="n">
        <v>15</v>
      </c>
      <c r="AY31" t="n">
        <v>11.98</v>
      </c>
      <c r="AZ31" t="n">
        <v>13.309</v>
      </c>
      <c r="BA31" t="n">
        <v>12.645</v>
      </c>
      <c r="BB31" t="n">
        <v>13.309</v>
      </c>
      <c r="BC31" t="n">
        <v>0.413</v>
      </c>
      <c r="BD31" t="n">
        <v>0.459</v>
      </c>
      <c r="BE31" t="n">
        <v>0.436</v>
      </c>
      <c r="BF31" t="n">
        <v>9.9</v>
      </c>
      <c r="BG31" t="n">
        <v>0.341</v>
      </c>
      <c r="BH31" t="n">
        <v>1.029</v>
      </c>
      <c r="BI31" t="n">
        <v>43.68</v>
      </c>
      <c r="BJ31" t="n">
        <v>12.332</v>
      </c>
      <c r="BK31" t="n">
        <v>0.425</v>
      </c>
      <c r="BL31" t="n">
        <v>-1.645</v>
      </c>
      <c r="BM31" t="n">
        <v>-2.08</v>
      </c>
      <c r="BN31" t="n">
        <v>1.1</v>
      </c>
      <c r="BO31" t="n">
        <v>-1.329</v>
      </c>
      <c r="BP31" t="n">
        <v>73</v>
      </c>
      <c r="BQ31" t="n">
        <v>32</v>
      </c>
      <c r="BR31" t="n">
        <v>13</v>
      </c>
      <c r="BS31" t="n">
        <v>150</v>
      </c>
      <c r="BT31" t="n">
        <v>5.17</v>
      </c>
      <c r="BV31" t="n">
        <v>1</v>
      </c>
      <c r="BW31" t="n">
        <v>4.99</v>
      </c>
      <c r="BX31" t="n">
        <v>5.091</v>
      </c>
      <c r="BY31" t="n">
        <v>5.041</v>
      </c>
      <c r="BZ31" t="n">
        <v>0.174</v>
      </c>
      <c r="CA31" t="n">
        <v>17.685</v>
      </c>
      <c r="CB31" t="n">
        <v>0.61</v>
      </c>
      <c r="CC31" t="n">
        <v>45</v>
      </c>
      <c r="CD31" t="n">
        <v>6</v>
      </c>
      <c r="CE31" t="n">
        <v>47</v>
      </c>
      <c r="CF31" t="n">
        <v>35</v>
      </c>
      <c r="CG31" t="n">
        <v>6</v>
      </c>
      <c r="CH31" t="n">
        <v>49</v>
      </c>
      <c r="CI31" t="n">
        <v>22.316</v>
      </c>
      <c r="CJ31" t="n">
        <v>6.068</v>
      </c>
      <c r="CK31" t="n">
        <v>23</v>
      </c>
      <c r="CL31" t="n">
        <v>91</v>
      </c>
      <c r="CM31" t="n">
        <v>25</v>
      </c>
      <c r="CN31" t="n">
        <v>11</v>
      </c>
      <c r="CO31" t="n">
        <v>8</v>
      </c>
      <c r="CP31" t="n">
        <v>14</v>
      </c>
      <c r="CQ31" t="n">
        <v>1</v>
      </c>
      <c r="CR31" t="n">
        <v>86</v>
      </c>
      <c r="CS31" t="n">
        <v>15</v>
      </c>
      <c r="CT31" t="n">
        <v>0.7</v>
      </c>
      <c r="CV31" t="n">
        <v>1</v>
      </c>
      <c r="CW31" t="n">
        <v>35.87</v>
      </c>
      <c r="CX31" t="n">
        <v>1.236</v>
      </c>
      <c r="CY31" t="n">
        <v>0</v>
      </c>
      <c r="DB31" t="n">
        <v>0</v>
      </c>
      <c r="DE31" t="n">
        <v>7.19</v>
      </c>
      <c r="DF31" t="n">
        <v>4</v>
      </c>
      <c r="DG31" t="n">
        <v>0</v>
      </c>
      <c r="DH31" t="n">
        <v>23</v>
      </c>
      <c r="DI31" t="n">
        <v>28</v>
      </c>
      <c r="DJ31" t="n">
        <v>1</v>
      </c>
      <c r="DL31" t="n">
        <v>18</v>
      </c>
      <c r="DM31" t="n">
        <v>29</v>
      </c>
      <c r="DN31" t="n">
        <v>7</v>
      </c>
      <c r="DO31" t="n">
        <v>26.7</v>
      </c>
      <c r="DP31" t="n">
        <v>166.11</v>
      </c>
      <c r="DQ31" t="n">
        <v>83.42</v>
      </c>
      <c r="DR31" t="n">
        <v>166.84</v>
      </c>
      <c r="DS31" t="n">
        <v>-0.73</v>
      </c>
      <c r="DT31" t="n">
        <v>2822</v>
      </c>
      <c r="DU31" t="n">
        <v>74.25</v>
      </c>
      <c r="DV31" t="inlineStr">
        <is>
          <t>flat</t>
        </is>
      </c>
      <c r="DW31" t="n">
        <v>12.56</v>
      </c>
      <c r="DX31" t="n">
        <v>11.4</v>
      </c>
      <c r="DY31" t="n">
        <v>9.51</v>
      </c>
      <c r="DZ31" t="n">
        <v>2</v>
      </c>
      <c r="EA31" t="n">
        <v>77.59999999999999</v>
      </c>
      <c r="EB31" t="n">
        <v>171</v>
      </c>
      <c r="EC31" t="n">
        <v>82.2</v>
      </c>
      <c r="ED31" t="n">
        <v>20.1</v>
      </c>
      <c r="EE31" t="n">
        <v>11</v>
      </c>
      <c r="EF31" t="n">
        <v>35.8</v>
      </c>
      <c r="EG31" t="n">
        <v>17.4</v>
      </c>
      <c r="EH31" t="n">
        <v>55.6</v>
      </c>
      <c r="EI31" t="n">
        <v>206.5</v>
      </c>
      <c r="EJ31" t="n">
        <v>518</v>
      </c>
      <c r="EK31" t="n">
        <v>147.6</v>
      </c>
      <c r="EL31" t="n">
        <v>17.6</v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n">
        <v>5</v>
      </c>
      <c r="F32" t="b">
        <v>1</v>
      </c>
      <c r="G32" t="b">
        <v>1</v>
      </c>
      <c r="H32" t="n">
        <v>26.2</v>
      </c>
      <c r="I32" t="inlineStr">
        <is>
          <t>a</t>
        </is>
      </c>
      <c r="L32" t="inlineStr">
        <is>
          <t>p469142</t>
        </is>
      </c>
      <c r="M32" t="n">
        <v>112</v>
      </c>
      <c r="Q32" t="n">
        <v>3210</v>
      </c>
      <c r="R32" t="n">
        <v>36</v>
      </c>
      <c r="S32" t="n">
        <v>36</v>
      </c>
      <c r="T32" t="n">
        <v>35.667</v>
      </c>
      <c r="U32" t="n">
        <v>89.2</v>
      </c>
      <c r="V32" t="n">
        <v>148</v>
      </c>
      <c r="W32" t="n">
        <v>4.15</v>
      </c>
      <c r="X32" t="n">
        <v>3</v>
      </c>
      <c r="Y32" t="n">
        <v>3</v>
      </c>
      <c r="Z32" t="n">
        <v>3</v>
      </c>
      <c r="AA32" t="n">
        <v>10</v>
      </c>
      <c r="AB32" t="n">
        <v>44</v>
      </c>
      <c r="AC32" t="n">
        <v>8</v>
      </c>
      <c r="AD32" t="n">
        <v>7</v>
      </c>
      <c r="AE32" t="n">
        <v>-1</v>
      </c>
      <c r="AF32" t="n">
        <v>575</v>
      </c>
      <c r="AG32" t="n">
        <v>529</v>
      </c>
      <c r="AH32" t="n">
        <v>-46</v>
      </c>
      <c r="AI32" t="n">
        <v>147</v>
      </c>
      <c r="AJ32" t="n">
        <v>0.054</v>
      </c>
      <c r="AK32" t="n">
        <v>0.057</v>
      </c>
      <c r="AL32" t="n">
        <v>317</v>
      </c>
      <c r="AM32" t="n">
        <v>8.888</v>
      </c>
      <c r="AN32" t="n">
        <v>13</v>
      </c>
      <c r="AO32" t="n">
        <v>26</v>
      </c>
      <c r="AP32" t="n">
        <v>0.361</v>
      </c>
      <c r="AQ32" t="n">
        <v>0.361</v>
      </c>
      <c r="AR32" t="n">
        <v>0.194</v>
      </c>
      <c r="AS32" t="n">
        <v>0.947</v>
      </c>
      <c r="AT32" t="n">
        <v>1</v>
      </c>
      <c r="AU32" t="n">
        <v>14</v>
      </c>
      <c r="AV32" t="n">
        <v>2</v>
      </c>
      <c r="AW32" t="n">
        <v>3</v>
      </c>
      <c r="AX32" t="n">
        <v>12</v>
      </c>
      <c r="AY32" t="n">
        <v>3.31</v>
      </c>
      <c r="AZ32" t="n">
        <v>3.359</v>
      </c>
      <c r="BA32" t="n">
        <v>3.334</v>
      </c>
      <c r="BB32" t="n">
        <v>3.359</v>
      </c>
      <c r="BC32" t="n">
        <v>0.093</v>
      </c>
      <c r="BD32" t="n">
        <v>0.094</v>
      </c>
      <c r="BE32" t="n">
        <v>0.093</v>
      </c>
      <c r="BF32" t="n">
        <v>3.8</v>
      </c>
      <c r="BG32" t="n">
        <v>0.107</v>
      </c>
      <c r="BH32" t="n">
        <v>0.973</v>
      </c>
      <c r="BI32" t="n">
        <v>6.6</v>
      </c>
      <c r="BJ32" t="n">
        <v>3.219</v>
      </c>
      <c r="BK32" t="n">
        <v>0.09</v>
      </c>
      <c r="BL32" t="n">
        <v>-0.334</v>
      </c>
      <c r="BM32" t="n">
        <v>0.49</v>
      </c>
      <c r="BN32" t="n">
        <v>-0.8</v>
      </c>
      <c r="BO32" t="n">
        <v>-0.049</v>
      </c>
      <c r="BP32" t="n">
        <v>23</v>
      </c>
      <c r="BQ32" t="n">
        <v>10</v>
      </c>
      <c r="BR32" t="n">
        <v>3</v>
      </c>
      <c r="BS32" t="n">
        <v>50</v>
      </c>
      <c r="BT32" t="n">
        <v>1.402</v>
      </c>
      <c r="BV32" t="n">
        <v>1</v>
      </c>
      <c r="BW32" t="n">
        <v>1.57</v>
      </c>
      <c r="BX32" t="n">
        <v>1.026</v>
      </c>
      <c r="BY32" t="n">
        <v>1.298</v>
      </c>
      <c r="BZ32" t="n">
        <v>0.036</v>
      </c>
      <c r="CA32" t="n">
        <v>4.632</v>
      </c>
      <c r="CB32" t="n">
        <v>0.13</v>
      </c>
      <c r="CC32" t="n">
        <v>12</v>
      </c>
      <c r="CD32" t="n">
        <v>2</v>
      </c>
      <c r="CE32" t="n">
        <v>13</v>
      </c>
      <c r="CF32" t="n">
        <v>10</v>
      </c>
      <c r="CI32" t="n">
        <v>14.122</v>
      </c>
      <c r="CJ32" t="n">
        <v>13.214</v>
      </c>
      <c r="CK32" t="n">
        <v>264</v>
      </c>
      <c r="CL32" t="n">
        <v>113</v>
      </c>
      <c r="CM32" t="n">
        <v>53</v>
      </c>
      <c r="CN32" t="n">
        <v>30</v>
      </c>
      <c r="CO32" t="n">
        <v>47</v>
      </c>
      <c r="CP32" t="n">
        <v>189</v>
      </c>
      <c r="CQ32" t="n">
        <v>28</v>
      </c>
      <c r="CR32" t="n">
        <v>209</v>
      </c>
      <c r="CS32" t="n">
        <v>114</v>
      </c>
      <c r="CT32" t="n">
        <v>0.1</v>
      </c>
      <c r="CU32" t="n">
        <v>4</v>
      </c>
      <c r="CW32" t="n">
        <v>46.27</v>
      </c>
      <c r="CX32" t="n">
        <v>1.297</v>
      </c>
      <c r="CY32" t="n">
        <v>0</v>
      </c>
      <c r="DB32" t="n">
        <v>0</v>
      </c>
      <c r="DE32" t="n">
        <v>7.1</v>
      </c>
      <c r="DF32" t="n">
        <v>9</v>
      </c>
      <c r="DG32" t="n">
        <v>0</v>
      </c>
      <c r="DH32" t="n">
        <v>27</v>
      </c>
      <c r="DI32" t="n">
        <v>43</v>
      </c>
      <c r="DK32" t="n">
        <v>1</v>
      </c>
      <c r="DL32" t="n">
        <v>3</v>
      </c>
      <c r="DM32" t="n">
        <v>6</v>
      </c>
      <c r="DN32" t="n">
        <v>4</v>
      </c>
      <c r="DO32" t="n">
        <v>8.6</v>
      </c>
      <c r="DP32" t="n">
        <v>142.34</v>
      </c>
      <c r="DQ32" t="n">
        <v>71.17</v>
      </c>
      <c r="DR32" t="n">
        <v>142.34</v>
      </c>
      <c r="DS32" t="n">
        <v>0</v>
      </c>
      <c r="DT32" t="n">
        <v>3181</v>
      </c>
      <c r="DU32" t="n">
        <v>83.7</v>
      </c>
      <c r="DV32" t="inlineStr">
        <is>
          <t>flat</t>
        </is>
      </c>
      <c r="DW32" t="n">
        <v>70.37</v>
      </c>
      <c r="DX32" t="n">
        <v>81.45999999999999</v>
      </c>
      <c r="DY32" t="n">
        <v>21.73</v>
      </c>
      <c r="DZ32" t="n">
        <v>28.57</v>
      </c>
      <c r="EA32" t="n">
        <v>120</v>
      </c>
      <c r="EB32" t="n">
        <v>172</v>
      </c>
      <c r="EC32" t="n">
        <v>82.7</v>
      </c>
      <c r="ED32" t="n">
        <v>12.7</v>
      </c>
      <c r="EE32" t="n">
        <v>223</v>
      </c>
      <c r="EF32" t="n">
        <v>139.6</v>
      </c>
      <c r="EG32" t="n">
        <v>64.2</v>
      </c>
      <c r="EH32" t="n">
        <v>246.9</v>
      </c>
      <c r="EI32" t="n">
        <v>962.7</v>
      </c>
      <c r="EJ32" t="n">
        <v>2473.4</v>
      </c>
      <c r="EK32" t="n">
        <v>693</v>
      </c>
      <c r="EL32" t="n">
        <v>21.7</v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n">
        <v>6</v>
      </c>
      <c r="F33" t="b">
        <v>1</v>
      </c>
      <c r="G33" t="b">
        <v>1</v>
      </c>
      <c r="H33" t="n">
        <v>26.5</v>
      </c>
      <c r="I33" t="inlineStr">
        <is>
          <t>a</t>
        </is>
      </c>
      <c r="L33" t="inlineStr">
        <is>
          <t>p484420</t>
        </is>
      </c>
      <c r="M33" t="n">
        <v>542</v>
      </c>
      <c r="N33" t="n">
        <v>2</v>
      </c>
      <c r="O33" t="n">
        <v>1</v>
      </c>
      <c r="P33" t="n">
        <v>2</v>
      </c>
      <c r="Q33" t="n">
        <v>2930</v>
      </c>
      <c r="R33" t="n">
        <v>36</v>
      </c>
      <c r="S33" t="n">
        <v>33</v>
      </c>
      <c r="T33" t="n">
        <v>32.556</v>
      </c>
      <c r="U33" t="n">
        <v>81.40000000000001</v>
      </c>
      <c r="V33" t="n">
        <v>147</v>
      </c>
      <c r="W33" t="n">
        <v>4.515</v>
      </c>
      <c r="X33" t="n">
        <v>5</v>
      </c>
      <c r="Y33" t="n">
        <v>6</v>
      </c>
      <c r="Z33" t="n">
        <v>6</v>
      </c>
      <c r="AA33" t="n">
        <v>10</v>
      </c>
      <c r="AB33" t="n">
        <v>43</v>
      </c>
      <c r="AC33" t="n">
        <v>16</v>
      </c>
      <c r="AD33" t="n">
        <v>15</v>
      </c>
      <c r="AE33" t="n">
        <v>-1</v>
      </c>
      <c r="AF33" t="n">
        <v>621</v>
      </c>
      <c r="AG33" t="n">
        <v>602</v>
      </c>
      <c r="AH33" t="n">
        <v>-19</v>
      </c>
      <c r="AI33" t="n">
        <v>146</v>
      </c>
      <c r="AJ33" t="n">
        <v>0.109</v>
      </c>
      <c r="AK33" t="n">
        <v>0.122</v>
      </c>
      <c r="AL33" t="n">
        <v>319</v>
      </c>
      <c r="AM33" t="n">
        <v>9.798999999999999</v>
      </c>
      <c r="AN33" t="n">
        <v>8</v>
      </c>
      <c r="AO33" t="n">
        <v>16</v>
      </c>
      <c r="AP33" t="n">
        <v>0.242</v>
      </c>
      <c r="AQ33" t="n">
        <v>0.424</v>
      </c>
      <c r="AR33" t="n">
        <v>0.242</v>
      </c>
      <c r="AS33" t="n">
        <v>0.868</v>
      </c>
      <c r="AT33" t="n">
        <v>0.917</v>
      </c>
      <c r="AU33" t="n">
        <v>18</v>
      </c>
      <c r="AV33" t="n">
        <v>4</v>
      </c>
      <c r="AW33" t="n">
        <v>3.43</v>
      </c>
      <c r="AX33" t="n">
        <v>13</v>
      </c>
      <c r="AY33" t="n">
        <v>5.22</v>
      </c>
      <c r="AZ33" t="n">
        <v>5.269</v>
      </c>
      <c r="BA33" t="n">
        <v>5.244</v>
      </c>
      <c r="BB33" t="n">
        <v>2.224</v>
      </c>
      <c r="BC33" t="n">
        <v>0.16</v>
      </c>
      <c r="BD33" t="n">
        <v>0.162</v>
      </c>
      <c r="BE33" t="n">
        <v>0.161</v>
      </c>
      <c r="BF33" t="n">
        <v>4.9</v>
      </c>
      <c r="BG33" t="n">
        <v>0.151</v>
      </c>
      <c r="BH33" t="n">
        <v>0.976</v>
      </c>
      <c r="BI33" t="n">
        <v>5.22</v>
      </c>
      <c r="BJ33" t="n">
        <v>5.094</v>
      </c>
      <c r="BK33" t="n">
        <v>0.156</v>
      </c>
      <c r="BL33" t="n">
        <v>-0.244</v>
      </c>
      <c r="BM33" t="n">
        <v>-0.32</v>
      </c>
      <c r="BN33" t="n">
        <v>0.1</v>
      </c>
      <c r="BO33" t="n">
        <v>-0.049</v>
      </c>
      <c r="BP33" t="n">
        <v>36</v>
      </c>
      <c r="BQ33" t="n">
        <v>12</v>
      </c>
      <c r="BR33" t="n">
        <v>1</v>
      </c>
      <c r="BS33" t="n">
        <v>62</v>
      </c>
      <c r="BT33" t="n">
        <v>1.904</v>
      </c>
      <c r="BU33" t="n">
        <v>3</v>
      </c>
      <c r="BW33" t="n">
        <v>5.95</v>
      </c>
      <c r="BX33" t="n">
        <v>7.546</v>
      </c>
      <c r="BY33" t="n">
        <v>6.748</v>
      </c>
      <c r="BZ33" t="n">
        <v>0.207</v>
      </c>
      <c r="CA33" t="n">
        <v>11.993</v>
      </c>
      <c r="CB33" t="n">
        <v>0.368</v>
      </c>
      <c r="CC33" t="n">
        <v>53</v>
      </c>
      <c r="CD33" t="n">
        <v>13</v>
      </c>
      <c r="CE33" t="n">
        <v>53</v>
      </c>
      <c r="CF33" t="n">
        <v>25</v>
      </c>
      <c r="CG33" t="n">
        <v>9</v>
      </c>
      <c r="CH33" t="n">
        <v>50</v>
      </c>
      <c r="CI33" t="n">
        <v>13.18</v>
      </c>
      <c r="CJ33" t="n">
        <v>7.139</v>
      </c>
      <c r="CK33" t="n">
        <v>77</v>
      </c>
      <c r="CL33" t="n">
        <v>153</v>
      </c>
      <c r="CM33" t="n">
        <v>89</v>
      </c>
      <c r="CN33" t="n">
        <v>57</v>
      </c>
      <c r="CO33" t="n">
        <v>29</v>
      </c>
      <c r="CP33" t="n">
        <v>36</v>
      </c>
      <c r="CQ33" t="n">
        <v>12</v>
      </c>
      <c r="CR33" t="n">
        <v>157</v>
      </c>
      <c r="CS33" t="n">
        <v>18</v>
      </c>
      <c r="CT33" t="n">
        <v>0.7</v>
      </c>
      <c r="CU33" t="n">
        <v>1</v>
      </c>
      <c r="CV33" t="n">
        <v>3</v>
      </c>
      <c r="CW33" t="n">
        <v>46.5</v>
      </c>
      <c r="CX33" t="n">
        <v>1.428</v>
      </c>
      <c r="CY33" t="n">
        <v>0</v>
      </c>
      <c r="DB33" t="n">
        <v>0</v>
      </c>
      <c r="DE33" t="n">
        <v>7.14</v>
      </c>
      <c r="DF33" t="n">
        <v>5</v>
      </c>
      <c r="DG33" t="n">
        <v>0</v>
      </c>
      <c r="DH33" t="n">
        <v>31</v>
      </c>
      <c r="DI33" t="n">
        <v>37</v>
      </c>
      <c r="DL33" t="n">
        <v>13</v>
      </c>
      <c r="DM33" t="n">
        <v>31</v>
      </c>
      <c r="DN33" t="n">
        <v>4</v>
      </c>
      <c r="DO33" t="n">
        <v>12.8</v>
      </c>
      <c r="DP33" t="n">
        <v>153.32</v>
      </c>
      <c r="DQ33" t="n">
        <v>76.66</v>
      </c>
      <c r="DR33" t="n">
        <v>153.32</v>
      </c>
      <c r="DS33" t="n">
        <v>0</v>
      </c>
      <c r="DT33" t="n">
        <v>3324</v>
      </c>
      <c r="DU33" t="n">
        <v>87.48</v>
      </c>
      <c r="DV33" t="inlineStr">
        <is>
          <t>flat</t>
        </is>
      </c>
      <c r="DW33" t="n">
        <v>61.49</v>
      </c>
      <c r="DX33" t="n">
        <v>65.06999999999999</v>
      </c>
      <c r="DY33" t="n">
        <v>20.29</v>
      </c>
      <c r="DZ33" t="n">
        <v>23</v>
      </c>
      <c r="EA33" t="n">
        <v>120</v>
      </c>
      <c r="EB33" t="n">
        <v>150</v>
      </c>
      <c r="EC33" t="n">
        <v>72.09999999999999</v>
      </c>
      <c r="ED33" t="n">
        <v>7.4</v>
      </c>
      <c r="EE33" t="n">
        <v>63</v>
      </c>
      <c r="EF33" t="n">
        <v>81.40000000000001</v>
      </c>
      <c r="EG33" t="n">
        <v>47.3</v>
      </c>
      <c r="EH33" t="n">
        <v>55.3</v>
      </c>
      <c r="EI33" t="n">
        <v>558.7</v>
      </c>
      <c r="EJ33" t="n">
        <v>434.2</v>
      </c>
      <c r="EK33" t="n">
        <v>244.3</v>
      </c>
      <c r="EL33" t="n">
        <v>19.9</v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n">
        <v>6</v>
      </c>
      <c r="F34" t="b">
        <v>1</v>
      </c>
      <c r="G34" t="b">
        <v>1</v>
      </c>
      <c r="H34" t="n">
        <v>24.3</v>
      </c>
      <c r="I34" t="inlineStr">
        <is>
          <t>a</t>
        </is>
      </c>
      <c r="L34" t="inlineStr">
        <is>
          <t>p441266</t>
        </is>
      </c>
      <c r="M34" t="n">
        <v>371</v>
      </c>
      <c r="Q34" t="n">
        <v>2991</v>
      </c>
      <c r="R34" t="n">
        <v>36</v>
      </c>
      <c r="S34" t="n">
        <v>34</v>
      </c>
      <c r="T34" t="n">
        <v>33.233</v>
      </c>
      <c r="U34" t="n">
        <v>83.09999999999999</v>
      </c>
      <c r="V34" t="n">
        <v>144</v>
      </c>
      <c r="W34" t="n">
        <v>4.333</v>
      </c>
      <c r="X34" t="n">
        <v>5</v>
      </c>
      <c r="Y34" t="n">
        <v>5</v>
      </c>
      <c r="Z34" t="n">
        <v>3</v>
      </c>
      <c r="AA34" t="n">
        <v>9</v>
      </c>
      <c r="AB34" t="n">
        <v>42</v>
      </c>
      <c r="AC34" t="n">
        <v>17</v>
      </c>
      <c r="AD34" t="n">
        <v>17</v>
      </c>
      <c r="AE34" t="n">
        <v>0</v>
      </c>
      <c r="AF34" t="n">
        <v>671</v>
      </c>
      <c r="AG34" t="n">
        <v>651</v>
      </c>
      <c r="AH34" t="n">
        <v>-20</v>
      </c>
      <c r="AI34" t="n">
        <v>144</v>
      </c>
      <c r="AJ34" t="n">
        <v>0.118</v>
      </c>
      <c r="AK34" t="n">
        <v>0.134</v>
      </c>
      <c r="AL34" t="n">
        <v>298</v>
      </c>
      <c r="AM34" t="n">
        <v>8.967000000000001</v>
      </c>
      <c r="AN34" t="n">
        <v>7</v>
      </c>
      <c r="AO34" t="n">
        <v>14</v>
      </c>
      <c r="AP34" t="n">
        <v>0.206</v>
      </c>
      <c r="AQ34" t="n">
        <v>0.382</v>
      </c>
      <c r="AR34" t="n">
        <v>0.206</v>
      </c>
      <c r="AS34" t="n">
        <v>0.895</v>
      </c>
      <c r="AT34" t="n">
        <v>0.917</v>
      </c>
      <c r="AU34" t="n">
        <v>17</v>
      </c>
      <c r="AV34" t="n">
        <v>4</v>
      </c>
      <c r="AW34" t="n">
        <v>3.38</v>
      </c>
      <c r="AX34" t="n">
        <v>15</v>
      </c>
      <c r="AY34" t="n">
        <v>1.89</v>
      </c>
      <c r="AZ34" t="n">
        <v>1.532</v>
      </c>
      <c r="BA34" t="n">
        <v>1.711</v>
      </c>
      <c r="BB34" t="n">
        <v>1.532</v>
      </c>
      <c r="BC34" t="n">
        <v>0.057</v>
      </c>
      <c r="BD34" t="n">
        <v>0.046</v>
      </c>
      <c r="BE34" t="n">
        <v>0.051</v>
      </c>
      <c r="BF34" t="n">
        <v>3.1</v>
      </c>
      <c r="BG34" t="n">
        <v>0.093</v>
      </c>
      <c r="BH34" t="n">
        <v>0.985</v>
      </c>
      <c r="BI34" t="n">
        <v>5.1</v>
      </c>
      <c r="BJ34" t="n">
        <v>1.861</v>
      </c>
      <c r="BK34" t="n">
        <v>0.056</v>
      </c>
      <c r="BL34" t="n">
        <v>3.289</v>
      </c>
      <c r="BM34" t="n">
        <v>1.21</v>
      </c>
      <c r="BN34" t="n">
        <v>1.9</v>
      </c>
      <c r="BO34" t="n">
        <v>0.358</v>
      </c>
      <c r="BP34" t="n">
        <v>38</v>
      </c>
      <c r="BQ34" t="n">
        <v>13</v>
      </c>
      <c r="BS34" t="n">
        <v>31</v>
      </c>
      <c r="BT34" t="n">
        <v>0.9330000000000001</v>
      </c>
      <c r="BW34" t="n">
        <v>2.26</v>
      </c>
      <c r="BX34" t="n">
        <v>2.369</v>
      </c>
      <c r="BY34" t="n">
        <v>2.314</v>
      </c>
      <c r="BZ34" t="n">
        <v>0.07000000000000001</v>
      </c>
      <c r="CA34" t="n">
        <v>4.025</v>
      </c>
      <c r="CB34" t="n">
        <v>0.121</v>
      </c>
      <c r="CC34" t="n">
        <v>29</v>
      </c>
      <c r="CD34" t="n">
        <v>4</v>
      </c>
      <c r="CE34" t="n">
        <v>29</v>
      </c>
      <c r="CF34" t="n">
        <v>0</v>
      </c>
      <c r="CG34" t="n">
        <v>3</v>
      </c>
      <c r="CI34" t="n">
        <v>13.042</v>
      </c>
      <c r="CJ34" t="n">
        <v>10.719</v>
      </c>
      <c r="CK34" t="n">
        <v>112</v>
      </c>
      <c r="CL34" t="n">
        <v>127</v>
      </c>
      <c r="CM34" t="n">
        <v>59</v>
      </c>
      <c r="CN34" t="n">
        <v>36</v>
      </c>
      <c r="CO34" t="n">
        <v>48</v>
      </c>
      <c r="CP34" t="n">
        <v>53</v>
      </c>
      <c r="CQ34" t="n">
        <v>12</v>
      </c>
      <c r="CR34" t="n">
        <v>160</v>
      </c>
      <c r="CS34" t="n">
        <v>27</v>
      </c>
      <c r="CT34" t="n">
        <v>0.3</v>
      </c>
      <c r="CV34" t="n">
        <v>4</v>
      </c>
      <c r="CW34" t="n">
        <v>38.41</v>
      </c>
      <c r="CX34" t="n">
        <v>1.156</v>
      </c>
      <c r="CY34" t="n">
        <v>0</v>
      </c>
      <c r="DB34" t="n">
        <v>0</v>
      </c>
      <c r="DE34" t="n">
        <v>7.25</v>
      </c>
      <c r="DF34" t="n">
        <v>5</v>
      </c>
      <c r="DG34" t="n">
        <v>0</v>
      </c>
      <c r="DH34" t="n">
        <v>38</v>
      </c>
      <c r="DI34" t="n">
        <v>42</v>
      </c>
      <c r="DL34" t="n">
        <v>32</v>
      </c>
      <c r="DM34" t="n">
        <v>26</v>
      </c>
      <c r="DO34" t="n">
        <v>2</v>
      </c>
      <c r="DP34" t="n">
        <v>121.71</v>
      </c>
      <c r="DQ34" t="n">
        <v>61.04</v>
      </c>
      <c r="DR34" t="n">
        <v>122.08</v>
      </c>
      <c r="DS34" t="n">
        <v>-0.37</v>
      </c>
      <c r="DT34" t="n">
        <v>2964</v>
      </c>
      <c r="DU34" t="n">
        <v>78</v>
      </c>
      <c r="DV34" t="inlineStr">
        <is>
          <t>flat</t>
        </is>
      </c>
      <c r="DW34" t="n">
        <v>67.47</v>
      </c>
      <c r="DX34" t="n">
        <v>74.52</v>
      </c>
      <c r="DY34" t="n">
        <v>20.41</v>
      </c>
      <c r="DZ34" t="n">
        <v>26.67</v>
      </c>
      <c r="EA34" t="n">
        <v>119</v>
      </c>
      <c r="EB34" t="n">
        <v>106</v>
      </c>
      <c r="EC34" t="n">
        <v>51</v>
      </c>
      <c r="ED34" t="n">
        <v>7</v>
      </c>
      <c r="EE34" t="n">
        <v>64</v>
      </c>
      <c r="EF34" t="n">
        <v>78.7</v>
      </c>
      <c r="EG34" t="n">
        <v>96.5</v>
      </c>
      <c r="EH34" t="n">
        <v>103.1</v>
      </c>
      <c r="EI34" t="n">
        <v>1748.3</v>
      </c>
      <c r="EJ34" t="n">
        <v>1292.3</v>
      </c>
      <c r="EK34" t="n">
        <v>743.1</v>
      </c>
      <c r="EL34" t="n">
        <v>20.8</v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n">
        <v>8</v>
      </c>
      <c r="F35" t="b">
        <v>1</v>
      </c>
      <c r="G35" t="b">
        <v>1</v>
      </c>
      <c r="H35" t="n">
        <v>27.2</v>
      </c>
      <c r="I35" t="inlineStr">
        <is>
          <t>a</t>
        </is>
      </c>
      <c r="L35" t="inlineStr">
        <is>
          <t>p430871</t>
        </is>
      </c>
      <c r="M35" t="n">
        <v>428</v>
      </c>
      <c r="Q35" t="n">
        <v>2493</v>
      </c>
      <c r="R35" t="n">
        <v>33</v>
      </c>
      <c r="S35" t="n">
        <v>29</v>
      </c>
      <c r="T35" t="n">
        <v>27.7</v>
      </c>
      <c r="U35" t="n">
        <v>75.5</v>
      </c>
      <c r="V35" t="n">
        <v>143</v>
      </c>
      <c r="W35" t="n">
        <v>5.162</v>
      </c>
      <c r="X35" t="n">
        <v>10</v>
      </c>
      <c r="Y35" t="n">
        <v>4</v>
      </c>
      <c r="Z35" t="n">
        <v>2</v>
      </c>
      <c r="AA35" t="n">
        <v>8</v>
      </c>
      <c r="AB35" t="n">
        <v>35</v>
      </c>
      <c r="AC35" t="n">
        <v>14</v>
      </c>
      <c r="AD35" t="n">
        <v>15</v>
      </c>
      <c r="AE35" t="n">
        <v>1</v>
      </c>
      <c r="AF35" t="n">
        <v>591</v>
      </c>
      <c r="AG35" t="n">
        <v>584</v>
      </c>
      <c r="AH35" t="n">
        <v>-7</v>
      </c>
      <c r="AI35" t="n">
        <v>144</v>
      </c>
      <c r="AJ35" t="n">
        <v>0.098</v>
      </c>
      <c r="AK35" t="n">
        <v>0.109</v>
      </c>
      <c r="AL35" t="n">
        <v>211</v>
      </c>
      <c r="AM35" t="n">
        <v>7.617</v>
      </c>
      <c r="AN35" t="n">
        <v>1</v>
      </c>
      <c r="AO35" t="n">
        <v>2</v>
      </c>
      <c r="AP35" t="n">
        <v>0.034</v>
      </c>
      <c r="AQ35" t="n">
        <v>0.138</v>
      </c>
      <c r="AR35" t="n">
        <v>0.034</v>
      </c>
      <c r="AS35" t="n">
        <v>0.763</v>
      </c>
      <c r="AT35" t="n">
        <v>0.848</v>
      </c>
      <c r="AU35" t="n">
        <v>14</v>
      </c>
      <c r="AV35" t="n">
        <v>0</v>
      </c>
      <c r="AW35" t="n">
        <v>3.1</v>
      </c>
      <c r="AX35" t="n">
        <v>9</v>
      </c>
      <c r="AY35" t="n">
        <v>6.9</v>
      </c>
      <c r="AZ35" t="n">
        <v>7.076</v>
      </c>
      <c r="BA35" t="n">
        <v>6.988</v>
      </c>
      <c r="BB35" t="n">
        <v>7.076</v>
      </c>
      <c r="BC35" t="n">
        <v>0.249</v>
      </c>
      <c r="BD35" t="n">
        <v>0.255</v>
      </c>
      <c r="BE35" t="n">
        <v>0.252</v>
      </c>
      <c r="BF35" t="n">
        <v>7.2</v>
      </c>
      <c r="BG35" t="n">
        <v>0.26</v>
      </c>
      <c r="BH35" t="n">
        <v>1.053</v>
      </c>
      <c r="BI35" t="n">
        <v>26.84</v>
      </c>
      <c r="BJ35" t="n">
        <v>7.268</v>
      </c>
      <c r="BK35" t="n">
        <v>0.262</v>
      </c>
      <c r="BL35" t="n">
        <v>3.012</v>
      </c>
      <c r="BM35" t="n">
        <v>0.3</v>
      </c>
      <c r="BN35" t="n">
        <v>2.8</v>
      </c>
      <c r="BO35" t="n">
        <v>-0.176</v>
      </c>
      <c r="BP35" t="n">
        <v>90</v>
      </c>
      <c r="BQ35" t="n">
        <v>35</v>
      </c>
      <c r="BR35" t="n">
        <v>4</v>
      </c>
      <c r="BS35" t="n">
        <v>137</v>
      </c>
      <c r="BT35" t="n">
        <v>4.946</v>
      </c>
      <c r="BW35" t="n">
        <v>3.36</v>
      </c>
      <c r="BX35" t="n">
        <v>3.698</v>
      </c>
      <c r="BY35" t="n">
        <v>3.529</v>
      </c>
      <c r="BZ35" t="n">
        <v>0.127</v>
      </c>
      <c r="CA35" t="n">
        <v>10.517</v>
      </c>
      <c r="CB35" t="n">
        <v>0.38</v>
      </c>
      <c r="CC35" t="n">
        <v>33</v>
      </c>
      <c r="CD35" t="n">
        <v>4</v>
      </c>
      <c r="CE35" t="n">
        <v>34</v>
      </c>
      <c r="CF35" t="n">
        <v>11</v>
      </c>
      <c r="CG35" t="n">
        <v>5</v>
      </c>
      <c r="CH35" t="n">
        <v>5</v>
      </c>
      <c r="CI35" t="n">
        <v>17.601</v>
      </c>
      <c r="CJ35" t="n">
        <v>10.044</v>
      </c>
      <c r="CK35" t="n">
        <v>46</v>
      </c>
      <c r="CL35" t="n">
        <v>126</v>
      </c>
      <c r="CM35" t="n">
        <v>39</v>
      </c>
      <c r="CN35" t="n">
        <v>23</v>
      </c>
      <c r="CO35" t="n">
        <v>21</v>
      </c>
      <c r="CP35" t="n">
        <v>22</v>
      </c>
      <c r="CQ35" t="n">
        <v>3</v>
      </c>
      <c r="CR35" t="n">
        <v>164</v>
      </c>
      <c r="CS35" t="n">
        <v>28</v>
      </c>
      <c r="CT35" t="n">
        <v>0.7</v>
      </c>
      <c r="CW35" t="n">
        <v>35.75</v>
      </c>
      <c r="CX35" t="n">
        <v>1.291</v>
      </c>
      <c r="CY35" t="n">
        <v>0</v>
      </c>
      <c r="DB35" t="n">
        <v>0</v>
      </c>
      <c r="DE35" t="n">
        <v>7.29</v>
      </c>
      <c r="DF35" t="n">
        <v>4</v>
      </c>
      <c r="DG35" t="n">
        <v>0</v>
      </c>
      <c r="DH35" t="n">
        <v>27</v>
      </c>
      <c r="DI35" t="n">
        <v>54</v>
      </c>
      <c r="DJ35" t="n">
        <v>2</v>
      </c>
      <c r="DL35" t="n">
        <v>44</v>
      </c>
      <c r="DM35" t="n">
        <v>53</v>
      </c>
      <c r="DN35" t="n">
        <v>2</v>
      </c>
      <c r="DO35" t="n">
        <v>12.2</v>
      </c>
      <c r="DP35" t="n">
        <v>153.17</v>
      </c>
      <c r="DQ35" t="n">
        <v>76.44</v>
      </c>
      <c r="DR35" t="n">
        <v>152.88</v>
      </c>
      <c r="DS35" t="n">
        <v>0.29</v>
      </c>
      <c r="DT35" t="n">
        <v>2616</v>
      </c>
      <c r="DU35" t="n">
        <v>68.84999999999999</v>
      </c>
      <c r="DV35" t="inlineStr">
        <is>
          <t>flat</t>
        </is>
      </c>
      <c r="DW35" t="n">
        <v>16.83</v>
      </c>
      <c r="DX35" t="n">
        <v>17.76</v>
      </c>
      <c r="DY35" t="n">
        <v>11.11</v>
      </c>
      <c r="DZ35" t="n">
        <v>3.2</v>
      </c>
      <c r="EA35" t="n">
        <v>89.33</v>
      </c>
      <c r="EB35" t="n">
        <v>165</v>
      </c>
      <c r="EC35" t="n">
        <v>79.3</v>
      </c>
      <c r="ED35" t="n">
        <v>22.9</v>
      </c>
      <c r="EE35" t="n">
        <v>12</v>
      </c>
      <c r="EF35" t="n">
        <v>27.7</v>
      </c>
      <c r="EG35" t="n">
        <v>18.2</v>
      </c>
      <c r="EH35" t="n">
        <v>73.3</v>
      </c>
      <c r="EI35" t="n">
        <v>356.8</v>
      </c>
      <c r="EJ35" t="n">
        <v>706.4</v>
      </c>
      <c r="EK35" t="n">
        <v>237</v>
      </c>
      <c r="EL35" t="n">
        <v>17.4</v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n">
        <v>5</v>
      </c>
      <c r="F36" t="b">
        <v>1</v>
      </c>
      <c r="G36" t="b">
        <v>1</v>
      </c>
      <c r="H36" t="n">
        <v>27.7</v>
      </c>
      <c r="I36" t="inlineStr">
        <is>
          <t>a</t>
        </is>
      </c>
      <c r="L36" t="inlineStr">
        <is>
          <t>p200720</t>
        </is>
      </c>
      <c r="M36" t="n">
        <v>82</v>
      </c>
      <c r="Q36" t="n">
        <v>3330</v>
      </c>
      <c r="R36" t="n">
        <v>37</v>
      </c>
      <c r="S36" t="n">
        <v>37</v>
      </c>
      <c r="T36" t="n">
        <v>37</v>
      </c>
      <c r="U36" t="n">
        <v>90</v>
      </c>
      <c r="V36" t="n">
        <v>143</v>
      </c>
      <c r="W36" t="n">
        <v>3.865</v>
      </c>
      <c r="X36" t="n">
        <v>0</v>
      </c>
      <c r="Y36" t="n">
        <v>0</v>
      </c>
      <c r="AA36" t="n">
        <v>10</v>
      </c>
      <c r="AB36" t="n">
        <v>49</v>
      </c>
      <c r="AC36" t="n">
        <v>11</v>
      </c>
      <c r="AD36" t="n">
        <v>14</v>
      </c>
      <c r="AE36" t="n">
        <v>3</v>
      </c>
      <c r="AF36" t="n">
        <v>570</v>
      </c>
      <c r="AG36" t="n">
        <v>562</v>
      </c>
      <c r="AH36" t="n">
        <v>-8</v>
      </c>
      <c r="AI36" t="n">
        <v>146</v>
      </c>
      <c r="AJ36" t="n">
        <v>0.077</v>
      </c>
      <c r="AK36" t="n">
        <v>0.083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0.974</v>
      </c>
      <c r="AT36" t="n">
        <v>1</v>
      </c>
      <c r="AU36" t="n">
        <v>21</v>
      </c>
      <c r="AV36" t="n">
        <v>3</v>
      </c>
      <c r="AW36" t="n">
        <v>3.36</v>
      </c>
      <c r="AX36" t="n">
        <v>13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H36" t="n">
        <v>1</v>
      </c>
      <c r="BI36" t="n">
        <v>0</v>
      </c>
      <c r="BJ36" t="n">
        <v>0</v>
      </c>
      <c r="BK36" t="n">
        <v>0</v>
      </c>
      <c r="BL36" t="n">
        <v>0</v>
      </c>
      <c r="BO36" t="n">
        <v>0</v>
      </c>
      <c r="BW36" t="n">
        <v>0.22</v>
      </c>
      <c r="BX36" t="n">
        <v>0.106</v>
      </c>
      <c r="BY36" t="n">
        <v>0.163</v>
      </c>
      <c r="BZ36" t="n">
        <v>0.004</v>
      </c>
      <c r="CA36" t="n">
        <v>0.163</v>
      </c>
      <c r="CB36" t="n">
        <v>0.004</v>
      </c>
      <c r="CC36" t="n">
        <v>2</v>
      </c>
      <c r="CE36" t="n">
        <v>2</v>
      </c>
      <c r="CG36" t="n">
        <v>1</v>
      </c>
      <c r="CI36" t="n">
        <v>5.348</v>
      </c>
      <c r="CJ36" t="n">
        <v>5.242</v>
      </c>
      <c r="CK36" t="n">
        <v>48</v>
      </c>
      <c r="CL36" t="n">
        <v>301</v>
      </c>
      <c r="CM36" t="n">
        <v>1</v>
      </c>
      <c r="CO36" t="n">
        <v>1</v>
      </c>
      <c r="CP36" t="n">
        <v>47</v>
      </c>
      <c r="CR36" t="n">
        <v>16</v>
      </c>
      <c r="CS36" t="n">
        <v>7</v>
      </c>
      <c r="CU36" t="n">
        <v>2</v>
      </c>
      <c r="CV36" t="n">
        <v>1</v>
      </c>
      <c r="CW36" t="n">
        <v>53.48</v>
      </c>
      <c r="CX36" t="n">
        <v>1.445</v>
      </c>
      <c r="CY36" t="n">
        <v>109</v>
      </c>
      <c r="CZ36" t="n">
        <v>69.2</v>
      </c>
      <c r="DA36" t="n">
        <v>-0.1</v>
      </c>
      <c r="DB36" t="n">
        <v>3</v>
      </c>
      <c r="DC36" t="n">
        <v>27</v>
      </c>
      <c r="DD36" t="n">
        <v>31</v>
      </c>
      <c r="DE36" t="n">
        <v>6.93</v>
      </c>
      <c r="DF36" t="n">
        <v>1</v>
      </c>
      <c r="DG36" t="n">
        <v>0</v>
      </c>
      <c r="DH36" t="n">
        <v>3</v>
      </c>
      <c r="DI36" t="n">
        <v>6</v>
      </c>
      <c r="DK36" t="n">
        <v>3</v>
      </c>
      <c r="DL36" t="n">
        <v>3</v>
      </c>
      <c r="DO36" t="n">
        <v>5.7</v>
      </c>
      <c r="DP36" t="n">
        <v>127.72</v>
      </c>
      <c r="DQ36" t="n">
        <v>63.86</v>
      </c>
      <c r="DR36" t="n">
        <v>127.72</v>
      </c>
      <c r="DS36" t="n">
        <v>0</v>
      </c>
      <c r="DT36" t="n">
        <v>3385</v>
      </c>
      <c r="DU36" t="n">
        <v>89.09</v>
      </c>
      <c r="DV36" t="inlineStr">
        <is>
          <t>flat</t>
        </is>
      </c>
      <c r="DW36" t="n">
        <v>75.17</v>
      </c>
      <c r="DX36" t="n">
        <v>86.13</v>
      </c>
      <c r="DY36" t="n">
        <v>25.08</v>
      </c>
      <c r="DZ36" t="n">
        <v>10.4</v>
      </c>
      <c r="EA36" t="n">
        <v>117.71</v>
      </c>
      <c r="EB36" t="n">
        <v>175</v>
      </c>
      <c r="EC36" t="n">
        <v>84.09999999999999</v>
      </c>
      <c r="ED36" t="n">
        <v>17.5</v>
      </c>
      <c r="EE36" t="n">
        <v>224</v>
      </c>
      <c r="EH36" t="n">
        <v>1665</v>
      </c>
      <c r="EJ36" t="n">
        <v>20404.3</v>
      </c>
      <c r="EK36" t="n">
        <v>20404.3</v>
      </c>
      <c r="EL36" t="n">
        <v>23.3</v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n">
        <v>6</v>
      </c>
      <c r="F37" t="b">
        <v>1</v>
      </c>
      <c r="G37" t="b">
        <v>1</v>
      </c>
      <c r="H37" t="n">
        <v>29.4</v>
      </c>
      <c r="I37" t="inlineStr">
        <is>
          <t>a</t>
        </is>
      </c>
      <c r="L37" t="inlineStr">
        <is>
          <t>p177815</t>
        </is>
      </c>
      <c r="M37" t="n">
        <v>346</v>
      </c>
      <c r="N37" t="n">
        <v>1</v>
      </c>
      <c r="Q37" t="n">
        <v>2721</v>
      </c>
      <c r="R37" t="n">
        <v>35</v>
      </c>
      <c r="S37" t="n">
        <v>30</v>
      </c>
      <c r="T37" t="n">
        <v>30.233</v>
      </c>
      <c r="U37" t="n">
        <v>77.7</v>
      </c>
      <c r="V37" t="n">
        <v>142</v>
      </c>
      <c r="W37" t="n">
        <v>4.697</v>
      </c>
      <c r="X37" t="n">
        <v>14</v>
      </c>
      <c r="Y37" t="n">
        <v>2</v>
      </c>
      <c r="Z37" t="n">
        <v>1</v>
      </c>
      <c r="AA37" t="n">
        <v>8</v>
      </c>
      <c r="AB37" t="n">
        <v>34</v>
      </c>
      <c r="AC37" t="n">
        <v>20</v>
      </c>
      <c r="AD37" t="n">
        <v>20</v>
      </c>
      <c r="AE37" t="n">
        <v>0</v>
      </c>
      <c r="AF37" t="n">
        <v>472</v>
      </c>
      <c r="AG37" t="n">
        <v>464</v>
      </c>
      <c r="AH37" t="n">
        <v>-8</v>
      </c>
      <c r="AI37" t="n">
        <v>142</v>
      </c>
      <c r="AJ37" t="n">
        <v>0.141</v>
      </c>
      <c r="AK37" t="n">
        <v>0.164</v>
      </c>
      <c r="AL37" t="n">
        <v>105</v>
      </c>
      <c r="AM37" t="n">
        <v>3.473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0.789</v>
      </c>
      <c r="AT37" t="n">
        <v>0.857</v>
      </c>
      <c r="AU37" t="n">
        <v>22</v>
      </c>
      <c r="AV37" t="n">
        <v>2</v>
      </c>
      <c r="AW37" t="n">
        <v>3.38</v>
      </c>
      <c r="AX37" t="n">
        <v>13</v>
      </c>
      <c r="AY37" t="n">
        <v>15.57</v>
      </c>
      <c r="AZ37" t="n">
        <v>18.671</v>
      </c>
      <c r="BA37" t="n">
        <v>17.121</v>
      </c>
      <c r="BB37" t="n">
        <v>14.866</v>
      </c>
      <c r="BC37" t="n">
        <v>0.515</v>
      </c>
      <c r="BD37" t="n">
        <v>0.618</v>
      </c>
      <c r="BE37" t="n">
        <v>0.5659999999999999</v>
      </c>
      <c r="BF37" t="n">
        <v>15.4</v>
      </c>
      <c r="BG37" t="n">
        <v>0.509</v>
      </c>
      <c r="BH37" t="n">
        <v>0.868</v>
      </c>
      <c r="BI37" t="n">
        <v>40.86</v>
      </c>
      <c r="BJ37" t="n">
        <v>13.511</v>
      </c>
      <c r="BK37" t="n">
        <v>0.447</v>
      </c>
      <c r="BL37" t="n">
        <v>-3.121</v>
      </c>
      <c r="BM37" t="n">
        <v>-0.17</v>
      </c>
      <c r="BN37" t="n">
        <v>-1.4</v>
      </c>
      <c r="BO37" t="n">
        <v>-3.101</v>
      </c>
      <c r="BP37" t="n">
        <v>74</v>
      </c>
      <c r="BQ37" t="n">
        <v>34</v>
      </c>
      <c r="BR37" t="n">
        <v>20</v>
      </c>
      <c r="BS37" t="n">
        <v>135</v>
      </c>
      <c r="BT37" t="n">
        <v>4.465</v>
      </c>
      <c r="BU37" t="n">
        <v>4</v>
      </c>
      <c r="BV37" t="n">
        <v>3</v>
      </c>
      <c r="BW37" t="n">
        <v>1.06</v>
      </c>
      <c r="BX37" t="n">
        <v>1.544</v>
      </c>
      <c r="BY37" t="n">
        <v>1.302</v>
      </c>
      <c r="BZ37" t="n">
        <v>0.043</v>
      </c>
      <c r="CA37" t="n">
        <v>18.423</v>
      </c>
      <c r="CB37" t="n">
        <v>0.609</v>
      </c>
      <c r="CC37" t="n">
        <v>20</v>
      </c>
      <c r="CD37" t="n">
        <v>2</v>
      </c>
      <c r="CE37" t="n">
        <v>20</v>
      </c>
      <c r="CF37" t="n">
        <v>1</v>
      </c>
      <c r="CG37" t="n">
        <v>1</v>
      </c>
      <c r="CH37" t="n">
        <v>0</v>
      </c>
      <c r="CI37" t="n">
        <v>18.026</v>
      </c>
      <c r="CJ37" t="n">
        <v>2.768</v>
      </c>
      <c r="CK37" t="n">
        <v>49</v>
      </c>
      <c r="CL37" t="n">
        <v>46</v>
      </c>
      <c r="CM37" t="n">
        <v>10</v>
      </c>
      <c r="CN37" t="n">
        <v>4</v>
      </c>
      <c r="CO37" t="n">
        <v>4</v>
      </c>
      <c r="CP37" t="n">
        <v>36</v>
      </c>
      <c r="CQ37" t="n">
        <v>9</v>
      </c>
      <c r="CR37" t="n">
        <v>184</v>
      </c>
      <c r="CS37" t="n">
        <v>128</v>
      </c>
      <c r="CT37" t="n">
        <v>0.6</v>
      </c>
      <c r="CV37" t="n">
        <v>1</v>
      </c>
      <c r="CW37" t="n">
        <v>35.74</v>
      </c>
      <c r="CX37" t="n">
        <v>1.182</v>
      </c>
      <c r="CY37" t="n">
        <v>0</v>
      </c>
      <c r="DB37" t="n">
        <v>0</v>
      </c>
      <c r="DE37" t="n">
        <v>6.85</v>
      </c>
      <c r="DF37" t="n">
        <v>3</v>
      </c>
      <c r="DG37" t="n">
        <v>0</v>
      </c>
      <c r="DH37" t="n">
        <v>45</v>
      </c>
      <c r="DI37" t="n">
        <v>38</v>
      </c>
      <c r="DJ37" t="n">
        <v>2</v>
      </c>
      <c r="DL37" t="n">
        <v>8</v>
      </c>
      <c r="DM37" t="n">
        <v>29</v>
      </c>
      <c r="DN37" t="n">
        <v>26</v>
      </c>
      <c r="DO37" t="n">
        <v>25.4</v>
      </c>
      <c r="DP37" t="n">
        <v>159.66</v>
      </c>
      <c r="DQ37" t="n">
        <v>79.83</v>
      </c>
      <c r="DR37" t="n">
        <v>159.66</v>
      </c>
      <c r="DS37" t="n">
        <v>0</v>
      </c>
      <c r="DT37" t="n">
        <v>3084</v>
      </c>
      <c r="DU37" t="n">
        <v>81.15000000000001</v>
      </c>
      <c r="DV37" t="inlineStr">
        <is>
          <t>flat</t>
        </is>
      </c>
      <c r="DW37" t="n">
        <v>27.56</v>
      </c>
      <c r="DX37" t="n">
        <v>28.83</v>
      </c>
      <c r="DY37" t="n">
        <v>16.64</v>
      </c>
      <c r="DZ37" t="n">
        <v>3</v>
      </c>
      <c r="EA37" t="n">
        <v>88</v>
      </c>
      <c r="EB37" t="n">
        <v>198</v>
      </c>
      <c r="EC37" t="n">
        <v>95.2</v>
      </c>
      <c r="ED37" t="n">
        <v>7.5</v>
      </c>
      <c r="EE37" t="n">
        <v>65</v>
      </c>
      <c r="EF37" t="n">
        <v>36.8</v>
      </c>
      <c r="EG37" t="n">
        <v>20.2</v>
      </c>
      <c r="EH37" t="n">
        <v>136</v>
      </c>
      <c r="EI37" t="n">
        <v>158.9</v>
      </c>
      <c r="EJ37" t="n">
        <v>2089.8</v>
      </c>
      <c r="EK37" t="n">
        <v>147.7</v>
      </c>
      <c r="EL37" t="n">
        <v>19.2</v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n">
        <v>6</v>
      </c>
      <c r="F38" t="b">
        <v>1</v>
      </c>
      <c r="G38" t="b">
        <v>1</v>
      </c>
      <c r="H38" t="n">
        <v>27.4</v>
      </c>
      <c r="I38" t="inlineStr">
        <is>
          <t>a</t>
        </is>
      </c>
      <c r="L38" t="inlineStr">
        <is>
          <t>p201658</t>
        </is>
      </c>
      <c r="M38" t="n">
        <v>68</v>
      </c>
      <c r="N38" t="n">
        <v>3</v>
      </c>
      <c r="O38" t="n">
        <v>1</v>
      </c>
      <c r="P38" t="n">
        <v>1</v>
      </c>
      <c r="Q38" t="n">
        <v>2732</v>
      </c>
      <c r="R38" t="n">
        <v>34</v>
      </c>
      <c r="S38" t="n">
        <v>31</v>
      </c>
      <c r="T38" t="n">
        <v>30.356</v>
      </c>
      <c r="U38" t="n">
        <v>80.40000000000001</v>
      </c>
      <c r="V38" t="n">
        <v>137</v>
      </c>
      <c r="W38" t="n">
        <v>4.513</v>
      </c>
      <c r="X38" t="n">
        <v>7</v>
      </c>
      <c r="Y38" t="n">
        <v>4</v>
      </c>
      <c r="Z38" t="n">
        <v>4</v>
      </c>
      <c r="AA38" t="n">
        <v>11</v>
      </c>
      <c r="AB38" t="n">
        <v>44</v>
      </c>
      <c r="AC38" t="n">
        <v>14</v>
      </c>
      <c r="AD38" t="n">
        <v>14</v>
      </c>
      <c r="AE38" t="n">
        <v>0</v>
      </c>
      <c r="AF38" t="n">
        <v>552</v>
      </c>
      <c r="AG38" t="n">
        <v>543</v>
      </c>
      <c r="AH38" t="n">
        <v>-9</v>
      </c>
      <c r="AI38" t="n">
        <v>137</v>
      </c>
      <c r="AJ38" t="n">
        <v>0.102</v>
      </c>
      <c r="AK38" t="n">
        <v>0.114</v>
      </c>
      <c r="AL38" t="n">
        <v>251</v>
      </c>
      <c r="AM38" t="n">
        <v>8.269</v>
      </c>
      <c r="AN38" t="n">
        <v>3</v>
      </c>
      <c r="AO38" t="n">
        <v>6</v>
      </c>
      <c r="AP38" t="n">
        <v>0.097</v>
      </c>
      <c r="AQ38" t="n">
        <v>0.194</v>
      </c>
      <c r="AR38" t="n">
        <v>0.097</v>
      </c>
      <c r="AS38" t="n">
        <v>0.8159999999999999</v>
      </c>
      <c r="AT38" t="n">
        <v>0.912</v>
      </c>
      <c r="AU38" t="n">
        <v>16</v>
      </c>
      <c r="AV38" t="n">
        <v>4</v>
      </c>
      <c r="AW38" t="n">
        <v>3.28</v>
      </c>
      <c r="AX38" t="n">
        <v>12</v>
      </c>
      <c r="AY38" t="n">
        <v>9.06</v>
      </c>
      <c r="AZ38" t="n">
        <v>9.398</v>
      </c>
      <c r="BA38" t="n">
        <v>9.228999999999999</v>
      </c>
      <c r="BB38" t="n">
        <v>7.875</v>
      </c>
      <c r="BC38" t="n">
        <v>0.298</v>
      </c>
      <c r="BD38" t="n">
        <v>0.31</v>
      </c>
      <c r="BE38" t="n">
        <v>0.304</v>
      </c>
      <c r="BF38" t="n">
        <v>6.4</v>
      </c>
      <c r="BG38" t="n">
        <v>0.211</v>
      </c>
      <c r="BH38" t="n">
        <v>0.892</v>
      </c>
      <c r="BI38" t="n">
        <v>21.58</v>
      </c>
      <c r="BJ38" t="n">
        <v>8.086</v>
      </c>
      <c r="BK38" t="n">
        <v>0.266</v>
      </c>
      <c r="BL38" t="n">
        <v>-2.229</v>
      </c>
      <c r="BM38" t="n">
        <v>-2.66</v>
      </c>
      <c r="BN38" t="n">
        <v>0.6</v>
      </c>
      <c r="BO38" t="n">
        <v>-0.338</v>
      </c>
      <c r="BP38" t="n">
        <v>70</v>
      </c>
      <c r="BQ38" t="n">
        <v>24</v>
      </c>
      <c r="BR38" t="n">
        <v>8</v>
      </c>
      <c r="BS38" t="n">
        <v>114</v>
      </c>
      <c r="BT38" t="n">
        <v>3.755</v>
      </c>
      <c r="BU38" t="n">
        <v>2</v>
      </c>
      <c r="BW38" t="n">
        <v>4.6</v>
      </c>
      <c r="BX38" t="n">
        <v>6.159</v>
      </c>
      <c r="BY38" t="n">
        <v>5.379</v>
      </c>
      <c r="BZ38" t="n">
        <v>0.177</v>
      </c>
      <c r="CA38" t="n">
        <v>14.608</v>
      </c>
      <c r="CB38" t="n">
        <v>0.481</v>
      </c>
      <c r="CC38" t="n">
        <v>52</v>
      </c>
      <c r="CD38" t="n">
        <v>9</v>
      </c>
      <c r="CE38" t="n">
        <v>54</v>
      </c>
      <c r="CF38" t="n">
        <v>19</v>
      </c>
      <c r="CG38" t="n">
        <v>3</v>
      </c>
      <c r="CH38" t="n">
        <v>63</v>
      </c>
      <c r="CI38" t="n">
        <v>17.828</v>
      </c>
      <c r="CJ38" t="n">
        <v>8.153</v>
      </c>
      <c r="CK38" t="n">
        <v>62</v>
      </c>
      <c r="CL38" t="n">
        <v>150</v>
      </c>
      <c r="CM38" t="n">
        <v>39</v>
      </c>
      <c r="CN38" t="n">
        <v>22</v>
      </c>
      <c r="CO38" t="n">
        <v>17</v>
      </c>
      <c r="CP38" t="n">
        <v>39</v>
      </c>
      <c r="CQ38" t="n">
        <v>6</v>
      </c>
      <c r="CR38" t="n">
        <v>138</v>
      </c>
      <c r="CS38" t="n">
        <v>24</v>
      </c>
      <c r="CT38" t="n">
        <v>0.9</v>
      </c>
      <c r="CW38" t="n">
        <v>41.06</v>
      </c>
      <c r="CX38" t="n">
        <v>1.353</v>
      </c>
      <c r="CY38" t="n">
        <v>0</v>
      </c>
      <c r="DB38" t="n">
        <v>0</v>
      </c>
      <c r="DE38" t="n">
        <v>7.24</v>
      </c>
      <c r="DF38" t="n">
        <v>6</v>
      </c>
      <c r="DG38" t="n">
        <v>0</v>
      </c>
      <c r="DH38" t="n">
        <v>30</v>
      </c>
      <c r="DI38" t="n">
        <v>35</v>
      </c>
      <c r="DL38" t="n">
        <v>39</v>
      </c>
      <c r="DM38" t="n">
        <v>44</v>
      </c>
      <c r="DN38" t="n">
        <v>4</v>
      </c>
      <c r="DO38" t="n">
        <v>1.8</v>
      </c>
      <c r="DP38" t="n">
        <v>159.9</v>
      </c>
      <c r="DQ38" t="n">
        <v>80.65000000000001</v>
      </c>
      <c r="DR38" t="n">
        <v>161.3</v>
      </c>
      <c r="DS38" t="n">
        <v>-1.4</v>
      </c>
      <c r="DT38" t="n">
        <v>3061</v>
      </c>
      <c r="DU38" t="n">
        <v>80.55</v>
      </c>
      <c r="DV38" t="inlineStr">
        <is>
          <t>flat</t>
        </is>
      </c>
      <c r="DW38" t="n">
        <v>65.38</v>
      </c>
      <c r="DX38" t="n">
        <v>72.61</v>
      </c>
      <c r="DY38" t="n">
        <v>20.93</v>
      </c>
      <c r="DZ38" t="n">
        <v>23.2</v>
      </c>
      <c r="EA38" t="n">
        <v>112</v>
      </c>
      <c r="EB38" t="n">
        <v>127</v>
      </c>
      <c r="EC38" t="n">
        <v>61.1</v>
      </c>
      <c r="ED38" t="n">
        <v>8.6</v>
      </c>
      <c r="EE38" t="n">
        <v>67</v>
      </c>
      <c r="EF38" t="n">
        <v>39</v>
      </c>
      <c r="EG38" t="n">
        <v>24</v>
      </c>
      <c r="EH38" t="n">
        <v>50.6</v>
      </c>
      <c r="EI38" t="n">
        <v>296</v>
      </c>
      <c r="EJ38" t="n">
        <v>507.9</v>
      </c>
      <c r="EK38" t="n">
        <v>187</v>
      </c>
      <c r="EL38" t="n">
        <v>19.9</v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n">
        <v>6</v>
      </c>
      <c r="F39" t="b">
        <v>1</v>
      </c>
      <c r="G39" t="b">
        <v>1</v>
      </c>
      <c r="H39" t="n">
        <v>25.4</v>
      </c>
      <c r="I39" t="inlineStr">
        <is>
          <t>i</t>
        </is>
      </c>
      <c r="J39" t="inlineStr">
        <is>
          <t>Back injury - Unknown return date</t>
        </is>
      </c>
      <c r="K39" t="n">
        <v>0</v>
      </c>
      <c r="L39" t="inlineStr">
        <is>
          <t>p462424</t>
        </is>
      </c>
      <c r="M39" t="n">
        <v>6</v>
      </c>
      <c r="Q39" t="n">
        <v>2614</v>
      </c>
      <c r="R39" t="n">
        <v>31</v>
      </c>
      <c r="S39" t="n">
        <v>30</v>
      </c>
      <c r="T39" t="n">
        <v>29.044</v>
      </c>
      <c r="U39" t="n">
        <v>84.3</v>
      </c>
      <c r="V39" t="n">
        <v>137</v>
      </c>
      <c r="W39" t="n">
        <v>4.717</v>
      </c>
      <c r="X39" t="n">
        <v>1</v>
      </c>
      <c r="Y39" t="n">
        <v>0</v>
      </c>
      <c r="AA39" t="n">
        <v>15</v>
      </c>
      <c r="AB39" t="n">
        <v>20</v>
      </c>
      <c r="AC39" t="n">
        <v>12</v>
      </c>
      <c r="AD39" t="n">
        <v>11</v>
      </c>
      <c r="AE39" t="n">
        <v>-1</v>
      </c>
      <c r="AF39" t="n">
        <v>581</v>
      </c>
      <c r="AG39" t="n">
        <v>552</v>
      </c>
      <c r="AH39" t="n">
        <v>-29</v>
      </c>
      <c r="AI39" t="n">
        <v>136</v>
      </c>
      <c r="AJ39" t="n">
        <v>0.08799999999999999</v>
      </c>
      <c r="AK39" t="n">
        <v>0.096</v>
      </c>
      <c r="AL39" t="n">
        <v>193</v>
      </c>
      <c r="AM39" t="n">
        <v>6.645</v>
      </c>
      <c r="AN39" t="n">
        <v>4</v>
      </c>
      <c r="AO39" t="n">
        <v>8</v>
      </c>
      <c r="AP39" t="n">
        <v>0.133</v>
      </c>
      <c r="AQ39" t="n">
        <v>0.133</v>
      </c>
      <c r="AR39" t="n">
        <v>0.067</v>
      </c>
      <c r="AS39" t="n">
        <v>0.789</v>
      </c>
      <c r="AT39" t="n">
        <v>0.903</v>
      </c>
      <c r="AU39" t="n">
        <v>14</v>
      </c>
      <c r="AV39" t="n">
        <v>2</v>
      </c>
      <c r="AW39" t="n">
        <v>3.29</v>
      </c>
      <c r="AX39" t="n">
        <v>11</v>
      </c>
      <c r="AY39" t="n">
        <v>0.88</v>
      </c>
      <c r="AZ39" t="n">
        <v>1.578</v>
      </c>
      <c r="BA39" t="n">
        <v>1.229</v>
      </c>
      <c r="BB39" t="n">
        <v>1.578</v>
      </c>
      <c r="BC39" t="n">
        <v>0.03</v>
      </c>
      <c r="BD39" t="n">
        <v>0.054</v>
      </c>
      <c r="BE39" t="n">
        <v>0.042</v>
      </c>
      <c r="BF39" t="n">
        <v>0.9</v>
      </c>
      <c r="BG39" t="n">
        <v>0.031</v>
      </c>
      <c r="BH39" t="n">
        <v>0.949</v>
      </c>
      <c r="BI39" t="n">
        <v>5.91</v>
      </c>
      <c r="BJ39" t="n">
        <v>0.835</v>
      </c>
      <c r="BK39" t="n">
        <v>0.029</v>
      </c>
      <c r="BL39" t="n">
        <v>-0.229</v>
      </c>
      <c r="BM39" t="n">
        <v>0.02</v>
      </c>
      <c r="BN39" t="n">
        <v>0.1</v>
      </c>
      <c r="BO39" t="n">
        <v>-0.698</v>
      </c>
      <c r="BP39" t="n">
        <v>5</v>
      </c>
      <c r="BQ39" t="n">
        <v>1</v>
      </c>
      <c r="BR39" t="n">
        <v>2</v>
      </c>
      <c r="BS39" t="n">
        <v>22</v>
      </c>
      <c r="BT39" t="n">
        <v>0.757</v>
      </c>
      <c r="BV39" t="n">
        <v>1</v>
      </c>
      <c r="BW39" t="n">
        <v>1.21</v>
      </c>
      <c r="BX39" t="n">
        <v>1.306</v>
      </c>
      <c r="BY39" t="n">
        <v>1.258</v>
      </c>
      <c r="BZ39" t="n">
        <v>0.043</v>
      </c>
      <c r="CA39" t="n">
        <v>2.487</v>
      </c>
      <c r="CB39" t="n">
        <v>0.08599999999999999</v>
      </c>
      <c r="CC39" t="n">
        <v>10</v>
      </c>
      <c r="CD39" t="n">
        <v>1</v>
      </c>
      <c r="CE39" t="n">
        <v>10</v>
      </c>
      <c r="CF39" t="n">
        <v>4</v>
      </c>
      <c r="CG39" t="n">
        <v>2</v>
      </c>
      <c r="CI39" t="n">
        <v>11.017</v>
      </c>
      <c r="CJ39" t="n">
        <v>10.502</v>
      </c>
      <c r="CK39" t="n">
        <v>158</v>
      </c>
      <c r="CL39" t="n">
        <v>113</v>
      </c>
      <c r="CM39" t="n">
        <v>35</v>
      </c>
      <c r="CN39" t="n">
        <v>22</v>
      </c>
      <c r="CO39" t="n">
        <v>17</v>
      </c>
      <c r="CP39" t="n">
        <v>133</v>
      </c>
      <c r="CQ39" t="n">
        <v>7</v>
      </c>
      <c r="CR39" t="n">
        <v>131</v>
      </c>
      <c r="CS39" t="n">
        <v>73</v>
      </c>
      <c r="CT39" t="n">
        <v>0.1</v>
      </c>
      <c r="CV39" t="n">
        <v>2</v>
      </c>
      <c r="CW39" t="n">
        <v>20.41</v>
      </c>
      <c r="CX39" t="n">
        <v>0.703</v>
      </c>
      <c r="CY39" t="n">
        <v>0</v>
      </c>
      <c r="DB39" t="n">
        <v>0</v>
      </c>
      <c r="DE39" t="n">
        <v>7.16</v>
      </c>
      <c r="DF39" t="n">
        <v>2</v>
      </c>
      <c r="DG39" t="n">
        <v>0</v>
      </c>
      <c r="DH39" t="n">
        <v>22</v>
      </c>
      <c r="DI39" t="n">
        <v>16</v>
      </c>
      <c r="DL39" t="n">
        <v>7</v>
      </c>
      <c r="DM39" t="n">
        <v>9</v>
      </c>
      <c r="DN39" t="n">
        <v>1</v>
      </c>
      <c r="DO39" t="n">
        <v>0.5</v>
      </c>
      <c r="DP39" t="n">
        <v>136.05</v>
      </c>
      <c r="DQ39" t="n">
        <v>57.06</v>
      </c>
      <c r="DR39" t="n">
        <v>114.12</v>
      </c>
      <c r="DS39" t="n">
        <v>21.93</v>
      </c>
      <c r="DT39" t="n">
        <v>3278</v>
      </c>
      <c r="DU39" t="n">
        <v>86.25</v>
      </c>
      <c r="DV39" t="inlineStr">
        <is>
          <t>ramp-up (injury / late WC return)</t>
        </is>
      </c>
      <c r="DW39" t="n">
        <v>76.54000000000001</v>
      </c>
      <c r="DX39" t="n">
        <v>65.34999999999999</v>
      </c>
      <c r="DY39" t="n">
        <v>25.58</v>
      </c>
      <c r="DZ39" t="n">
        <v>8.800000000000001</v>
      </c>
      <c r="EA39" t="n">
        <v>119.33</v>
      </c>
      <c r="EB39" t="n">
        <v>89</v>
      </c>
      <c r="EC39" t="n">
        <v>42.8</v>
      </c>
      <c r="ED39" t="n">
        <v>47.6</v>
      </c>
      <c r="EE39" t="n">
        <v>66</v>
      </c>
      <c r="EF39" t="n">
        <v>522.8</v>
      </c>
      <c r="EG39" t="n">
        <v>118.8</v>
      </c>
      <c r="EH39" t="n">
        <v>261.4</v>
      </c>
      <c r="EI39" t="n">
        <v>2127.1</v>
      </c>
      <c r="EJ39" t="n">
        <v>2077.9</v>
      </c>
      <c r="EK39" t="n">
        <v>1051.1</v>
      </c>
      <c r="EL39" t="n">
        <v>19.1</v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n">
        <v>6</v>
      </c>
      <c r="F40" t="b">
        <v>1</v>
      </c>
      <c r="G40" t="b">
        <v>1</v>
      </c>
      <c r="H40" t="n">
        <v>27.8</v>
      </c>
      <c r="I40" t="inlineStr">
        <is>
          <t>a</t>
        </is>
      </c>
      <c r="L40" t="inlineStr">
        <is>
          <t>p466525</t>
        </is>
      </c>
      <c r="M40" t="n">
        <v>335</v>
      </c>
      <c r="O40" t="n">
        <v>1</v>
      </c>
      <c r="P40" t="n">
        <v>1</v>
      </c>
      <c r="Q40" t="n">
        <v>2369</v>
      </c>
      <c r="R40" t="n">
        <v>29</v>
      </c>
      <c r="S40" t="n">
        <v>28</v>
      </c>
      <c r="T40" t="n">
        <v>26.322</v>
      </c>
      <c r="U40" t="n">
        <v>81.7</v>
      </c>
      <c r="V40" t="n">
        <v>137</v>
      </c>
      <c r="W40" t="n">
        <v>5.205</v>
      </c>
      <c r="X40" t="n">
        <v>5</v>
      </c>
      <c r="Y40" t="n">
        <v>6</v>
      </c>
      <c r="Z40" t="n">
        <v>3</v>
      </c>
      <c r="AA40" t="n">
        <v>7</v>
      </c>
      <c r="AB40" t="n">
        <v>36</v>
      </c>
      <c r="AC40" t="n">
        <v>14</v>
      </c>
      <c r="AD40" t="n">
        <v>14</v>
      </c>
      <c r="AE40" t="n">
        <v>0</v>
      </c>
      <c r="AF40" t="n">
        <v>550</v>
      </c>
      <c r="AG40" t="n">
        <v>534</v>
      </c>
      <c r="AH40" t="n">
        <v>-16</v>
      </c>
      <c r="AI40" t="n">
        <v>137</v>
      </c>
      <c r="AJ40" t="n">
        <v>0.102</v>
      </c>
      <c r="AK40" t="n">
        <v>0.114</v>
      </c>
      <c r="AL40" t="n">
        <v>266</v>
      </c>
      <c r="AM40" t="n">
        <v>10.106</v>
      </c>
      <c r="AN40" t="n">
        <v>10</v>
      </c>
      <c r="AO40" t="n">
        <v>20</v>
      </c>
      <c r="AP40" t="n">
        <v>0.357</v>
      </c>
      <c r="AQ40" t="n">
        <v>0.5</v>
      </c>
      <c r="AR40" t="n">
        <v>0.357</v>
      </c>
      <c r="AS40" t="n">
        <v>0.737</v>
      </c>
      <c r="AT40" t="n">
        <v>0.931</v>
      </c>
      <c r="AU40" t="n">
        <v>11</v>
      </c>
      <c r="AV40" t="n">
        <v>4</v>
      </c>
      <c r="AW40" t="n">
        <v>3.75</v>
      </c>
      <c r="AX40" t="n">
        <v>15</v>
      </c>
      <c r="AY40" t="n">
        <v>2.88</v>
      </c>
      <c r="AZ40" t="n">
        <v>2.921</v>
      </c>
      <c r="BA40" t="n">
        <v>2.9</v>
      </c>
      <c r="BB40" t="n">
        <v>2.921</v>
      </c>
      <c r="BC40" t="n">
        <v>0.109</v>
      </c>
      <c r="BD40" t="n">
        <v>0.111</v>
      </c>
      <c r="BE40" t="n">
        <v>0.11</v>
      </c>
      <c r="BF40" t="n">
        <v>2.9</v>
      </c>
      <c r="BG40" t="n">
        <v>0.11</v>
      </c>
      <c r="BH40" t="n">
        <v>1.002</v>
      </c>
      <c r="BI40" t="n">
        <v>2.88</v>
      </c>
      <c r="BJ40" t="n">
        <v>2.885</v>
      </c>
      <c r="BK40" t="n">
        <v>0.11</v>
      </c>
      <c r="BL40" t="n">
        <v>2.1</v>
      </c>
      <c r="BM40" t="n">
        <v>0.02</v>
      </c>
      <c r="BN40" t="n">
        <v>2.1</v>
      </c>
      <c r="BO40" t="n">
        <v>-0.041</v>
      </c>
      <c r="BP40" t="n">
        <v>55</v>
      </c>
      <c r="BQ40" t="n">
        <v>14</v>
      </c>
      <c r="BR40" t="n">
        <v>1</v>
      </c>
      <c r="BS40" t="n">
        <v>55</v>
      </c>
      <c r="BT40" t="n">
        <v>2.089</v>
      </c>
      <c r="BW40" t="n">
        <v>4.47</v>
      </c>
      <c r="BX40" t="n">
        <v>5.958</v>
      </c>
      <c r="BY40" t="n">
        <v>5.214</v>
      </c>
      <c r="BZ40" t="n">
        <v>0.198</v>
      </c>
      <c r="CA40" t="n">
        <v>8.114000000000001</v>
      </c>
      <c r="CB40" t="n">
        <v>0.308</v>
      </c>
      <c r="CC40" t="n">
        <v>61</v>
      </c>
      <c r="CD40" t="n">
        <v>9</v>
      </c>
      <c r="CE40" t="n">
        <v>63</v>
      </c>
      <c r="CF40" t="n">
        <v>45</v>
      </c>
      <c r="CG40" t="n">
        <v>2</v>
      </c>
      <c r="CH40" t="n">
        <v>102</v>
      </c>
      <c r="CI40" t="n">
        <v>10.148</v>
      </c>
      <c r="CJ40" t="n">
        <v>6.207</v>
      </c>
      <c r="CK40" t="n">
        <v>81</v>
      </c>
      <c r="CL40" t="n">
        <v>120</v>
      </c>
      <c r="CM40" t="n">
        <v>65</v>
      </c>
      <c r="CN40" t="n">
        <v>36</v>
      </c>
      <c r="CO40" t="n">
        <v>20</v>
      </c>
      <c r="CP40" t="n">
        <v>52</v>
      </c>
      <c r="CQ40" t="n">
        <v>9</v>
      </c>
      <c r="CR40" t="n">
        <v>155</v>
      </c>
      <c r="CS40" t="n">
        <v>48</v>
      </c>
      <c r="CT40" t="n">
        <v>0.9</v>
      </c>
      <c r="CV40" t="n">
        <v>1</v>
      </c>
      <c r="CW40" t="n">
        <v>34.05</v>
      </c>
      <c r="CX40" t="n">
        <v>1.294</v>
      </c>
      <c r="CY40" t="n">
        <v>0</v>
      </c>
      <c r="DB40" t="n">
        <v>0</v>
      </c>
      <c r="DE40" t="n">
        <v>7.31</v>
      </c>
      <c r="DF40" t="n">
        <v>3</v>
      </c>
      <c r="DG40" t="n">
        <v>0</v>
      </c>
      <c r="DH40" t="n">
        <v>36</v>
      </c>
      <c r="DI40" t="n">
        <v>24</v>
      </c>
      <c r="DK40" t="n">
        <v>1</v>
      </c>
      <c r="DL40" t="n">
        <v>20</v>
      </c>
      <c r="DM40" t="n">
        <v>26</v>
      </c>
      <c r="DO40" t="n">
        <v>1.1</v>
      </c>
      <c r="DP40" t="n">
        <v>133.2</v>
      </c>
      <c r="DQ40" t="n">
        <v>66.59999999999999</v>
      </c>
      <c r="DR40" t="n">
        <v>133.2</v>
      </c>
      <c r="DS40" t="n">
        <v>0</v>
      </c>
      <c r="DT40" t="n">
        <v>2964</v>
      </c>
      <c r="DU40" t="n">
        <v>78</v>
      </c>
      <c r="DV40" t="inlineStr">
        <is>
          <t>flat</t>
        </is>
      </c>
      <c r="DW40" t="n">
        <v>73.53</v>
      </c>
      <c r="DX40" t="n">
        <v>82.73999999999999</v>
      </c>
      <c r="DY40" t="n">
        <v>23.12</v>
      </c>
      <c r="DZ40" t="n">
        <v>21.33</v>
      </c>
      <c r="EA40" t="n">
        <v>117.71</v>
      </c>
      <c r="EB40" t="n">
        <v>105</v>
      </c>
      <c r="EC40" t="n">
        <v>50.5</v>
      </c>
      <c r="ED40" t="n">
        <v>5.4</v>
      </c>
      <c r="EE40" t="n">
        <v>68</v>
      </c>
      <c r="EF40" t="n">
        <v>43.1</v>
      </c>
      <c r="EG40" t="n">
        <v>43.1</v>
      </c>
      <c r="EH40" t="n">
        <v>37.6</v>
      </c>
      <c r="EI40" t="n">
        <v>816.8</v>
      </c>
      <c r="EJ40" t="n">
        <v>454.3</v>
      </c>
      <c r="EK40" t="n">
        <v>291.9</v>
      </c>
      <c r="EL40" t="n">
        <v>17.3</v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n">
        <v>5.5</v>
      </c>
      <c r="F41" t="b">
        <v>1</v>
      </c>
      <c r="G41" t="b">
        <v>1</v>
      </c>
      <c r="H41" t="n">
        <v>30.2</v>
      </c>
      <c r="I41" t="inlineStr">
        <is>
          <t>a</t>
        </is>
      </c>
      <c r="L41" t="inlineStr">
        <is>
          <t>p247348</t>
        </is>
      </c>
      <c r="M41" t="n">
        <v>201</v>
      </c>
      <c r="Q41" t="n">
        <v>2400</v>
      </c>
      <c r="R41" t="n">
        <v>29</v>
      </c>
      <c r="S41" t="n">
        <v>29</v>
      </c>
      <c r="T41" t="n">
        <v>26.667</v>
      </c>
      <c r="U41" t="n">
        <v>82.8</v>
      </c>
      <c r="V41" t="n">
        <v>136</v>
      </c>
      <c r="W41" t="n">
        <v>5.1</v>
      </c>
      <c r="X41" t="n">
        <v>4</v>
      </c>
      <c r="Y41" t="n">
        <v>4</v>
      </c>
      <c r="Z41" t="n">
        <v>3</v>
      </c>
      <c r="AA41" t="n">
        <v>10</v>
      </c>
      <c r="AB41" t="n">
        <v>33</v>
      </c>
      <c r="AC41" t="n">
        <v>9</v>
      </c>
      <c r="AD41" t="n">
        <v>9</v>
      </c>
      <c r="AE41" t="n">
        <v>0</v>
      </c>
      <c r="AF41" t="n">
        <v>469</v>
      </c>
      <c r="AG41" t="n">
        <v>448</v>
      </c>
      <c r="AH41" t="n">
        <v>-21</v>
      </c>
      <c r="AI41" t="n">
        <v>136</v>
      </c>
      <c r="AJ41" t="n">
        <v>0.066</v>
      </c>
      <c r="AK41" t="n">
        <v>0.07099999999999999</v>
      </c>
      <c r="AL41" t="n">
        <v>196</v>
      </c>
      <c r="AM41" t="n">
        <v>7.35</v>
      </c>
      <c r="AN41" t="n">
        <v>7</v>
      </c>
      <c r="AO41" t="n">
        <v>14</v>
      </c>
      <c r="AP41" t="n">
        <v>0.241</v>
      </c>
      <c r="AQ41" t="n">
        <v>0.241</v>
      </c>
      <c r="AR41" t="n">
        <v>0.103</v>
      </c>
      <c r="AS41" t="n">
        <v>0.763</v>
      </c>
      <c r="AT41" t="n">
        <v>0.897</v>
      </c>
      <c r="AU41" t="n">
        <v>13</v>
      </c>
      <c r="AV41" t="n">
        <v>3</v>
      </c>
      <c r="AW41" t="n">
        <v>3.92</v>
      </c>
      <c r="AX41" t="n">
        <v>14</v>
      </c>
      <c r="AY41" t="n">
        <v>2.45</v>
      </c>
      <c r="AZ41" t="n">
        <v>3.147</v>
      </c>
      <c r="BA41" t="n">
        <v>2.799</v>
      </c>
      <c r="BB41" t="n">
        <v>3.147</v>
      </c>
      <c r="BC41" t="n">
        <v>0.092</v>
      </c>
      <c r="BD41" t="n">
        <v>0.118</v>
      </c>
      <c r="BE41" t="n">
        <v>0.105</v>
      </c>
      <c r="BF41" t="n">
        <v>3.7</v>
      </c>
      <c r="BG41" t="n">
        <v>0.139</v>
      </c>
      <c r="BH41" t="n">
        <v>0.884</v>
      </c>
      <c r="BI41" t="n">
        <v>8.630000000000001</v>
      </c>
      <c r="BJ41" t="n">
        <v>2.166</v>
      </c>
      <c r="BK41" t="n">
        <v>0.081</v>
      </c>
      <c r="BL41" t="n">
        <v>1.201</v>
      </c>
      <c r="BM41" t="n">
        <v>1.25</v>
      </c>
      <c r="BN41" t="n">
        <v>0.3</v>
      </c>
      <c r="BO41" t="n">
        <v>-0.697</v>
      </c>
      <c r="BP41" t="n">
        <v>27</v>
      </c>
      <c r="BQ41" t="n">
        <v>13</v>
      </c>
      <c r="BR41" t="n">
        <v>1</v>
      </c>
      <c r="BS41" t="n">
        <v>75</v>
      </c>
      <c r="BT41" t="n">
        <v>2.812</v>
      </c>
      <c r="BV41" t="n">
        <v>1</v>
      </c>
      <c r="BW41" t="n">
        <v>3.94</v>
      </c>
      <c r="BX41" t="n">
        <v>5.066</v>
      </c>
      <c r="BY41" t="n">
        <v>4.503</v>
      </c>
      <c r="BZ41" t="n">
        <v>0.169</v>
      </c>
      <c r="CA41" t="n">
        <v>7.302</v>
      </c>
      <c r="CB41" t="n">
        <v>0.274</v>
      </c>
      <c r="CC41" t="n">
        <v>27</v>
      </c>
      <c r="CD41" t="n">
        <v>8</v>
      </c>
      <c r="CE41" t="n">
        <v>27</v>
      </c>
      <c r="CF41" t="n">
        <v>14</v>
      </c>
      <c r="CI41" t="n">
        <v>10.426</v>
      </c>
      <c r="CJ41" t="n">
        <v>4.438</v>
      </c>
      <c r="CK41" t="n">
        <v>124</v>
      </c>
      <c r="CL41" t="n">
        <v>97</v>
      </c>
      <c r="CM41" t="n">
        <v>72</v>
      </c>
      <c r="CN41" t="n">
        <v>48</v>
      </c>
      <c r="CO41" t="n">
        <v>26</v>
      </c>
      <c r="CP41" t="n">
        <v>97</v>
      </c>
      <c r="CQ41" t="n">
        <v>1</v>
      </c>
      <c r="CR41" t="n">
        <v>138</v>
      </c>
      <c r="CS41" t="n">
        <v>44</v>
      </c>
      <c r="CT41" t="n">
        <v>0.2</v>
      </c>
      <c r="CV41" t="n">
        <v>2</v>
      </c>
      <c r="CW41" t="n">
        <v>34.28</v>
      </c>
      <c r="CX41" t="n">
        <v>1.286</v>
      </c>
      <c r="CY41" t="n">
        <v>0</v>
      </c>
      <c r="DB41" t="n">
        <v>0</v>
      </c>
      <c r="DE41" t="n">
        <v>7.15</v>
      </c>
      <c r="DF41" t="n">
        <v>7</v>
      </c>
      <c r="DG41" t="n">
        <v>0</v>
      </c>
      <c r="DH41" t="n">
        <v>35</v>
      </c>
      <c r="DI41" t="n">
        <v>18</v>
      </c>
      <c r="DL41" t="n">
        <v>2</v>
      </c>
      <c r="DM41" t="n">
        <v>7</v>
      </c>
      <c r="DN41" t="n">
        <v>8</v>
      </c>
      <c r="DO41" t="n">
        <v>11.4</v>
      </c>
      <c r="DP41" t="n">
        <v>137.2</v>
      </c>
      <c r="DQ41" t="n">
        <v>68.59999999999999</v>
      </c>
      <c r="DR41" t="n">
        <v>137.2</v>
      </c>
      <c r="DS41" t="n">
        <v>0</v>
      </c>
      <c r="DT41" t="n">
        <v>3055</v>
      </c>
      <c r="DU41" t="n">
        <v>80.40000000000001</v>
      </c>
      <c r="DV41" t="inlineStr">
        <is>
          <t>flat</t>
        </is>
      </c>
      <c r="DW41" t="n">
        <v>52.64</v>
      </c>
      <c r="DX41" t="n">
        <v>56.8</v>
      </c>
      <c r="DY41" t="n">
        <v>17.32</v>
      </c>
      <c r="DZ41" t="n">
        <v>16</v>
      </c>
      <c r="EA41" t="n">
        <v>112</v>
      </c>
      <c r="EB41" t="n">
        <v>193</v>
      </c>
      <c r="EC41" t="n">
        <v>92.8</v>
      </c>
      <c r="ED41" t="n">
        <v>9.4</v>
      </c>
      <c r="EE41" t="n">
        <v>114</v>
      </c>
      <c r="EF41" t="n">
        <v>88.90000000000001</v>
      </c>
      <c r="EG41" t="n">
        <v>32</v>
      </c>
      <c r="EH41" t="n">
        <v>88.90000000000001</v>
      </c>
      <c r="EI41" t="n">
        <v>857.6</v>
      </c>
      <c r="EJ41" t="n">
        <v>533</v>
      </c>
      <c r="EK41" t="n">
        <v>328.7</v>
      </c>
      <c r="EL41" t="n">
        <v>17.6</v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n">
        <v>5.5</v>
      </c>
      <c r="F42" t="b">
        <v>1</v>
      </c>
      <c r="G42" t="b">
        <v>1</v>
      </c>
      <c r="H42" t="n">
        <v>27.1</v>
      </c>
      <c r="I42" t="inlineStr">
        <is>
          <t>u</t>
        </is>
      </c>
      <c r="J42" t="inlineStr">
        <is>
          <t>Has joined Como permanently</t>
        </is>
      </c>
      <c r="K42" t="n">
        <v>0</v>
      </c>
      <c r="L42" t="inlineStr">
        <is>
          <t>p180736</t>
        </is>
      </c>
      <c r="M42" t="n">
        <v>143</v>
      </c>
      <c r="Q42" t="n">
        <v>2780</v>
      </c>
      <c r="R42" t="n">
        <v>34</v>
      </c>
      <c r="S42" t="n">
        <v>31</v>
      </c>
      <c r="T42" t="n">
        <v>30.889</v>
      </c>
      <c r="U42" t="n">
        <v>81.8</v>
      </c>
      <c r="V42" t="n">
        <v>136</v>
      </c>
      <c r="W42" t="n">
        <v>4.403</v>
      </c>
      <c r="X42" t="n">
        <v>3</v>
      </c>
      <c r="Y42" t="n">
        <v>1</v>
      </c>
      <c r="AA42" t="n">
        <v>9</v>
      </c>
      <c r="AB42" t="n">
        <v>40</v>
      </c>
      <c r="AC42" t="n">
        <v>7</v>
      </c>
      <c r="AD42" t="n">
        <v>6</v>
      </c>
      <c r="AE42" t="n">
        <v>-1</v>
      </c>
      <c r="AF42" t="n">
        <v>516</v>
      </c>
      <c r="AG42" t="n">
        <v>476</v>
      </c>
      <c r="AH42" t="n">
        <v>-40</v>
      </c>
      <c r="AI42" t="n">
        <v>135</v>
      </c>
      <c r="AJ42" t="n">
        <v>0.051</v>
      </c>
      <c r="AK42" t="n">
        <v>0.054</v>
      </c>
      <c r="AL42" t="n">
        <v>265</v>
      </c>
      <c r="AM42" t="n">
        <v>8.579000000000001</v>
      </c>
      <c r="AN42" t="n">
        <v>14</v>
      </c>
      <c r="AO42" t="n">
        <v>28</v>
      </c>
      <c r="AP42" t="n">
        <v>0.452</v>
      </c>
      <c r="AQ42" t="n">
        <v>0.452</v>
      </c>
      <c r="AR42" t="n">
        <v>0.194</v>
      </c>
      <c r="AS42" t="n">
        <v>0.8159999999999999</v>
      </c>
      <c r="AT42" t="n">
        <v>0.882</v>
      </c>
      <c r="AU42" t="n">
        <v>14</v>
      </c>
      <c r="AV42" t="n">
        <v>2</v>
      </c>
      <c r="AW42" t="n">
        <v>3.58</v>
      </c>
      <c r="AX42" t="n">
        <v>13</v>
      </c>
      <c r="AY42" t="n">
        <v>1.44</v>
      </c>
      <c r="AZ42" t="n">
        <v>1.841</v>
      </c>
      <c r="BA42" t="n">
        <v>1.641</v>
      </c>
      <c r="BB42" t="n">
        <v>1.841</v>
      </c>
      <c r="BC42" t="n">
        <v>0.047</v>
      </c>
      <c r="BD42" t="n">
        <v>0.06</v>
      </c>
      <c r="BE42" t="n">
        <v>0.053</v>
      </c>
      <c r="BF42" t="n">
        <v>2.5</v>
      </c>
      <c r="BG42" t="n">
        <v>0.081</v>
      </c>
      <c r="BH42" t="n">
        <v>1.19</v>
      </c>
      <c r="BI42" t="n">
        <v>4.44</v>
      </c>
      <c r="BJ42" t="n">
        <v>1.713</v>
      </c>
      <c r="BK42" t="n">
        <v>0.055</v>
      </c>
      <c r="BL42" t="n">
        <v>1.359</v>
      </c>
      <c r="BM42" t="n">
        <v>1.06</v>
      </c>
      <c r="BN42" t="n">
        <v>0.5</v>
      </c>
      <c r="BO42" t="n">
        <v>-0.401</v>
      </c>
      <c r="BP42" t="n">
        <v>16</v>
      </c>
      <c r="BQ42" t="n">
        <v>5</v>
      </c>
      <c r="BR42" t="n">
        <v>2</v>
      </c>
      <c r="BS42" t="n">
        <v>17</v>
      </c>
      <c r="BT42" t="n">
        <v>0.55</v>
      </c>
      <c r="BV42" t="n">
        <v>2</v>
      </c>
      <c r="BW42" t="n">
        <v>1.03</v>
      </c>
      <c r="BX42" t="n">
        <v>0.631</v>
      </c>
      <c r="BY42" t="n">
        <v>0.83</v>
      </c>
      <c r="BZ42" t="n">
        <v>0.027</v>
      </c>
      <c r="CA42" t="n">
        <v>2.471</v>
      </c>
      <c r="CB42" t="n">
        <v>0.08</v>
      </c>
      <c r="CC42" t="n">
        <v>5</v>
      </c>
      <c r="CD42" t="n">
        <v>1</v>
      </c>
      <c r="CE42" t="n">
        <v>5</v>
      </c>
      <c r="CF42" t="n">
        <v>1</v>
      </c>
      <c r="CG42" t="n">
        <v>2</v>
      </c>
      <c r="CH42" t="n">
        <v>0</v>
      </c>
      <c r="CI42" t="n">
        <v>14.729</v>
      </c>
      <c r="CJ42" t="n">
        <v>14.597</v>
      </c>
      <c r="CK42" t="n">
        <v>230</v>
      </c>
      <c r="CL42" t="n">
        <v>119</v>
      </c>
      <c r="CM42" t="n">
        <v>35</v>
      </c>
      <c r="CN42" t="n">
        <v>23</v>
      </c>
      <c r="CO42" t="n">
        <v>35</v>
      </c>
      <c r="CP42" t="n">
        <v>178</v>
      </c>
      <c r="CQ42" t="n">
        <v>17</v>
      </c>
      <c r="CR42" t="n">
        <v>134</v>
      </c>
      <c r="CS42" t="n">
        <v>75</v>
      </c>
      <c r="CT42" t="n">
        <v>0.2</v>
      </c>
      <c r="CU42" t="n">
        <v>1</v>
      </c>
      <c r="CV42" t="n">
        <v>1</v>
      </c>
      <c r="CW42" t="n">
        <v>40.83</v>
      </c>
      <c r="CX42" t="n">
        <v>1.322</v>
      </c>
      <c r="CY42" t="n">
        <v>0</v>
      </c>
      <c r="DB42" t="n">
        <v>0</v>
      </c>
      <c r="DE42" t="n">
        <v>7.01</v>
      </c>
      <c r="DF42" t="n">
        <v>3</v>
      </c>
      <c r="DG42" t="n">
        <v>1</v>
      </c>
      <c r="DH42" t="n">
        <v>20</v>
      </c>
      <c r="DI42" t="n">
        <v>18</v>
      </c>
      <c r="DL42" t="n">
        <v>7</v>
      </c>
      <c r="DM42" t="n">
        <v>5</v>
      </c>
      <c r="DN42" t="n">
        <v>2</v>
      </c>
      <c r="DO42" t="n">
        <v>1.2</v>
      </c>
      <c r="DW42" t="n">
        <v>75.47</v>
      </c>
      <c r="DX42" t="n">
        <v>77.36</v>
      </c>
      <c r="DY42" t="n">
        <v>20.13</v>
      </c>
      <c r="DZ42" t="n">
        <v>34.86</v>
      </c>
      <c r="EA42" t="n">
        <v>112.89</v>
      </c>
      <c r="EB42" t="n">
        <v>46</v>
      </c>
      <c r="EC42" t="n">
        <v>22.1</v>
      </c>
      <c r="ED42" t="n">
        <v>53.5</v>
      </c>
      <c r="EE42" t="n">
        <v>113</v>
      </c>
      <c r="EF42" t="n">
        <v>173.8</v>
      </c>
      <c r="EG42" t="n">
        <v>163.5</v>
      </c>
      <c r="EH42" t="n">
        <v>556</v>
      </c>
      <c r="EI42" t="n">
        <v>1694.4</v>
      </c>
      <c r="EJ42" t="n">
        <v>3348.2</v>
      </c>
      <c r="EK42" t="n">
        <v>1125</v>
      </c>
      <c r="EL42" t="n">
        <v>20.4</v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n">
        <v>5</v>
      </c>
      <c r="F43" t="b">
        <v>1</v>
      </c>
      <c r="G43" t="b">
        <v>1</v>
      </c>
      <c r="H43" t="n">
        <v>23.6</v>
      </c>
      <c r="I43" t="inlineStr">
        <is>
          <t>a</t>
        </is>
      </c>
      <c r="L43" t="inlineStr">
        <is>
          <t>p498016</t>
        </is>
      </c>
      <c r="M43" t="n">
        <v>529</v>
      </c>
      <c r="Q43" t="n">
        <v>3150</v>
      </c>
      <c r="R43" t="n">
        <v>35</v>
      </c>
      <c r="S43" t="n">
        <v>35</v>
      </c>
      <c r="T43" t="n">
        <v>35</v>
      </c>
      <c r="U43" t="n">
        <v>90</v>
      </c>
      <c r="V43" t="n">
        <v>136</v>
      </c>
      <c r="W43" t="n">
        <v>3.886</v>
      </c>
      <c r="X43" t="n">
        <v>0</v>
      </c>
      <c r="Y43" t="n">
        <v>0</v>
      </c>
      <c r="AA43" t="n">
        <v>10</v>
      </c>
      <c r="AB43" t="n">
        <v>46</v>
      </c>
      <c r="AC43" t="n">
        <v>12</v>
      </c>
      <c r="AD43" t="n">
        <v>12</v>
      </c>
      <c r="AE43" t="n">
        <v>0</v>
      </c>
      <c r="AF43" t="n">
        <v>573</v>
      </c>
      <c r="AG43" t="n">
        <v>567</v>
      </c>
      <c r="AH43" t="n">
        <v>-6</v>
      </c>
      <c r="AI43" t="n">
        <v>136</v>
      </c>
      <c r="AJ43" t="n">
        <v>0.08799999999999999</v>
      </c>
      <c r="AK43" t="n">
        <v>0.097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0.921</v>
      </c>
      <c r="AT43" t="n">
        <v>1</v>
      </c>
      <c r="AU43" t="n">
        <v>17</v>
      </c>
      <c r="AV43" t="n">
        <v>3</v>
      </c>
      <c r="AW43" t="n">
        <v>3.18</v>
      </c>
      <c r="AX43" t="n">
        <v>11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H43" t="n">
        <v>1</v>
      </c>
      <c r="BI43" t="n">
        <v>0</v>
      </c>
      <c r="BJ43" t="n">
        <v>0</v>
      </c>
      <c r="BK43" t="n">
        <v>0</v>
      </c>
      <c r="BL43" t="n">
        <v>0</v>
      </c>
      <c r="BO43" t="n">
        <v>0</v>
      </c>
      <c r="BW43" t="n">
        <v>0.1</v>
      </c>
      <c r="BX43" t="n">
        <v>0.705</v>
      </c>
      <c r="BY43" t="n">
        <v>0.403</v>
      </c>
      <c r="BZ43" t="n">
        <v>0.012</v>
      </c>
      <c r="CA43" t="n">
        <v>0.403</v>
      </c>
      <c r="CB43" t="n">
        <v>0.012</v>
      </c>
      <c r="CC43" t="n">
        <v>4</v>
      </c>
      <c r="CD43" t="n">
        <v>1</v>
      </c>
      <c r="CE43" t="n">
        <v>5</v>
      </c>
      <c r="CI43" t="n">
        <v>3.145</v>
      </c>
      <c r="CJ43" t="n">
        <v>2.439</v>
      </c>
      <c r="CK43" t="n">
        <v>37</v>
      </c>
      <c r="CL43" t="n">
        <v>333</v>
      </c>
      <c r="CM43" t="n">
        <v>0</v>
      </c>
      <c r="CP43" t="n">
        <v>37</v>
      </c>
      <c r="CR43" t="n">
        <v>35</v>
      </c>
      <c r="CS43" t="n">
        <v>24</v>
      </c>
      <c r="CU43" t="n">
        <v>4</v>
      </c>
      <c r="CV43" t="n">
        <v>3</v>
      </c>
      <c r="CW43" t="n">
        <v>50.05</v>
      </c>
      <c r="CX43" t="n">
        <v>1.43</v>
      </c>
      <c r="CY43" t="n">
        <v>109</v>
      </c>
      <c r="CZ43" t="n">
        <v>70.3</v>
      </c>
      <c r="DA43" t="n">
        <v>-1.8</v>
      </c>
      <c r="DB43" t="n">
        <v>1</v>
      </c>
      <c r="DC43" t="n">
        <v>50</v>
      </c>
      <c r="DD43" t="n">
        <v>25</v>
      </c>
      <c r="DE43" t="n">
        <v>6.95</v>
      </c>
      <c r="DF43" t="n">
        <v>4</v>
      </c>
      <c r="DG43" t="n">
        <v>0</v>
      </c>
      <c r="DI43" t="n">
        <v>14</v>
      </c>
      <c r="DL43" t="n">
        <v>1</v>
      </c>
      <c r="DO43" t="n">
        <v>4.8</v>
      </c>
      <c r="DP43" t="n">
        <v>124.14</v>
      </c>
      <c r="DQ43" t="n">
        <v>62.07</v>
      </c>
      <c r="DR43" t="n">
        <v>124.14</v>
      </c>
      <c r="DS43" t="n">
        <v>0</v>
      </c>
      <c r="DT43" t="n">
        <v>3420</v>
      </c>
      <c r="DU43" t="n">
        <v>89.98999999999999</v>
      </c>
      <c r="DV43" t="inlineStr">
        <is>
          <t>flat</t>
        </is>
      </c>
      <c r="DW43" t="n">
        <v>85.31999999999999</v>
      </c>
      <c r="DX43" t="n">
        <v>91.45999999999999</v>
      </c>
      <c r="DY43" t="n">
        <v>24.4</v>
      </c>
      <c r="DZ43" t="n">
        <v>17</v>
      </c>
      <c r="EA43" t="n">
        <v>120</v>
      </c>
      <c r="EB43" t="n">
        <v>153</v>
      </c>
      <c r="EC43" t="n">
        <v>73.59999999999999</v>
      </c>
      <c r="ED43" t="n">
        <v>25.7</v>
      </c>
      <c r="EE43" t="n">
        <v>225</v>
      </c>
      <c r="EH43" t="n">
        <v>630</v>
      </c>
      <c r="EJ43" t="n">
        <v>7822.7</v>
      </c>
      <c r="EK43" t="n">
        <v>7822.7</v>
      </c>
      <c r="EL43" t="n">
        <v>23.2</v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n">
        <v>6.5</v>
      </c>
      <c r="F44" t="b">
        <v>1</v>
      </c>
      <c r="G44" t="b">
        <v>1</v>
      </c>
      <c r="H44" t="n">
        <v>24.5</v>
      </c>
      <c r="I44" t="inlineStr">
        <is>
          <t>a</t>
        </is>
      </c>
      <c r="L44" t="inlineStr">
        <is>
          <t>p533463</t>
        </is>
      </c>
      <c r="M44" t="n">
        <v>95</v>
      </c>
      <c r="O44" t="n">
        <v>4</v>
      </c>
      <c r="Q44" t="n">
        <v>2271</v>
      </c>
      <c r="R44" t="n">
        <v>32</v>
      </c>
      <c r="S44" t="n">
        <v>25</v>
      </c>
      <c r="T44" t="n">
        <v>25.233</v>
      </c>
      <c r="U44" t="n">
        <v>71</v>
      </c>
      <c r="V44" t="n">
        <v>136</v>
      </c>
      <c r="W44" t="n">
        <v>5.39</v>
      </c>
      <c r="X44" t="n">
        <v>7</v>
      </c>
      <c r="Y44" t="n">
        <v>8</v>
      </c>
      <c r="Z44" t="n">
        <v>3</v>
      </c>
      <c r="AA44" t="n">
        <v>6</v>
      </c>
      <c r="AB44" t="n">
        <v>35</v>
      </c>
      <c r="AC44" t="n">
        <v>16</v>
      </c>
      <c r="AD44" t="n">
        <v>16</v>
      </c>
      <c r="AE44" t="n">
        <v>0</v>
      </c>
      <c r="AF44" t="n">
        <v>429</v>
      </c>
      <c r="AG44" t="n">
        <v>413</v>
      </c>
      <c r="AH44" t="n">
        <v>-16</v>
      </c>
      <c r="AI44" t="n">
        <v>136</v>
      </c>
      <c r="AJ44" t="n">
        <v>0.118</v>
      </c>
      <c r="AK44" t="n">
        <v>0.133</v>
      </c>
      <c r="AL44" t="n">
        <v>185</v>
      </c>
      <c r="AM44" t="n">
        <v>7.332</v>
      </c>
      <c r="AN44" t="n">
        <v>2</v>
      </c>
      <c r="AO44" t="n">
        <v>4</v>
      </c>
      <c r="AP44" t="n">
        <v>0.08</v>
      </c>
      <c r="AQ44" t="n">
        <v>0.16</v>
      </c>
      <c r="AR44" t="n">
        <v>0.08</v>
      </c>
      <c r="AS44" t="n">
        <v>0.658</v>
      </c>
      <c r="AT44" t="n">
        <v>0.75</v>
      </c>
      <c r="AU44" t="n">
        <v>17</v>
      </c>
      <c r="AV44" t="n">
        <v>5</v>
      </c>
      <c r="AW44" t="n">
        <v>4.12</v>
      </c>
      <c r="AX44" t="n">
        <v>15</v>
      </c>
      <c r="AY44" t="n">
        <v>7.94</v>
      </c>
      <c r="AZ44" t="n">
        <v>8.694000000000001</v>
      </c>
      <c r="BA44" t="n">
        <v>8.317</v>
      </c>
      <c r="BB44" t="n">
        <v>8.694000000000001</v>
      </c>
      <c r="BC44" t="n">
        <v>0.315</v>
      </c>
      <c r="BD44" t="n">
        <v>0.345</v>
      </c>
      <c r="BE44" t="n">
        <v>0.33</v>
      </c>
      <c r="BF44" t="n">
        <v>6.8</v>
      </c>
      <c r="BG44" t="n">
        <v>0.269</v>
      </c>
      <c r="BH44" t="n">
        <v>0.838</v>
      </c>
      <c r="BI44" t="n">
        <v>22.53</v>
      </c>
      <c r="BJ44" t="n">
        <v>6.658</v>
      </c>
      <c r="BK44" t="n">
        <v>0.264</v>
      </c>
      <c r="BL44" t="n">
        <v>-1.317</v>
      </c>
      <c r="BM44" t="n">
        <v>-1.14</v>
      </c>
      <c r="BN44" t="n">
        <v>0.2</v>
      </c>
      <c r="BO44" t="n">
        <v>-0.754</v>
      </c>
      <c r="BP44" t="n">
        <v>56</v>
      </c>
      <c r="BQ44" t="n">
        <v>20</v>
      </c>
      <c r="BR44" t="n">
        <v>13</v>
      </c>
      <c r="BS44" t="n">
        <v>119</v>
      </c>
      <c r="BT44" t="n">
        <v>4.716</v>
      </c>
      <c r="BV44" t="n">
        <v>2</v>
      </c>
      <c r="BW44" t="n">
        <v>4.12</v>
      </c>
      <c r="BX44" t="n">
        <v>5.863</v>
      </c>
      <c r="BY44" t="n">
        <v>4.992</v>
      </c>
      <c r="BZ44" t="n">
        <v>0.198</v>
      </c>
      <c r="CA44" t="n">
        <v>13.309</v>
      </c>
      <c r="CB44" t="n">
        <v>0.527</v>
      </c>
      <c r="CC44" t="n">
        <v>27</v>
      </c>
      <c r="CD44" t="n">
        <v>12</v>
      </c>
      <c r="CE44" t="n">
        <v>27</v>
      </c>
      <c r="CF44" t="n">
        <v>19</v>
      </c>
      <c r="CG44" t="n">
        <v>2</v>
      </c>
      <c r="CH44" t="n">
        <v>28</v>
      </c>
      <c r="CI44" t="n">
        <v>13.248</v>
      </c>
      <c r="CJ44" t="n">
        <v>2.526</v>
      </c>
      <c r="CK44" t="n">
        <v>76</v>
      </c>
      <c r="CL44" t="n">
        <v>85</v>
      </c>
      <c r="CM44" t="n">
        <v>24</v>
      </c>
      <c r="CN44" t="n">
        <v>13</v>
      </c>
      <c r="CO44" t="n">
        <v>24</v>
      </c>
      <c r="CP44" t="n">
        <v>52</v>
      </c>
      <c r="CQ44" t="n">
        <v>0</v>
      </c>
      <c r="CR44" t="n">
        <v>138</v>
      </c>
      <c r="CS44" t="n">
        <v>52</v>
      </c>
      <c r="CT44" t="n">
        <v>0.4</v>
      </c>
      <c r="CV44" t="n">
        <v>0</v>
      </c>
      <c r="CW44" t="n">
        <v>34.75</v>
      </c>
      <c r="CX44" t="n">
        <v>1.377</v>
      </c>
      <c r="CY44" t="n">
        <v>0</v>
      </c>
      <c r="DB44" t="n">
        <v>0</v>
      </c>
      <c r="DE44" t="n">
        <v>6.97</v>
      </c>
      <c r="DF44" t="n">
        <v>5</v>
      </c>
      <c r="DG44" t="n">
        <v>0</v>
      </c>
      <c r="DH44" t="n">
        <v>27</v>
      </c>
      <c r="DI44" t="n">
        <v>39</v>
      </c>
      <c r="DJ44" t="n">
        <v>5</v>
      </c>
      <c r="DL44" t="n">
        <v>23</v>
      </c>
      <c r="DM44" t="n">
        <v>31</v>
      </c>
      <c r="DN44" t="n">
        <v>9</v>
      </c>
      <c r="DO44" t="n">
        <v>1.4</v>
      </c>
      <c r="DP44" t="n">
        <v>155.24</v>
      </c>
      <c r="DQ44" t="n">
        <v>77.62</v>
      </c>
      <c r="DR44" t="n">
        <v>155.24</v>
      </c>
      <c r="DS44" t="n">
        <v>0</v>
      </c>
      <c r="DT44" t="n">
        <v>2878</v>
      </c>
      <c r="DU44" t="n">
        <v>75.75</v>
      </c>
      <c r="DV44" t="inlineStr">
        <is>
          <t>flat</t>
        </is>
      </c>
      <c r="DW44" t="n">
        <v>59.2</v>
      </c>
      <c r="DX44" t="n">
        <v>63.25</v>
      </c>
      <c r="DY44" t="n">
        <v>23.25</v>
      </c>
      <c r="DZ44" t="n">
        <v>3.2</v>
      </c>
      <c r="EA44" t="n">
        <v>110</v>
      </c>
      <c r="EB44" t="n">
        <v>127</v>
      </c>
      <c r="EC44" t="n">
        <v>61.1</v>
      </c>
      <c r="ED44" t="n">
        <v>29.4</v>
      </c>
      <c r="EE44" t="n">
        <v>37</v>
      </c>
      <c r="EF44" t="n">
        <v>40.6</v>
      </c>
      <c r="EG44" t="n">
        <v>19.1</v>
      </c>
      <c r="EH44" t="n">
        <v>84.09999999999999</v>
      </c>
      <c r="EI44" t="n">
        <v>273</v>
      </c>
      <c r="EJ44" t="n">
        <v>455</v>
      </c>
      <c r="EK44" t="n">
        <v>170.6</v>
      </c>
      <c r="EL44" t="n">
        <v>16.7</v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n">
        <v>6</v>
      </c>
      <c r="F45" t="b">
        <v>1</v>
      </c>
      <c r="G45" t="b">
        <v>1</v>
      </c>
      <c r="H45" t="n">
        <v>23</v>
      </c>
      <c r="I45" t="inlineStr">
        <is>
          <t>a</t>
        </is>
      </c>
      <c r="L45" t="inlineStr">
        <is>
          <t>p503139</t>
        </is>
      </c>
      <c r="M45" t="n">
        <v>69</v>
      </c>
      <c r="O45" t="n">
        <v>2</v>
      </c>
      <c r="P45" t="n">
        <v>4</v>
      </c>
      <c r="Q45" t="n">
        <v>2848</v>
      </c>
      <c r="R45" t="n">
        <v>37</v>
      </c>
      <c r="S45" t="n">
        <v>34</v>
      </c>
      <c r="T45" t="n">
        <v>31.644</v>
      </c>
      <c r="U45" t="n">
        <v>77</v>
      </c>
      <c r="V45" t="n">
        <v>136</v>
      </c>
      <c r="W45" t="n">
        <v>4.298</v>
      </c>
      <c r="X45" t="n">
        <v>3</v>
      </c>
      <c r="Y45" t="n">
        <v>2</v>
      </c>
      <c r="Z45" t="n">
        <v>1</v>
      </c>
      <c r="AA45" t="n">
        <v>11</v>
      </c>
      <c r="AB45" t="n">
        <v>41</v>
      </c>
      <c r="AC45" t="n">
        <v>9</v>
      </c>
      <c r="AD45" t="n">
        <v>9</v>
      </c>
      <c r="AE45" t="n">
        <v>0</v>
      </c>
      <c r="AF45" t="n">
        <v>603</v>
      </c>
      <c r="AG45" t="n">
        <v>572</v>
      </c>
      <c r="AH45" t="n">
        <v>-31</v>
      </c>
      <c r="AI45" t="n">
        <v>136</v>
      </c>
      <c r="AJ45" t="n">
        <v>0.066</v>
      </c>
      <c r="AK45" t="n">
        <v>0.07099999999999999</v>
      </c>
      <c r="AL45" t="n">
        <v>386</v>
      </c>
      <c r="AM45" t="n">
        <v>12.198</v>
      </c>
      <c r="AN45" t="n">
        <v>15</v>
      </c>
      <c r="AO45" t="n">
        <v>30</v>
      </c>
      <c r="AP45" t="n">
        <v>0.441</v>
      </c>
      <c r="AQ45" t="n">
        <v>0.765</v>
      </c>
      <c r="AR45" t="n">
        <v>0.441</v>
      </c>
      <c r="AS45" t="n">
        <v>0.895</v>
      </c>
      <c r="AT45" t="n">
        <v>0.892</v>
      </c>
      <c r="AU45" t="n">
        <v>14</v>
      </c>
      <c r="AV45" t="n">
        <v>2</v>
      </c>
      <c r="AW45" t="n">
        <v>2.75</v>
      </c>
      <c r="AX45" t="n">
        <v>13</v>
      </c>
      <c r="AY45" t="n">
        <v>3.8</v>
      </c>
      <c r="AZ45" t="n">
        <v>3.5</v>
      </c>
      <c r="BA45" t="n">
        <v>3.65</v>
      </c>
      <c r="BB45" t="n">
        <v>3.5</v>
      </c>
      <c r="BC45" t="n">
        <v>0.12</v>
      </c>
      <c r="BD45" t="n">
        <v>0.111</v>
      </c>
      <c r="BE45" t="n">
        <v>0.115</v>
      </c>
      <c r="BF45" t="n">
        <v>2.7</v>
      </c>
      <c r="BG45" t="n">
        <v>0.08500000000000001</v>
      </c>
      <c r="BH45" t="n">
        <v>0.966</v>
      </c>
      <c r="BI45" t="n">
        <v>5.35</v>
      </c>
      <c r="BJ45" t="n">
        <v>3.672</v>
      </c>
      <c r="BK45" t="n">
        <v>0.116</v>
      </c>
      <c r="BL45" t="n">
        <v>-0.65</v>
      </c>
      <c r="BM45" t="n">
        <v>-1.1</v>
      </c>
      <c r="BN45" t="n">
        <v>0.3</v>
      </c>
      <c r="BO45" t="n">
        <v>0.3</v>
      </c>
      <c r="BP45" t="n">
        <v>44</v>
      </c>
      <c r="BQ45" t="n">
        <v>13</v>
      </c>
      <c r="BR45" t="n">
        <v>2</v>
      </c>
      <c r="BS45" t="n">
        <v>49</v>
      </c>
      <c r="BT45" t="n">
        <v>1.548</v>
      </c>
      <c r="BW45" t="n">
        <v>2.94</v>
      </c>
      <c r="BX45" t="n">
        <v>2.892</v>
      </c>
      <c r="BY45" t="n">
        <v>2.916</v>
      </c>
      <c r="BZ45" t="n">
        <v>0.092</v>
      </c>
      <c r="CA45" t="n">
        <v>6.566</v>
      </c>
      <c r="CB45" t="n">
        <v>0.207</v>
      </c>
      <c r="CC45" t="n">
        <v>26</v>
      </c>
      <c r="CD45" t="n">
        <v>4</v>
      </c>
      <c r="CE45" t="n">
        <v>27</v>
      </c>
      <c r="CF45" t="n">
        <v>14</v>
      </c>
      <c r="CG45" t="n">
        <v>5</v>
      </c>
      <c r="CH45" t="n">
        <v>56</v>
      </c>
      <c r="CI45" t="n">
        <v>15.246</v>
      </c>
      <c r="CJ45" t="n">
        <v>10.992</v>
      </c>
      <c r="CK45" t="n">
        <v>133</v>
      </c>
      <c r="CL45" t="n">
        <v>193</v>
      </c>
      <c r="CM45" t="n">
        <v>60</v>
      </c>
      <c r="CN45" t="n">
        <v>38</v>
      </c>
      <c r="CO45" t="n">
        <v>36</v>
      </c>
      <c r="CP45" t="n">
        <v>81</v>
      </c>
      <c r="CQ45" t="n">
        <v>15</v>
      </c>
      <c r="CR45" t="n">
        <v>185</v>
      </c>
      <c r="CS45" t="n">
        <v>37</v>
      </c>
      <c r="CT45" t="n">
        <v>0.4</v>
      </c>
      <c r="CV45" t="n">
        <v>1</v>
      </c>
      <c r="CW45" t="n">
        <v>47.02</v>
      </c>
      <c r="CX45" t="n">
        <v>1.486</v>
      </c>
      <c r="CY45" t="n">
        <v>0</v>
      </c>
      <c r="DB45" t="n">
        <v>0</v>
      </c>
      <c r="DE45" t="n">
        <v>7.17</v>
      </c>
      <c r="DF45" t="n">
        <v>5</v>
      </c>
      <c r="DG45" t="n">
        <v>0</v>
      </c>
      <c r="DH45" t="n">
        <v>45</v>
      </c>
      <c r="DI45" t="n">
        <v>60</v>
      </c>
      <c r="DK45" t="n">
        <v>1</v>
      </c>
      <c r="DL45" t="n">
        <v>29</v>
      </c>
      <c r="DM45" t="n">
        <v>26</v>
      </c>
      <c r="DN45" t="n">
        <v>1</v>
      </c>
      <c r="DO45" t="n">
        <v>1.6</v>
      </c>
      <c r="DP45" t="n">
        <v>148.22</v>
      </c>
      <c r="DQ45" t="n">
        <v>74.20999999999999</v>
      </c>
      <c r="DR45" t="n">
        <v>148.42</v>
      </c>
      <c r="DS45" t="n">
        <v>-0.2</v>
      </c>
      <c r="DT45" t="n">
        <v>3175</v>
      </c>
      <c r="DU45" t="n">
        <v>83.55</v>
      </c>
      <c r="DV45" t="inlineStr">
        <is>
          <t>flat</t>
        </is>
      </c>
      <c r="DW45" t="n">
        <v>71.18000000000001</v>
      </c>
      <c r="DX45" t="n">
        <v>76.08</v>
      </c>
      <c r="DY45" t="n">
        <v>20.15</v>
      </c>
      <c r="DZ45" t="n">
        <v>30</v>
      </c>
      <c r="EA45" t="n">
        <v>118.67</v>
      </c>
      <c r="EB45" t="n">
        <v>88</v>
      </c>
      <c r="EC45" t="n">
        <v>42.3</v>
      </c>
      <c r="ED45" t="n">
        <v>7.4</v>
      </c>
      <c r="EE45" t="n">
        <v>69</v>
      </c>
      <c r="EF45" t="n">
        <v>64.7</v>
      </c>
      <c r="EG45" t="n">
        <v>58.1</v>
      </c>
      <c r="EH45" t="n">
        <v>105.5</v>
      </c>
      <c r="EI45" t="n">
        <v>780.3</v>
      </c>
      <c r="EJ45" t="n">
        <v>976.7</v>
      </c>
      <c r="EK45" t="n">
        <v>433.7</v>
      </c>
      <c r="EL45" t="n">
        <v>20.9</v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n">
        <v>6</v>
      </c>
      <c r="F46" t="b">
        <v>1</v>
      </c>
      <c r="G46" t="b">
        <v>1</v>
      </c>
      <c r="H46" t="n">
        <v>22.1</v>
      </c>
      <c r="I46" t="inlineStr">
        <is>
          <t>a</t>
        </is>
      </c>
      <c r="L46" t="inlineStr">
        <is>
          <t>p551226</t>
        </is>
      </c>
      <c r="M46" t="n">
        <v>525</v>
      </c>
      <c r="Q46" t="n">
        <v>3017</v>
      </c>
      <c r="R46" t="n">
        <v>36</v>
      </c>
      <c r="S46" t="n">
        <v>35</v>
      </c>
      <c r="T46" t="n">
        <v>33.522</v>
      </c>
      <c r="U46" t="n">
        <v>83.8</v>
      </c>
      <c r="V46" t="n">
        <v>135</v>
      </c>
      <c r="W46" t="n">
        <v>4.027</v>
      </c>
      <c r="X46" t="n">
        <v>3</v>
      </c>
      <c r="Y46" t="n">
        <v>4</v>
      </c>
      <c r="Z46" t="n">
        <v>4</v>
      </c>
      <c r="AA46" t="n">
        <v>8</v>
      </c>
      <c r="AB46" t="n">
        <v>50</v>
      </c>
      <c r="AC46" t="n">
        <v>7</v>
      </c>
      <c r="AD46" t="n">
        <v>6</v>
      </c>
      <c r="AE46" t="n">
        <v>-1</v>
      </c>
      <c r="AF46" t="n">
        <v>659</v>
      </c>
      <c r="AG46" t="n">
        <v>639</v>
      </c>
      <c r="AH46" t="n">
        <v>-20</v>
      </c>
      <c r="AI46" t="n">
        <v>134</v>
      </c>
      <c r="AJ46" t="n">
        <v>0.052</v>
      </c>
      <c r="AK46" t="n">
        <v>0.055</v>
      </c>
      <c r="AL46" t="n">
        <v>369</v>
      </c>
      <c r="AM46" t="n">
        <v>11.008</v>
      </c>
      <c r="AN46" t="n">
        <v>15</v>
      </c>
      <c r="AO46" t="n">
        <v>30</v>
      </c>
      <c r="AP46" t="n">
        <v>0.429</v>
      </c>
      <c r="AQ46" t="n">
        <v>0.571</v>
      </c>
      <c r="AR46" t="n">
        <v>0.429</v>
      </c>
      <c r="AS46" t="n">
        <v>0.921</v>
      </c>
      <c r="AT46" t="n">
        <v>0.944</v>
      </c>
      <c r="AU46" t="n">
        <v>17</v>
      </c>
      <c r="AV46" t="n">
        <v>0</v>
      </c>
      <c r="AW46" t="n">
        <v>2.43</v>
      </c>
      <c r="AX46" t="n">
        <v>9</v>
      </c>
      <c r="AY46" t="n">
        <v>1.99</v>
      </c>
      <c r="AZ46" t="n">
        <v>1.822</v>
      </c>
      <c r="BA46" t="n">
        <v>1.906</v>
      </c>
      <c r="BB46" t="n">
        <v>1.822</v>
      </c>
      <c r="BC46" t="n">
        <v>0.059</v>
      </c>
      <c r="BD46" t="n">
        <v>0.054</v>
      </c>
      <c r="BE46" t="n">
        <v>0.057</v>
      </c>
      <c r="BF46" t="n">
        <v>1.7</v>
      </c>
      <c r="BG46" t="n">
        <v>0.051</v>
      </c>
      <c r="BH46" t="n">
        <v>0.843</v>
      </c>
      <c r="BI46" t="n">
        <v>6.11</v>
      </c>
      <c r="BJ46" t="n">
        <v>1.678</v>
      </c>
      <c r="BK46" t="n">
        <v>0.05</v>
      </c>
      <c r="BL46" t="n">
        <v>1.094</v>
      </c>
      <c r="BM46" t="n">
        <v>-0.29</v>
      </c>
      <c r="BN46" t="n">
        <v>1.3</v>
      </c>
      <c r="BO46" t="n">
        <v>0.168</v>
      </c>
      <c r="BP46" t="n">
        <v>28</v>
      </c>
      <c r="BQ46" t="n">
        <v>8</v>
      </c>
      <c r="BR46" t="n">
        <v>1</v>
      </c>
      <c r="BS46" t="n">
        <v>22</v>
      </c>
      <c r="BT46" t="n">
        <v>0.656</v>
      </c>
      <c r="BV46" t="n">
        <v>1</v>
      </c>
      <c r="BW46" t="n">
        <v>2.96</v>
      </c>
      <c r="BX46" t="n">
        <v>3.336</v>
      </c>
      <c r="BY46" t="n">
        <v>3.148</v>
      </c>
      <c r="BZ46" t="n">
        <v>0.094</v>
      </c>
      <c r="CA46" t="n">
        <v>5.054</v>
      </c>
      <c r="CB46" t="n">
        <v>0.151</v>
      </c>
      <c r="CC46" t="n">
        <v>37</v>
      </c>
      <c r="CD46" t="n">
        <v>3</v>
      </c>
      <c r="CE46" t="n">
        <v>37</v>
      </c>
      <c r="CF46" t="n">
        <v>12</v>
      </c>
      <c r="CG46" t="n">
        <v>7</v>
      </c>
      <c r="CH46" t="n">
        <v>13</v>
      </c>
      <c r="CI46" t="n">
        <v>10.319</v>
      </c>
      <c r="CJ46" t="n">
        <v>6.989</v>
      </c>
      <c r="CK46" t="n">
        <v>84</v>
      </c>
      <c r="CL46" t="n">
        <v>182</v>
      </c>
      <c r="CM46" t="n">
        <v>103</v>
      </c>
      <c r="CN46" t="n">
        <v>67</v>
      </c>
      <c r="CO46" t="n">
        <v>35</v>
      </c>
      <c r="CP46" t="n">
        <v>36</v>
      </c>
      <c r="CQ46" t="n">
        <v>12</v>
      </c>
      <c r="CR46" t="n">
        <v>199</v>
      </c>
      <c r="CS46" t="n">
        <v>19</v>
      </c>
      <c r="CT46" t="n">
        <v>0.5</v>
      </c>
      <c r="CV46" t="n">
        <v>4</v>
      </c>
      <c r="CW46" t="n">
        <v>48.3</v>
      </c>
      <c r="CX46" t="n">
        <v>1.441</v>
      </c>
      <c r="CY46" t="n">
        <v>0</v>
      </c>
      <c r="DB46" t="n">
        <v>0</v>
      </c>
      <c r="DE46" t="n">
        <v>7.24</v>
      </c>
      <c r="DF46" t="n">
        <v>7</v>
      </c>
      <c r="DG46" t="n">
        <v>0</v>
      </c>
      <c r="DH46" t="n">
        <v>49</v>
      </c>
      <c r="DI46" t="n">
        <v>49</v>
      </c>
      <c r="DL46" t="n">
        <v>28</v>
      </c>
      <c r="DM46" t="n">
        <v>32</v>
      </c>
      <c r="DO46" t="n">
        <v>2.8</v>
      </c>
      <c r="DP46" t="n">
        <v>145.49</v>
      </c>
      <c r="DQ46" t="n">
        <v>71.48999999999999</v>
      </c>
      <c r="DR46" t="n">
        <v>142.98</v>
      </c>
      <c r="DS46" t="n">
        <v>2.51</v>
      </c>
      <c r="DT46" t="n">
        <v>3089</v>
      </c>
      <c r="DU46" t="n">
        <v>81.3</v>
      </c>
      <c r="DV46" t="inlineStr">
        <is>
          <t>flat</t>
        </is>
      </c>
      <c r="DW46" t="n">
        <v>68.26000000000001</v>
      </c>
      <c r="DX46" t="n">
        <v>74.17</v>
      </c>
      <c r="DY46" t="n">
        <v>21.08</v>
      </c>
      <c r="DZ46" t="n">
        <v>21</v>
      </c>
      <c r="EA46" t="n">
        <v>119.11</v>
      </c>
      <c r="EB46" t="n">
        <v>118</v>
      </c>
      <c r="EC46" t="n">
        <v>56.7</v>
      </c>
      <c r="ED46" t="n">
        <v>8.5</v>
      </c>
      <c r="EE46" t="n">
        <v>70</v>
      </c>
      <c r="EF46" t="n">
        <v>107.8</v>
      </c>
      <c r="EG46" t="n">
        <v>137.1</v>
      </c>
      <c r="EH46" t="n">
        <v>81.5</v>
      </c>
      <c r="EI46" t="n">
        <v>1583</v>
      </c>
      <c r="EJ46" t="n">
        <v>958.4</v>
      </c>
      <c r="EK46" t="n">
        <v>597</v>
      </c>
      <c r="EL46" t="n">
        <v>22.3</v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n">
        <v>7.5</v>
      </c>
      <c r="F47" t="b">
        <v>1</v>
      </c>
      <c r="G47" t="b">
        <v>1</v>
      </c>
      <c r="H47" t="n">
        <v>23</v>
      </c>
      <c r="I47" t="inlineStr">
        <is>
          <t>a</t>
        </is>
      </c>
      <c r="L47" t="inlineStr">
        <is>
          <t>p466052</t>
        </is>
      </c>
      <c r="M47" t="n">
        <v>399</v>
      </c>
      <c r="O47" t="n">
        <v>1</v>
      </c>
      <c r="P47" t="n">
        <v>1</v>
      </c>
      <c r="Q47" t="n">
        <v>1772</v>
      </c>
      <c r="R47" t="n">
        <v>33</v>
      </c>
      <c r="S47" t="n">
        <v>19</v>
      </c>
      <c r="T47" t="n">
        <v>19.689</v>
      </c>
      <c r="U47" t="n">
        <v>53.7</v>
      </c>
      <c r="V47" t="n">
        <v>135</v>
      </c>
      <c r="W47" t="n">
        <v>6.857</v>
      </c>
      <c r="X47" t="n">
        <v>4</v>
      </c>
      <c r="Y47" t="n">
        <v>13</v>
      </c>
      <c r="Z47" t="n">
        <v>12</v>
      </c>
      <c r="AA47" t="n">
        <v>8</v>
      </c>
      <c r="AB47" t="n">
        <v>18</v>
      </c>
      <c r="AC47" t="n">
        <v>16</v>
      </c>
      <c r="AD47" t="n">
        <v>16</v>
      </c>
      <c r="AE47" t="n">
        <v>0</v>
      </c>
      <c r="AF47" t="n">
        <v>580</v>
      </c>
      <c r="AG47" t="n">
        <v>579</v>
      </c>
      <c r="AH47" t="n">
        <v>-1</v>
      </c>
      <c r="AI47" t="n">
        <v>135</v>
      </c>
      <c r="AJ47" t="n">
        <v>0.119</v>
      </c>
      <c r="AK47" t="n">
        <v>0.134</v>
      </c>
      <c r="AL47" t="n">
        <v>135</v>
      </c>
      <c r="AM47" t="n">
        <v>6.857</v>
      </c>
      <c r="AN47" t="n">
        <v>2</v>
      </c>
      <c r="AO47" t="n">
        <v>4</v>
      </c>
      <c r="AP47" t="n">
        <v>0.105</v>
      </c>
      <c r="AQ47" t="n">
        <v>0.105</v>
      </c>
      <c r="AR47" t="n">
        <v>0.105</v>
      </c>
      <c r="AS47" t="n">
        <v>0.5</v>
      </c>
      <c r="AT47" t="n">
        <v>0.485</v>
      </c>
      <c r="AU47" t="n">
        <v>14</v>
      </c>
      <c r="AV47" t="n">
        <v>5</v>
      </c>
      <c r="AW47" t="n">
        <v>3.67</v>
      </c>
      <c r="AX47" t="n">
        <v>13</v>
      </c>
      <c r="AY47" t="n">
        <v>4.28</v>
      </c>
      <c r="AZ47" t="n">
        <v>4.641</v>
      </c>
      <c r="BA47" t="n">
        <v>4.461</v>
      </c>
      <c r="BB47" t="n">
        <v>4.641</v>
      </c>
      <c r="BC47" t="n">
        <v>0.217</v>
      </c>
      <c r="BD47" t="n">
        <v>0.236</v>
      </c>
      <c r="BE47" t="n">
        <v>0.227</v>
      </c>
      <c r="BF47" t="n">
        <v>4.6</v>
      </c>
      <c r="BG47" t="n">
        <v>0.234</v>
      </c>
      <c r="BH47" t="n">
        <v>1.026</v>
      </c>
      <c r="BI47" t="n">
        <v>4.28</v>
      </c>
      <c r="BJ47" t="n">
        <v>4.392</v>
      </c>
      <c r="BK47" t="n">
        <v>0.223</v>
      </c>
      <c r="BL47" t="n">
        <v>-0.461</v>
      </c>
      <c r="BM47" t="n">
        <v>0.32</v>
      </c>
      <c r="BN47" t="n">
        <v>-0.6</v>
      </c>
      <c r="BO47" t="n">
        <v>-0.361</v>
      </c>
      <c r="BP47" t="n">
        <v>55</v>
      </c>
      <c r="BQ47" t="n">
        <v>13</v>
      </c>
      <c r="BR47" t="n">
        <v>2</v>
      </c>
      <c r="BS47" t="n">
        <v>148</v>
      </c>
      <c r="BT47" t="n">
        <v>7.517</v>
      </c>
      <c r="BW47" t="n">
        <v>8.869999999999999</v>
      </c>
      <c r="BX47" t="n">
        <v>10.785</v>
      </c>
      <c r="BY47" t="n">
        <v>9.827</v>
      </c>
      <c r="BZ47" t="n">
        <v>0.499</v>
      </c>
      <c r="CA47" t="n">
        <v>14.288</v>
      </c>
      <c r="CB47" t="n">
        <v>0.726</v>
      </c>
      <c r="CC47" t="n">
        <v>60</v>
      </c>
      <c r="CD47" t="n">
        <v>19</v>
      </c>
      <c r="CE47" t="n">
        <v>60</v>
      </c>
      <c r="CF47" t="n">
        <v>24</v>
      </c>
      <c r="CG47" t="n">
        <v>13</v>
      </c>
      <c r="CH47" t="n">
        <v>55</v>
      </c>
      <c r="CI47" t="n">
        <v>20.81</v>
      </c>
      <c r="CJ47" t="n">
        <v>11.158</v>
      </c>
      <c r="CK47" t="n">
        <v>16</v>
      </c>
      <c r="CL47" t="n">
        <v>93</v>
      </c>
      <c r="CM47" t="n">
        <v>26</v>
      </c>
      <c r="CN47" t="n">
        <v>18</v>
      </c>
      <c r="CO47" t="n">
        <v>7</v>
      </c>
      <c r="CP47" t="n">
        <v>7</v>
      </c>
      <c r="CQ47" t="n">
        <v>1</v>
      </c>
      <c r="CR47" t="n">
        <v>112</v>
      </c>
      <c r="CS47" t="n">
        <v>1</v>
      </c>
      <c r="CT47" t="n">
        <v>0.8</v>
      </c>
      <c r="CV47" t="n">
        <v>1</v>
      </c>
      <c r="CW47" t="n">
        <v>25.23</v>
      </c>
      <c r="CX47" t="n">
        <v>1.281</v>
      </c>
      <c r="CY47" t="n">
        <v>0</v>
      </c>
      <c r="DB47" t="n">
        <v>0</v>
      </c>
      <c r="DE47" t="n">
        <v>7.35</v>
      </c>
      <c r="DF47" t="n">
        <v>1</v>
      </c>
      <c r="DG47" t="n">
        <v>0</v>
      </c>
      <c r="DH47" t="n">
        <v>17</v>
      </c>
      <c r="DI47" t="n">
        <v>34</v>
      </c>
      <c r="DL47" t="n">
        <v>51</v>
      </c>
      <c r="DM47" t="n">
        <v>34</v>
      </c>
      <c r="DN47" t="n">
        <v>1</v>
      </c>
      <c r="DO47" t="n">
        <v>8.800000000000001</v>
      </c>
      <c r="DP47" t="n">
        <v>114.29</v>
      </c>
      <c r="DQ47" t="n">
        <v>57.49</v>
      </c>
      <c r="DR47" t="n">
        <v>114.98</v>
      </c>
      <c r="DS47" t="n">
        <v>-0.6899999999999999</v>
      </c>
      <c r="DT47" t="n">
        <v>1796</v>
      </c>
      <c r="DU47" t="n">
        <v>47.25</v>
      </c>
      <c r="DV47" t="inlineStr">
        <is>
          <t>flat</t>
        </is>
      </c>
      <c r="DW47" t="n">
        <v>26.13</v>
      </c>
      <c r="DX47" t="n">
        <v>29</v>
      </c>
      <c r="DY47" t="n">
        <v>16.75</v>
      </c>
      <c r="DZ47" t="n">
        <v>5.33</v>
      </c>
      <c r="EA47" t="n">
        <v>103</v>
      </c>
      <c r="EB47" t="n">
        <v>159</v>
      </c>
      <c r="EC47" t="n">
        <v>76.40000000000001</v>
      </c>
      <c r="ED47" t="n">
        <v>25</v>
      </c>
      <c r="EE47" t="n">
        <v>16</v>
      </c>
      <c r="EF47" t="n">
        <v>32.2</v>
      </c>
      <c r="EG47" t="n">
        <v>12</v>
      </c>
      <c r="EH47" t="n">
        <v>29.5</v>
      </c>
      <c r="EI47" t="n">
        <v>397.2</v>
      </c>
      <c r="EJ47" t="n">
        <v>180.3</v>
      </c>
      <c r="EK47" t="n">
        <v>124</v>
      </c>
      <c r="EL47" t="n">
        <v>13.1</v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n">
        <v>5.5</v>
      </c>
      <c r="F48" t="b">
        <v>1</v>
      </c>
      <c r="G48" t="b">
        <v>1</v>
      </c>
      <c r="H48" t="n">
        <v>32.5</v>
      </c>
      <c r="I48" t="inlineStr">
        <is>
          <t>a</t>
        </is>
      </c>
      <c r="L48" t="inlineStr">
        <is>
          <t>p111234</t>
        </is>
      </c>
      <c r="M48" t="n">
        <v>226</v>
      </c>
      <c r="Q48" t="n">
        <v>3420</v>
      </c>
      <c r="R48" t="n">
        <v>38</v>
      </c>
      <c r="S48" t="n">
        <v>38</v>
      </c>
      <c r="T48" t="n">
        <v>38</v>
      </c>
      <c r="U48" t="n">
        <v>90</v>
      </c>
      <c r="V48" t="n">
        <v>135</v>
      </c>
      <c r="W48" t="n">
        <v>3.553</v>
      </c>
      <c r="X48" t="n">
        <v>0</v>
      </c>
      <c r="Y48" t="n">
        <v>0</v>
      </c>
      <c r="AA48" t="n">
        <v>11</v>
      </c>
      <c r="AB48" t="n">
        <v>50</v>
      </c>
      <c r="AC48" t="n">
        <v>11</v>
      </c>
      <c r="AD48" t="n">
        <v>15</v>
      </c>
      <c r="AE48" t="n">
        <v>4</v>
      </c>
      <c r="AF48" t="n">
        <v>545</v>
      </c>
      <c r="AG48" t="n">
        <v>530</v>
      </c>
      <c r="AH48" t="n">
        <v>-15</v>
      </c>
      <c r="AI48" t="n">
        <v>139</v>
      </c>
      <c r="AJ48" t="n">
        <v>0.081</v>
      </c>
      <c r="AK48" t="n">
        <v>0.089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1</v>
      </c>
      <c r="AU48" t="n">
        <v>23</v>
      </c>
      <c r="AV48" t="n">
        <v>4</v>
      </c>
      <c r="AW48" t="n">
        <v>3.4</v>
      </c>
      <c r="AX48" t="n">
        <v>15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H48" t="n">
        <v>1</v>
      </c>
      <c r="BI48" t="n">
        <v>0</v>
      </c>
      <c r="BJ48" t="n">
        <v>0</v>
      </c>
      <c r="BK48" t="n">
        <v>0</v>
      </c>
      <c r="BL48" t="n">
        <v>0</v>
      </c>
      <c r="BO48" t="n">
        <v>0</v>
      </c>
      <c r="BS48" t="n">
        <v>1</v>
      </c>
      <c r="BT48" t="n">
        <v>0.026</v>
      </c>
      <c r="BW48" t="n">
        <v>0.2</v>
      </c>
      <c r="BX48" t="n">
        <v>0.233</v>
      </c>
      <c r="BY48" t="n">
        <v>0.217</v>
      </c>
      <c r="BZ48" t="n">
        <v>0.006</v>
      </c>
      <c r="CA48" t="n">
        <v>0.217</v>
      </c>
      <c r="CB48" t="n">
        <v>0.006</v>
      </c>
      <c r="CC48" t="n">
        <v>2</v>
      </c>
      <c r="CD48" t="n">
        <v>1</v>
      </c>
      <c r="CE48" t="n">
        <v>2</v>
      </c>
      <c r="CI48" t="n">
        <v>3.099</v>
      </c>
      <c r="CJ48" t="n">
        <v>3.017</v>
      </c>
      <c r="CK48" t="n">
        <v>52</v>
      </c>
      <c r="CL48" t="n">
        <v>313</v>
      </c>
      <c r="CM48" t="n">
        <v>2</v>
      </c>
      <c r="CN48" t="n">
        <v>1</v>
      </c>
      <c r="CO48" t="n">
        <v>0</v>
      </c>
      <c r="CP48" t="n">
        <v>52</v>
      </c>
      <c r="CR48" t="n">
        <v>13</v>
      </c>
      <c r="CS48" t="n">
        <v>5</v>
      </c>
      <c r="CU48" t="n">
        <v>3</v>
      </c>
      <c r="CW48" t="n">
        <v>56.24</v>
      </c>
      <c r="CX48" t="n">
        <v>1.48</v>
      </c>
      <c r="CY48" t="n">
        <v>100</v>
      </c>
      <c r="CZ48" t="n">
        <v>66.7</v>
      </c>
      <c r="DA48" t="n">
        <v>2.8</v>
      </c>
      <c r="DB48" t="n">
        <v>1</v>
      </c>
      <c r="DC48" t="n">
        <v>16</v>
      </c>
      <c r="DD48" t="n">
        <v>18</v>
      </c>
      <c r="DE48" t="n">
        <v>6.94</v>
      </c>
      <c r="DF48" t="n">
        <v>4</v>
      </c>
      <c r="DG48" t="n">
        <v>0</v>
      </c>
      <c r="DH48" t="n">
        <v>1</v>
      </c>
      <c r="DI48" t="n">
        <v>6</v>
      </c>
      <c r="DK48" t="n">
        <v>1</v>
      </c>
      <c r="DO48" t="n">
        <v>8.699999999999999</v>
      </c>
      <c r="DP48" t="n">
        <v>123.64</v>
      </c>
      <c r="DQ48" t="n">
        <v>61.82</v>
      </c>
      <c r="DR48" t="n">
        <v>123.64</v>
      </c>
      <c r="DS48" t="n">
        <v>0</v>
      </c>
      <c r="DT48" t="n">
        <v>3385</v>
      </c>
      <c r="DU48" t="n">
        <v>89.09</v>
      </c>
      <c r="DV48" t="inlineStr">
        <is>
          <t>flat</t>
        </is>
      </c>
      <c r="DW48" t="n">
        <v>50.73</v>
      </c>
      <c r="DX48" t="n">
        <v>53.1</v>
      </c>
      <c r="DY48" t="n">
        <v>20.74</v>
      </c>
      <c r="DZ48" t="n">
        <v>8</v>
      </c>
      <c r="EA48" t="n">
        <v>108</v>
      </c>
      <c r="EB48" t="n">
        <v>177</v>
      </c>
      <c r="EC48" t="n">
        <v>85.09999999999999</v>
      </c>
      <c r="ED48" t="n">
        <v>16.9</v>
      </c>
      <c r="EE48" t="n">
        <v>115</v>
      </c>
      <c r="EG48" t="n">
        <v>3420</v>
      </c>
      <c r="EH48" t="n">
        <v>1710</v>
      </c>
      <c r="EJ48" t="n">
        <v>15783.2</v>
      </c>
      <c r="EK48" t="n">
        <v>15783.2</v>
      </c>
      <c r="EL48" t="n">
        <v>25.3</v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n">
        <v>5.5</v>
      </c>
      <c r="F49" t="b">
        <v>1</v>
      </c>
      <c r="G49" t="b">
        <v>1</v>
      </c>
      <c r="H49" t="n">
        <v>27.5</v>
      </c>
      <c r="I49" t="inlineStr">
        <is>
          <t>a</t>
        </is>
      </c>
      <c r="L49" t="inlineStr">
        <is>
          <t>p204936</t>
        </is>
      </c>
      <c r="M49" t="n">
        <v>384</v>
      </c>
      <c r="Q49" t="n">
        <v>3060</v>
      </c>
      <c r="R49" t="n">
        <v>34</v>
      </c>
      <c r="S49" t="n">
        <v>34</v>
      </c>
      <c r="T49" t="n">
        <v>34</v>
      </c>
      <c r="U49" t="n">
        <v>90</v>
      </c>
      <c r="V49" t="n">
        <v>135</v>
      </c>
      <c r="W49" t="n">
        <v>3.971</v>
      </c>
      <c r="X49" t="n">
        <v>0</v>
      </c>
      <c r="Y49" t="n">
        <v>0</v>
      </c>
      <c r="AA49" t="n">
        <v>15</v>
      </c>
      <c r="AB49" t="n">
        <v>29</v>
      </c>
      <c r="AC49" t="n">
        <v>5</v>
      </c>
      <c r="AD49" t="n">
        <v>6</v>
      </c>
      <c r="AE49" t="n">
        <v>1</v>
      </c>
      <c r="AF49" t="n">
        <v>567</v>
      </c>
      <c r="AG49" t="n">
        <v>560</v>
      </c>
      <c r="AH49" t="n">
        <v>-7</v>
      </c>
      <c r="AI49" t="n">
        <v>136</v>
      </c>
      <c r="AJ49" t="n">
        <v>0.037</v>
      </c>
      <c r="AK49" t="n">
        <v>0.038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0.895</v>
      </c>
      <c r="AT49" t="n">
        <v>1</v>
      </c>
      <c r="AU49" t="n">
        <v>16</v>
      </c>
      <c r="AV49" t="n">
        <v>0</v>
      </c>
      <c r="AW49" t="n">
        <v>2.6</v>
      </c>
      <c r="AX49" t="n">
        <v>8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H49" t="n">
        <v>1</v>
      </c>
      <c r="BI49" t="n">
        <v>0</v>
      </c>
      <c r="BJ49" t="n">
        <v>0</v>
      </c>
      <c r="BK49" t="n">
        <v>0</v>
      </c>
      <c r="BL49" t="n">
        <v>0</v>
      </c>
      <c r="BO49" t="n">
        <v>0</v>
      </c>
      <c r="BS49" t="n">
        <v>1</v>
      </c>
      <c r="BT49" t="n">
        <v>0.029</v>
      </c>
      <c r="BW49" t="n">
        <v>0.13</v>
      </c>
      <c r="BX49" t="n">
        <v>0</v>
      </c>
      <c r="BY49" t="n">
        <v>0.065</v>
      </c>
      <c r="BZ49" t="n">
        <v>0.002</v>
      </c>
      <c r="CA49" t="n">
        <v>0.065</v>
      </c>
      <c r="CB49" t="n">
        <v>0.002</v>
      </c>
      <c r="CC49" t="n">
        <v>0</v>
      </c>
      <c r="CE49" t="n">
        <v>1</v>
      </c>
      <c r="CI49" t="n">
        <v>7.178</v>
      </c>
      <c r="CJ49" t="n">
        <v>7.178</v>
      </c>
      <c r="CK49" t="n">
        <v>42</v>
      </c>
      <c r="CL49" t="n">
        <v>236</v>
      </c>
      <c r="CM49" t="n">
        <v>0</v>
      </c>
      <c r="CO49" t="n">
        <v>1</v>
      </c>
      <c r="CP49" t="n">
        <v>43</v>
      </c>
      <c r="CR49" t="n">
        <v>22</v>
      </c>
      <c r="CS49" t="n">
        <v>16</v>
      </c>
      <c r="CU49" t="n">
        <v>2</v>
      </c>
      <c r="CV49" t="n">
        <v>3</v>
      </c>
      <c r="CW49" t="n">
        <v>38.5</v>
      </c>
      <c r="CX49" t="n">
        <v>1.132</v>
      </c>
      <c r="CY49" t="n">
        <v>78</v>
      </c>
      <c r="CZ49" t="n">
        <v>72.90000000000001</v>
      </c>
      <c r="DA49" t="n">
        <v>5.8</v>
      </c>
      <c r="DB49" t="n">
        <v>1</v>
      </c>
      <c r="DC49" t="n">
        <v>20</v>
      </c>
      <c r="DD49" t="n">
        <v>27</v>
      </c>
      <c r="DE49" t="n">
        <v>7.25</v>
      </c>
      <c r="DF49" t="n">
        <v>8</v>
      </c>
      <c r="DG49" t="n">
        <v>0</v>
      </c>
      <c r="DI49" t="n">
        <v>4</v>
      </c>
      <c r="DL49" t="n">
        <v>2</v>
      </c>
      <c r="DO49" t="n">
        <v>11.1</v>
      </c>
      <c r="DP49" t="n">
        <v>132.22</v>
      </c>
      <c r="DQ49" t="n">
        <v>66.11</v>
      </c>
      <c r="DR49" t="n">
        <v>132.22</v>
      </c>
      <c r="DS49" t="n">
        <v>0</v>
      </c>
      <c r="DT49" t="n">
        <v>3420</v>
      </c>
      <c r="DU49" t="n">
        <v>90</v>
      </c>
      <c r="DV49" t="inlineStr">
        <is>
          <t>flat</t>
        </is>
      </c>
      <c r="DW49" t="n">
        <v>39.85</v>
      </c>
      <c r="DX49" t="n">
        <v>42.86</v>
      </c>
      <c r="DY49" t="n">
        <v>17.71</v>
      </c>
      <c r="DZ49" t="n">
        <v>4</v>
      </c>
      <c r="EA49" t="n">
        <v>92</v>
      </c>
      <c r="EB49" t="n">
        <v>189</v>
      </c>
      <c r="EC49" t="n">
        <v>90.90000000000001</v>
      </c>
      <c r="ED49" t="n">
        <v>11.3</v>
      </c>
      <c r="EE49" t="n">
        <v>116</v>
      </c>
      <c r="EG49" t="n">
        <v>3060</v>
      </c>
      <c r="EH49" t="n">
        <v>3060</v>
      </c>
      <c r="EJ49" t="n">
        <v>47076.9</v>
      </c>
      <c r="EK49" t="n">
        <v>47076.9</v>
      </c>
      <c r="EL49" t="n">
        <v>22.7</v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n">
        <v>4.5</v>
      </c>
      <c r="F50" t="b">
        <v>1</v>
      </c>
      <c r="G50" t="b">
        <v>1</v>
      </c>
      <c r="H50" t="n">
        <v>27</v>
      </c>
      <c r="I50" t="inlineStr">
        <is>
          <t>a</t>
        </is>
      </c>
      <c r="L50" t="inlineStr">
        <is>
          <t>p244723</t>
        </is>
      </c>
      <c r="M50" t="n">
        <v>204</v>
      </c>
      <c r="Q50" t="n">
        <v>3253</v>
      </c>
      <c r="R50" t="n">
        <v>38</v>
      </c>
      <c r="S50" t="n">
        <v>36</v>
      </c>
      <c r="T50" t="n">
        <v>36.144</v>
      </c>
      <c r="U50" t="n">
        <v>85.59999999999999</v>
      </c>
      <c r="V50" t="n">
        <v>135</v>
      </c>
      <c r="W50" t="n">
        <v>3.735</v>
      </c>
      <c r="X50" t="n">
        <v>1</v>
      </c>
      <c r="Y50" t="n">
        <v>3</v>
      </c>
      <c r="Z50" t="n">
        <v>2</v>
      </c>
      <c r="AA50" t="n">
        <v>12</v>
      </c>
      <c r="AB50" t="n">
        <v>47</v>
      </c>
      <c r="AC50" t="n">
        <v>8</v>
      </c>
      <c r="AD50" t="n">
        <v>8</v>
      </c>
      <c r="AE50" t="n">
        <v>0</v>
      </c>
      <c r="AF50" t="n">
        <v>498</v>
      </c>
      <c r="AG50" t="n">
        <v>468</v>
      </c>
      <c r="AH50" t="n">
        <v>-30</v>
      </c>
      <c r="AI50" t="n">
        <v>135</v>
      </c>
      <c r="AJ50" t="n">
        <v>0.059</v>
      </c>
      <c r="AK50" t="n">
        <v>0.063</v>
      </c>
      <c r="AL50" t="n">
        <v>245</v>
      </c>
      <c r="AM50" t="n">
        <v>6.778</v>
      </c>
      <c r="AN50" t="n">
        <v>6</v>
      </c>
      <c r="AO50" t="n">
        <v>12</v>
      </c>
      <c r="AP50" t="n">
        <v>0.167</v>
      </c>
      <c r="AQ50" t="n">
        <v>0.167</v>
      </c>
      <c r="AR50" t="n">
        <v>0.056</v>
      </c>
      <c r="AS50" t="n">
        <v>0.947</v>
      </c>
      <c r="AT50" t="n">
        <v>0.921</v>
      </c>
      <c r="AU50" t="n">
        <v>21</v>
      </c>
      <c r="AV50" t="n">
        <v>2</v>
      </c>
      <c r="AW50" t="n">
        <v>3.06</v>
      </c>
      <c r="AX50" t="n">
        <v>11</v>
      </c>
      <c r="AY50" t="n">
        <v>1.59</v>
      </c>
      <c r="AZ50" t="n">
        <v>1.985</v>
      </c>
      <c r="BA50" t="n">
        <v>1.787</v>
      </c>
      <c r="BB50" t="n">
        <v>1.985</v>
      </c>
      <c r="BC50" t="n">
        <v>0.044</v>
      </c>
      <c r="BD50" t="n">
        <v>0.055</v>
      </c>
      <c r="BE50" t="n">
        <v>0.049</v>
      </c>
      <c r="BF50" t="n">
        <v>1.9</v>
      </c>
      <c r="BG50" t="n">
        <v>0.053</v>
      </c>
      <c r="BH50" t="n">
        <v>0.97</v>
      </c>
      <c r="BI50" t="n">
        <v>4.79</v>
      </c>
      <c r="BJ50" t="n">
        <v>1.542</v>
      </c>
      <c r="BK50" t="n">
        <v>0.043</v>
      </c>
      <c r="BL50" t="n">
        <v>-0.787</v>
      </c>
      <c r="BM50" t="n">
        <v>0.31</v>
      </c>
      <c r="BN50" t="n">
        <v>-0.9</v>
      </c>
      <c r="BO50" t="n">
        <v>-0.395</v>
      </c>
      <c r="BP50" t="n">
        <v>19</v>
      </c>
      <c r="BQ50" t="n">
        <v>7</v>
      </c>
      <c r="BR50" t="n">
        <v>3</v>
      </c>
      <c r="BS50" t="n">
        <v>55</v>
      </c>
      <c r="BT50" t="n">
        <v>1.522</v>
      </c>
      <c r="BW50" t="n">
        <v>2.53</v>
      </c>
      <c r="BX50" t="n">
        <v>3.036</v>
      </c>
      <c r="BY50" t="n">
        <v>2.783</v>
      </c>
      <c r="BZ50" t="n">
        <v>0.077</v>
      </c>
      <c r="CA50" t="n">
        <v>4.57</v>
      </c>
      <c r="CB50" t="n">
        <v>0.126</v>
      </c>
      <c r="CC50" t="n">
        <v>29</v>
      </c>
      <c r="CD50" t="n">
        <v>4</v>
      </c>
      <c r="CE50" t="n">
        <v>29</v>
      </c>
      <c r="CF50" t="n">
        <v>22</v>
      </c>
      <c r="CI50" t="n">
        <v>13.155</v>
      </c>
      <c r="CJ50" t="n">
        <v>9.869999999999999</v>
      </c>
      <c r="CK50" t="n">
        <v>145</v>
      </c>
      <c r="CL50" t="n">
        <v>187</v>
      </c>
      <c r="CM50" t="n">
        <v>100</v>
      </c>
      <c r="CN50" t="n">
        <v>63</v>
      </c>
      <c r="CO50" t="n">
        <v>34</v>
      </c>
      <c r="CP50" t="n">
        <v>100</v>
      </c>
      <c r="CQ50" t="n">
        <v>12</v>
      </c>
      <c r="CR50" t="n">
        <v>170</v>
      </c>
      <c r="CS50" t="n">
        <v>26</v>
      </c>
      <c r="CT50" t="n">
        <v>0.2</v>
      </c>
      <c r="CV50" t="n">
        <v>2</v>
      </c>
      <c r="CW50" t="n">
        <v>49.78</v>
      </c>
      <c r="CX50" t="n">
        <v>1.377</v>
      </c>
      <c r="CY50" t="n">
        <v>0</v>
      </c>
      <c r="DB50" t="n">
        <v>0</v>
      </c>
      <c r="DE50" t="n">
        <v>7.06</v>
      </c>
      <c r="DF50" t="n">
        <v>6</v>
      </c>
      <c r="DG50" t="n">
        <v>0</v>
      </c>
      <c r="DH50" t="n">
        <v>23</v>
      </c>
      <c r="DI50" t="n">
        <v>28</v>
      </c>
      <c r="DL50" t="n">
        <v>15</v>
      </c>
      <c r="DM50" t="n">
        <v>26</v>
      </c>
      <c r="DN50" t="n">
        <v>5</v>
      </c>
      <c r="DO50" t="n">
        <v>6.9</v>
      </c>
      <c r="DP50" t="n">
        <v>95.16</v>
      </c>
      <c r="DQ50" t="n">
        <v>47.58</v>
      </c>
      <c r="DR50" t="n">
        <v>95.16</v>
      </c>
      <c r="DS50" t="n">
        <v>0</v>
      </c>
      <c r="DT50" t="n">
        <v>2554</v>
      </c>
      <c r="DU50" t="n">
        <v>67.2</v>
      </c>
      <c r="DV50" t="inlineStr">
        <is>
          <t>flat</t>
        </is>
      </c>
      <c r="DW50" t="n">
        <v>91.09999999999999</v>
      </c>
      <c r="DX50" t="n">
        <v>97.73</v>
      </c>
      <c r="DY50" t="n">
        <v>17.7</v>
      </c>
      <c r="DZ50" t="n">
        <v>48</v>
      </c>
      <c r="EA50" t="n">
        <v>120</v>
      </c>
      <c r="EB50" t="n">
        <v>81</v>
      </c>
      <c r="EC50" t="n">
        <v>38.9</v>
      </c>
      <c r="ED50" t="n">
        <v>4.7</v>
      </c>
      <c r="EE50" t="n">
        <v>390</v>
      </c>
      <c r="EF50" t="n">
        <v>171.2</v>
      </c>
      <c r="EG50" t="n">
        <v>59.1</v>
      </c>
      <c r="EH50" t="n">
        <v>112.2</v>
      </c>
      <c r="EI50" t="n">
        <v>1820</v>
      </c>
      <c r="EJ50" t="n">
        <v>1168.9</v>
      </c>
      <c r="EK50" t="n">
        <v>711.7</v>
      </c>
      <c r="EL50" t="n">
        <v>24.1</v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n">
        <v>5.5</v>
      </c>
      <c r="F51" t="b">
        <v>1</v>
      </c>
      <c r="G51" t="b">
        <v>1</v>
      </c>
      <c r="H51" t="n">
        <v>25.9</v>
      </c>
      <c r="I51" t="inlineStr">
        <is>
          <t>a</t>
        </is>
      </c>
      <c r="L51" t="inlineStr">
        <is>
          <t>p199598</t>
        </is>
      </c>
      <c r="M51" t="n">
        <v>338</v>
      </c>
      <c r="Q51" t="n">
        <v>3119</v>
      </c>
      <c r="R51" t="n">
        <v>35</v>
      </c>
      <c r="S51" t="n">
        <v>35</v>
      </c>
      <c r="T51" t="n">
        <v>34.656</v>
      </c>
      <c r="U51" t="n">
        <v>89.09999999999999</v>
      </c>
      <c r="V51" t="n">
        <v>134</v>
      </c>
      <c r="W51" t="n">
        <v>3.867</v>
      </c>
      <c r="X51" t="n">
        <v>1</v>
      </c>
      <c r="Y51" t="n">
        <v>4</v>
      </c>
      <c r="Z51" t="n">
        <v>1</v>
      </c>
      <c r="AA51" t="n">
        <v>8</v>
      </c>
      <c r="AB51" t="n">
        <v>49</v>
      </c>
      <c r="AC51" t="n">
        <v>11</v>
      </c>
      <c r="AD51" t="n">
        <v>11</v>
      </c>
      <c r="AE51" t="n">
        <v>0</v>
      </c>
      <c r="AF51" t="n">
        <v>586</v>
      </c>
      <c r="AG51" t="n">
        <v>562</v>
      </c>
      <c r="AH51" t="n">
        <v>-24</v>
      </c>
      <c r="AI51" t="n">
        <v>134</v>
      </c>
      <c r="AJ51" t="n">
        <v>0.082</v>
      </c>
      <c r="AK51" t="n">
        <v>0.089</v>
      </c>
      <c r="AL51" t="n">
        <v>416</v>
      </c>
      <c r="AM51" t="n">
        <v>12.004</v>
      </c>
      <c r="AN51" t="n">
        <v>19</v>
      </c>
      <c r="AO51" t="n">
        <v>38</v>
      </c>
      <c r="AP51" t="n">
        <v>0.543</v>
      </c>
      <c r="AQ51" t="n">
        <v>0.6860000000000001</v>
      </c>
      <c r="AR51" t="n">
        <v>0.543</v>
      </c>
      <c r="AS51" t="n">
        <v>0.921</v>
      </c>
      <c r="AT51" t="n">
        <v>1</v>
      </c>
      <c r="AU51" t="n">
        <v>12</v>
      </c>
      <c r="AV51" t="n">
        <v>2</v>
      </c>
      <c r="AW51" t="n">
        <v>2.66</v>
      </c>
      <c r="AX51" t="n">
        <v>12</v>
      </c>
      <c r="AY51" t="n">
        <v>2.47</v>
      </c>
      <c r="AZ51" t="n">
        <v>1.946</v>
      </c>
      <c r="BA51" t="n">
        <v>2.208</v>
      </c>
      <c r="BB51" t="n">
        <v>1.946</v>
      </c>
      <c r="BC51" t="n">
        <v>0.07099999999999999</v>
      </c>
      <c r="BD51" t="n">
        <v>0.056</v>
      </c>
      <c r="BE51" t="n">
        <v>0.064</v>
      </c>
      <c r="BF51" t="n">
        <v>2.1</v>
      </c>
      <c r="BG51" t="n">
        <v>0.061</v>
      </c>
      <c r="BH51" t="n">
        <v>0.965</v>
      </c>
      <c r="BI51" t="n">
        <v>2.47</v>
      </c>
      <c r="BJ51" t="n">
        <v>2.383</v>
      </c>
      <c r="BK51" t="n">
        <v>0.06900000000000001</v>
      </c>
      <c r="BL51" t="n">
        <v>-1.208</v>
      </c>
      <c r="BM51" t="n">
        <v>-0.37</v>
      </c>
      <c r="BN51" t="n">
        <v>-1.1</v>
      </c>
      <c r="BO51" t="n">
        <v>0.524</v>
      </c>
      <c r="BP51" t="n">
        <v>26</v>
      </c>
      <c r="BQ51" t="n">
        <v>6</v>
      </c>
      <c r="BR51" t="n">
        <v>3</v>
      </c>
      <c r="BS51" t="n">
        <v>26</v>
      </c>
      <c r="BT51" t="n">
        <v>0.75</v>
      </c>
      <c r="BW51" t="n">
        <v>2.2</v>
      </c>
      <c r="BX51" t="n">
        <v>1.176</v>
      </c>
      <c r="BY51" t="n">
        <v>1.688</v>
      </c>
      <c r="BZ51" t="n">
        <v>0.049</v>
      </c>
      <c r="CA51" t="n">
        <v>3.896</v>
      </c>
      <c r="CB51" t="n">
        <v>0.112</v>
      </c>
      <c r="CC51" t="n">
        <v>19</v>
      </c>
      <c r="CD51" t="n">
        <v>1</v>
      </c>
      <c r="CE51" t="n">
        <v>19</v>
      </c>
      <c r="CF51" t="n">
        <v>10</v>
      </c>
      <c r="CG51" t="n">
        <v>2</v>
      </c>
      <c r="CI51" t="n">
        <v>11.866</v>
      </c>
      <c r="CJ51" t="n">
        <v>10.69</v>
      </c>
      <c r="CK51" t="n">
        <v>151</v>
      </c>
      <c r="CL51" t="n">
        <v>184</v>
      </c>
      <c r="CM51" t="n">
        <v>81</v>
      </c>
      <c r="CN51" t="n">
        <v>46</v>
      </c>
      <c r="CO51" t="n">
        <v>50</v>
      </c>
      <c r="CP51" t="n">
        <v>83</v>
      </c>
      <c r="CQ51" t="n">
        <v>18</v>
      </c>
      <c r="CR51" t="n">
        <v>184</v>
      </c>
      <c r="CS51" t="n">
        <v>57</v>
      </c>
      <c r="CT51" t="n">
        <v>0.5</v>
      </c>
      <c r="CV51" t="n">
        <v>5</v>
      </c>
      <c r="CW51" t="n">
        <v>48.66</v>
      </c>
      <c r="CX51" t="n">
        <v>1.404</v>
      </c>
      <c r="CY51" t="n">
        <v>0</v>
      </c>
      <c r="DB51" t="n">
        <v>0</v>
      </c>
      <c r="DE51" t="n">
        <v>7.21</v>
      </c>
      <c r="DF51" t="n">
        <v>10</v>
      </c>
      <c r="DG51" t="n">
        <v>0</v>
      </c>
      <c r="DH51" t="n">
        <v>50</v>
      </c>
      <c r="DI51" t="n">
        <v>36</v>
      </c>
      <c r="DJ51" t="n">
        <v>1</v>
      </c>
      <c r="DK51" t="n">
        <v>1</v>
      </c>
      <c r="DL51" t="n">
        <v>12</v>
      </c>
      <c r="DM51" t="n">
        <v>12</v>
      </c>
      <c r="DO51" t="n">
        <v>1.6</v>
      </c>
      <c r="DP51" t="n">
        <v>128.38</v>
      </c>
      <c r="DQ51" t="n">
        <v>64.19</v>
      </c>
      <c r="DR51" t="n">
        <v>128.38</v>
      </c>
      <c r="DS51" t="n">
        <v>0</v>
      </c>
      <c r="DT51" t="n">
        <v>3207</v>
      </c>
      <c r="DU51" t="n">
        <v>84.40000000000001</v>
      </c>
      <c r="DV51" t="inlineStr">
        <is>
          <t>flat</t>
        </is>
      </c>
      <c r="DW51" t="n">
        <v>87.95999999999999</v>
      </c>
      <c r="DX51" t="n">
        <v>92</v>
      </c>
      <c r="DY51" t="n">
        <v>17.7</v>
      </c>
      <c r="DZ51" t="n">
        <v>44.5</v>
      </c>
      <c r="EA51" t="n">
        <v>118</v>
      </c>
      <c r="EB51" t="n">
        <v>35</v>
      </c>
      <c r="EC51" t="n">
        <v>16.8</v>
      </c>
      <c r="ED51" t="n">
        <v>5.4</v>
      </c>
      <c r="EE51" t="n">
        <v>117</v>
      </c>
      <c r="EF51" t="n">
        <v>120</v>
      </c>
      <c r="EG51" t="n">
        <v>120</v>
      </c>
      <c r="EH51" t="n">
        <v>164.2</v>
      </c>
      <c r="EI51" t="n">
        <v>1412.6</v>
      </c>
      <c r="EJ51" t="n">
        <v>1847.6</v>
      </c>
      <c r="EK51" t="n">
        <v>800.5</v>
      </c>
      <c r="EL51" t="n">
        <v>23.3</v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n">
        <v>5.5</v>
      </c>
      <c r="F52" t="b">
        <v>1</v>
      </c>
      <c r="G52" t="b">
        <v>1</v>
      </c>
      <c r="H52" t="n">
        <v>27.5</v>
      </c>
      <c r="I52" t="inlineStr">
        <is>
          <t>a</t>
        </is>
      </c>
      <c r="L52" t="inlineStr">
        <is>
          <t>p481655</t>
        </is>
      </c>
      <c r="M52" t="n">
        <v>19</v>
      </c>
      <c r="Q52" t="n">
        <v>2991</v>
      </c>
      <c r="R52" t="n">
        <v>38</v>
      </c>
      <c r="S52" t="n">
        <v>34</v>
      </c>
      <c r="T52" t="n">
        <v>33.233</v>
      </c>
      <c r="U52" t="n">
        <v>78.7</v>
      </c>
      <c r="V52" t="n">
        <v>133</v>
      </c>
      <c r="W52" t="n">
        <v>4.002</v>
      </c>
      <c r="X52" t="n">
        <v>5</v>
      </c>
      <c r="Y52" t="n">
        <v>1</v>
      </c>
      <c r="Z52" t="n">
        <v>1</v>
      </c>
      <c r="AA52" t="n">
        <v>16</v>
      </c>
      <c r="AB52" t="n">
        <v>25</v>
      </c>
      <c r="AC52" t="n">
        <v>9</v>
      </c>
      <c r="AD52" t="n">
        <v>9</v>
      </c>
      <c r="AE52" t="n">
        <v>0</v>
      </c>
      <c r="AF52" t="n">
        <v>604</v>
      </c>
      <c r="AG52" t="n">
        <v>578</v>
      </c>
      <c r="AH52" t="n">
        <v>-26</v>
      </c>
      <c r="AI52" t="n">
        <v>133</v>
      </c>
      <c r="AJ52" t="n">
        <v>0.068</v>
      </c>
      <c r="AK52" t="n">
        <v>0.073</v>
      </c>
      <c r="AL52" t="n">
        <v>307</v>
      </c>
      <c r="AM52" t="n">
        <v>9.238</v>
      </c>
      <c r="AN52" t="n">
        <v>7</v>
      </c>
      <c r="AO52" t="n">
        <v>14</v>
      </c>
      <c r="AP52" t="n">
        <v>0.206</v>
      </c>
      <c r="AQ52" t="n">
        <v>0.382</v>
      </c>
      <c r="AR52" t="n">
        <v>0.206</v>
      </c>
      <c r="AS52" t="n">
        <v>0.895</v>
      </c>
      <c r="AT52" t="n">
        <v>0.842</v>
      </c>
      <c r="AU52" t="n">
        <v>17</v>
      </c>
      <c r="AV52" t="n">
        <v>3</v>
      </c>
      <c r="AW52" t="n">
        <v>3.06</v>
      </c>
      <c r="AX52" t="n">
        <v>16</v>
      </c>
      <c r="AY52" t="n">
        <v>2.84</v>
      </c>
      <c r="AZ52" t="n">
        <v>2.944</v>
      </c>
      <c r="BA52" t="n">
        <v>2.892</v>
      </c>
      <c r="BB52" t="n">
        <v>2.944</v>
      </c>
      <c r="BC52" t="n">
        <v>0.08500000000000001</v>
      </c>
      <c r="BD52" t="n">
        <v>0.089</v>
      </c>
      <c r="BE52" t="n">
        <v>0.08699999999999999</v>
      </c>
      <c r="BF52" t="n">
        <v>3.6</v>
      </c>
      <c r="BG52" t="n">
        <v>0.108</v>
      </c>
      <c r="BH52" t="n">
        <v>1.07</v>
      </c>
      <c r="BI52" t="n">
        <v>2.84</v>
      </c>
      <c r="BJ52" t="n">
        <v>3.039</v>
      </c>
      <c r="BK52" t="n">
        <v>0.091</v>
      </c>
      <c r="BL52" t="n">
        <v>2.108</v>
      </c>
      <c r="BM52" t="n">
        <v>0.76</v>
      </c>
      <c r="BN52" t="n">
        <v>1.4</v>
      </c>
      <c r="BO52" t="n">
        <v>-0.104</v>
      </c>
      <c r="BP52" t="n">
        <v>27</v>
      </c>
      <c r="BQ52" t="n">
        <v>9</v>
      </c>
      <c r="BR52" t="n">
        <v>2</v>
      </c>
      <c r="BS52" t="n">
        <v>51</v>
      </c>
      <c r="BT52" t="n">
        <v>1.535</v>
      </c>
      <c r="BV52" t="n">
        <v>2</v>
      </c>
      <c r="BW52" t="n">
        <v>2.27</v>
      </c>
      <c r="BX52" t="n">
        <v>1.088</v>
      </c>
      <c r="BY52" t="n">
        <v>1.679</v>
      </c>
      <c r="BZ52" t="n">
        <v>0.051</v>
      </c>
      <c r="CA52" t="n">
        <v>4.571</v>
      </c>
      <c r="CB52" t="n">
        <v>0.138</v>
      </c>
      <c r="CC52" t="n">
        <v>19</v>
      </c>
      <c r="CD52" t="n">
        <v>1</v>
      </c>
      <c r="CE52" t="n">
        <v>19</v>
      </c>
      <c r="CF52" t="n">
        <v>3</v>
      </c>
      <c r="CG52" t="n">
        <v>2</v>
      </c>
      <c r="CI52" t="n">
        <v>13.477</v>
      </c>
      <c r="CJ52" t="n">
        <v>11.176</v>
      </c>
      <c r="CK52" t="n">
        <v>123</v>
      </c>
      <c r="CL52" t="n">
        <v>116</v>
      </c>
      <c r="CM52" t="n">
        <v>68</v>
      </c>
      <c r="CN52" t="n">
        <v>38</v>
      </c>
      <c r="CO52" t="n">
        <v>39</v>
      </c>
      <c r="CP52" t="n">
        <v>78</v>
      </c>
      <c r="CQ52" t="n">
        <v>5</v>
      </c>
      <c r="CR52" t="n">
        <v>153</v>
      </c>
      <c r="CS52" t="n">
        <v>65</v>
      </c>
      <c r="CT52" t="n">
        <v>0.2</v>
      </c>
      <c r="CU52" t="n">
        <v>2</v>
      </c>
      <c r="CV52" t="n">
        <v>3</v>
      </c>
      <c r="CW52" t="n">
        <v>26.09</v>
      </c>
      <c r="CX52" t="n">
        <v>0.785</v>
      </c>
      <c r="CY52" t="n">
        <v>0</v>
      </c>
      <c r="DB52" t="n">
        <v>0</v>
      </c>
      <c r="DE52" t="n">
        <v>7.2</v>
      </c>
      <c r="DF52" t="n">
        <v>4</v>
      </c>
      <c r="DG52" t="n">
        <v>0</v>
      </c>
      <c r="DH52" t="n">
        <v>33</v>
      </c>
      <c r="DI52" t="n">
        <v>15</v>
      </c>
      <c r="DL52" t="n">
        <v>7</v>
      </c>
      <c r="DM52" t="n">
        <v>10</v>
      </c>
      <c r="DN52" t="n">
        <v>1</v>
      </c>
      <c r="DO52" t="n">
        <v>1.4</v>
      </c>
      <c r="DP52" t="n">
        <v>47.39</v>
      </c>
      <c r="DQ52" t="n">
        <v>24.95</v>
      </c>
      <c r="DR52" t="n">
        <v>49.9</v>
      </c>
      <c r="DS52" t="n">
        <v>-2.51</v>
      </c>
      <c r="DT52" t="n">
        <v>891</v>
      </c>
      <c r="DU52" t="n">
        <v>23.45</v>
      </c>
      <c r="DV52" t="inlineStr">
        <is>
          <t>fade (losing his place)</t>
        </is>
      </c>
      <c r="DW52" t="n">
        <v>80.03</v>
      </c>
      <c r="DX52" t="n">
        <v>89.33</v>
      </c>
      <c r="DY52" t="n">
        <v>17.84</v>
      </c>
      <c r="DZ52" t="n">
        <v>42.29</v>
      </c>
      <c r="EA52" t="n">
        <v>107.33</v>
      </c>
      <c r="EB52" t="n">
        <v>14</v>
      </c>
      <c r="EC52" t="n">
        <v>6.7</v>
      </c>
      <c r="ED52" t="n">
        <v>22.2</v>
      </c>
      <c r="EE52" t="n">
        <v>118</v>
      </c>
      <c r="EF52" t="n">
        <v>110.8</v>
      </c>
      <c r="EG52" t="n">
        <v>58.6</v>
      </c>
      <c r="EH52" t="n">
        <v>157.4</v>
      </c>
      <c r="EI52" t="n">
        <v>1034.2</v>
      </c>
      <c r="EJ52" t="n">
        <v>1781.5</v>
      </c>
      <c r="EK52" t="n">
        <v>654.3</v>
      </c>
      <c r="EL52" t="n">
        <v>22.5</v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n">
        <v>7</v>
      </c>
      <c r="F53" t="b">
        <v>1</v>
      </c>
      <c r="G53" t="b">
        <v>1</v>
      </c>
      <c r="H53" t="n">
        <v>27.3</v>
      </c>
      <c r="I53" t="inlineStr">
        <is>
          <t>a</t>
        </is>
      </c>
      <c r="L53" t="inlineStr">
        <is>
          <t>p243298</t>
        </is>
      </c>
      <c r="M53" t="n">
        <v>367</v>
      </c>
      <c r="N53" t="n">
        <v>3</v>
      </c>
      <c r="O53" t="n">
        <v>2</v>
      </c>
      <c r="Q53" t="n">
        <v>2736</v>
      </c>
      <c r="R53" t="n">
        <v>36</v>
      </c>
      <c r="S53" t="n">
        <v>32</v>
      </c>
      <c r="T53" t="n">
        <v>30.4</v>
      </c>
      <c r="U53" t="n">
        <v>76</v>
      </c>
      <c r="V53" t="n">
        <v>131</v>
      </c>
      <c r="W53" t="n">
        <v>4.309</v>
      </c>
      <c r="X53" t="n">
        <v>7</v>
      </c>
      <c r="Y53" t="n">
        <v>5</v>
      </c>
      <c r="Z53" t="n">
        <v>5</v>
      </c>
      <c r="AA53" t="n">
        <v>10</v>
      </c>
      <c r="AB53" t="n">
        <v>39</v>
      </c>
      <c r="AC53" t="n">
        <v>5</v>
      </c>
      <c r="AD53" t="n">
        <v>5</v>
      </c>
      <c r="AE53" t="n">
        <v>0</v>
      </c>
      <c r="AF53" t="n">
        <v>449</v>
      </c>
      <c r="AG53" t="n">
        <v>441</v>
      </c>
      <c r="AH53" t="n">
        <v>-8</v>
      </c>
      <c r="AI53" t="n">
        <v>131</v>
      </c>
      <c r="AJ53" t="n">
        <v>0.038</v>
      </c>
      <c r="AK53" t="n">
        <v>0.04</v>
      </c>
      <c r="AL53" t="n">
        <v>152</v>
      </c>
      <c r="AM53" t="n">
        <v>5</v>
      </c>
      <c r="AN53" t="n">
        <v>1</v>
      </c>
      <c r="AO53" t="n">
        <v>2</v>
      </c>
      <c r="AP53" t="n">
        <v>0.031</v>
      </c>
      <c r="AQ53" t="n">
        <v>0.062</v>
      </c>
      <c r="AR53" t="n">
        <v>0.031</v>
      </c>
      <c r="AS53" t="n">
        <v>0.842</v>
      </c>
      <c r="AT53" t="n">
        <v>0.861</v>
      </c>
      <c r="AU53" t="n">
        <v>17</v>
      </c>
      <c r="AV53" t="n">
        <v>2</v>
      </c>
      <c r="AW53" t="n">
        <v>2.85</v>
      </c>
      <c r="AX53" t="n">
        <v>14</v>
      </c>
      <c r="AY53" t="n">
        <v>8.35</v>
      </c>
      <c r="AZ53" t="n">
        <v>9.826000000000001</v>
      </c>
      <c r="BA53" t="n">
        <v>9.087999999999999</v>
      </c>
      <c r="BB53" t="n">
        <v>9.826000000000001</v>
      </c>
      <c r="BC53" t="n">
        <v>0.275</v>
      </c>
      <c r="BD53" t="n">
        <v>0.323</v>
      </c>
      <c r="BE53" t="n">
        <v>0.299</v>
      </c>
      <c r="BF53" t="n">
        <v>5.6</v>
      </c>
      <c r="BG53" t="n">
        <v>0.184</v>
      </c>
      <c r="BH53" t="n">
        <v>0.875</v>
      </c>
      <c r="BI53" t="n">
        <v>30.97</v>
      </c>
      <c r="BJ53" t="n">
        <v>7.307</v>
      </c>
      <c r="BK53" t="n">
        <v>0.24</v>
      </c>
      <c r="BL53" t="n">
        <v>-2.088</v>
      </c>
      <c r="BM53" t="n">
        <v>-2.75</v>
      </c>
      <c r="BN53" t="n">
        <v>1.4</v>
      </c>
      <c r="BO53" t="n">
        <v>-1.476</v>
      </c>
      <c r="BP53" t="n">
        <v>87</v>
      </c>
      <c r="BQ53" t="n">
        <v>21</v>
      </c>
      <c r="BR53" t="n">
        <v>8</v>
      </c>
      <c r="BS53" t="n">
        <v>187</v>
      </c>
      <c r="BT53" t="n">
        <v>6.151</v>
      </c>
      <c r="BW53" t="n">
        <v>4.67</v>
      </c>
      <c r="BX53" t="n">
        <v>6.592</v>
      </c>
      <c r="BY53" t="n">
        <v>5.631</v>
      </c>
      <c r="BZ53" t="n">
        <v>0.185</v>
      </c>
      <c r="CA53" t="n">
        <v>14.719</v>
      </c>
      <c r="CB53" t="n">
        <v>0.484</v>
      </c>
      <c r="CC53" t="n">
        <v>53</v>
      </c>
      <c r="CD53" t="n">
        <v>10</v>
      </c>
      <c r="CE53" t="n">
        <v>54</v>
      </c>
      <c r="CF53" t="n">
        <v>11</v>
      </c>
      <c r="CG53" t="n">
        <v>3</v>
      </c>
      <c r="CH53" t="n">
        <v>33</v>
      </c>
      <c r="CI53" t="n">
        <v>18.732</v>
      </c>
      <c r="CJ53" t="n">
        <v>5.831</v>
      </c>
      <c r="CK53" t="n">
        <v>37</v>
      </c>
      <c r="CL53" t="n">
        <v>87</v>
      </c>
      <c r="CM53" t="n">
        <v>28</v>
      </c>
      <c r="CN53" t="n">
        <v>14</v>
      </c>
      <c r="CO53" t="n">
        <v>13</v>
      </c>
      <c r="CP53" t="n">
        <v>21</v>
      </c>
      <c r="CQ53" t="n">
        <v>4</v>
      </c>
      <c r="CR53" t="n">
        <v>162</v>
      </c>
      <c r="CS53" t="n">
        <v>56</v>
      </c>
      <c r="CT53" t="n">
        <v>0.7</v>
      </c>
      <c r="CW53" t="n">
        <v>34.94</v>
      </c>
      <c r="CX53" t="n">
        <v>1.149</v>
      </c>
      <c r="CY53" t="n">
        <v>0</v>
      </c>
      <c r="DB53" t="n">
        <v>0</v>
      </c>
      <c r="DE53" t="n">
        <v>7.17</v>
      </c>
      <c r="DF53" t="n">
        <v>3</v>
      </c>
      <c r="DG53" t="n">
        <v>0</v>
      </c>
      <c r="DH53" t="n">
        <v>42</v>
      </c>
      <c r="DI53" t="n">
        <v>44</v>
      </c>
      <c r="DJ53" t="n">
        <v>1</v>
      </c>
      <c r="DL53" t="n">
        <v>34</v>
      </c>
      <c r="DM53" t="n">
        <v>28</v>
      </c>
      <c r="DN53" t="n">
        <v>30</v>
      </c>
      <c r="DO53" t="n">
        <v>3.3</v>
      </c>
      <c r="DP53" t="n">
        <v>150.69</v>
      </c>
      <c r="DQ53" t="n">
        <v>76.76000000000001</v>
      </c>
      <c r="DR53" t="n">
        <v>153.52</v>
      </c>
      <c r="DS53" t="n">
        <v>-2.83</v>
      </c>
      <c r="DT53" t="n">
        <v>2457</v>
      </c>
      <c r="DU53" t="n">
        <v>64.65000000000001</v>
      </c>
      <c r="DV53" t="inlineStr">
        <is>
          <t>flat</t>
        </is>
      </c>
      <c r="DW53" t="n">
        <v>42.75</v>
      </c>
      <c r="DX53" t="n">
        <v>41.95</v>
      </c>
      <c r="DY53" t="n">
        <v>22.19</v>
      </c>
      <c r="DZ53" t="n">
        <v>16</v>
      </c>
      <c r="EA53" t="n">
        <v>114</v>
      </c>
      <c r="EB53" t="n">
        <v>153</v>
      </c>
      <c r="EC53" t="n">
        <v>73.59999999999999</v>
      </c>
      <c r="ED53" t="n">
        <v>22.7</v>
      </c>
      <c r="EE53" t="n">
        <v>26</v>
      </c>
      <c r="EF53" t="n">
        <v>31.4</v>
      </c>
      <c r="EG53" t="n">
        <v>14.6</v>
      </c>
      <c r="EH53" t="n">
        <v>50.7</v>
      </c>
      <c r="EI53" t="n">
        <v>301.1</v>
      </c>
      <c r="EJ53" t="n">
        <v>485.9</v>
      </c>
      <c r="EK53" t="n">
        <v>185.9</v>
      </c>
      <c r="EL53" t="n">
        <v>20.9</v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n">
        <v>5</v>
      </c>
      <c r="F54" t="b">
        <v>1</v>
      </c>
      <c r="G54" t="b">
        <v>1</v>
      </c>
      <c r="H54" t="n">
        <v>29.4</v>
      </c>
      <c r="I54" t="inlineStr">
        <is>
          <t>a</t>
        </is>
      </c>
      <c r="L54" t="inlineStr">
        <is>
          <t>p172649</t>
        </is>
      </c>
      <c r="M54" t="n">
        <v>198</v>
      </c>
      <c r="Q54" t="n">
        <v>3330</v>
      </c>
      <c r="R54" t="n">
        <v>37</v>
      </c>
      <c r="S54" t="n">
        <v>37</v>
      </c>
      <c r="T54" t="n">
        <v>37</v>
      </c>
      <c r="U54" t="n">
        <v>90</v>
      </c>
      <c r="V54" t="n">
        <v>131</v>
      </c>
      <c r="W54" t="n">
        <v>3.541</v>
      </c>
      <c r="X54" t="n">
        <v>0</v>
      </c>
      <c r="Y54" t="n">
        <v>0</v>
      </c>
      <c r="AA54" t="n">
        <v>11</v>
      </c>
      <c r="AB54" t="n">
        <v>51</v>
      </c>
      <c r="AC54" t="n">
        <v>7</v>
      </c>
      <c r="AD54" t="n">
        <v>7</v>
      </c>
      <c r="AE54" t="n">
        <v>0</v>
      </c>
      <c r="AF54" t="n">
        <v>538</v>
      </c>
      <c r="AG54" t="n">
        <v>527</v>
      </c>
      <c r="AH54" t="n">
        <v>-11</v>
      </c>
      <c r="AI54" t="n">
        <v>131</v>
      </c>
      <c r="AJ54" t="n">
        <v>0.053</v>
      </c>
      <c r="AK54" t="n">
        <v>0.056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0.974</v>
      </c>
      <c r="AT54" t="n">
        <v>1</v>
      </c>
      <c r="AU54" t="n">
        <v>20</v>
      </c>
      <c r="AV54" t="n">
        <v>1</v>
      </c>
      <c r="AW54" t="n">
        <v>3.26</v>
      </c>
      <c r="AX54" t="n">
        <v>16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H54" t="n">
        <v>0.999</v>
      </c>
      <c r="BI54" t="n">
        <v>0.01</v>
      </c>
      <c r="BJ54" t="n">
        <v>0</v>
      </c>
      <c r="BK54" t="n">
        <v>0</v>
      </c>
      <c r="BL54" t="n">
        <v>0</v>
      </c>
      <c r="BO54" t="n">
        <v>0</v>
      </c>
      <c r="BW54" t="n">
        <v>0.11</v>
      </c>
      <c r="BX54" t="n">
        <v>0.015</v>
      </c>
      <c r="BY54" t="n">
        <v>0.063</v>
      </c>
      <c r="BZ54" t="n">
        <v>0.002</v>
      </c>
      <c r="CA54" t="n">
        <v>0.063</v>
      </c>
      <c r="CB54" t="n">
        <v>0.002</v>
      </c>
      <c r="CC54" t="n">
        <v>1</v>
      </c>
      <c r="CE54" t="n">
        <v>1</v>
      </c>
      <c r="CH54" t="n">
        <v>0</v>
      </c>
      <c r="CI54" t="n">
        <v>3.761</v>
      </c>
      <c r="CJ54" t="n">
        <v>3.761</v>
      </c>
      <c r="CK54" t="n">
        <v>55</v>
      </c>
      <c r="CL54" t="n">
        <v>298</v>
      </c>
      <c r="CM54" t="n">
        <v>1</v>
      </c>
      <c r="CN54" t="n">
        <v>0</v>
      </c>
      <c r="CO54" t="n">
        <v>2</v>
      </c>
      <c r="CP54" t="n">
        <v>54</v>
      </c>
      <c r="CQ54" t="n">
        <v>0</v>
      </c>
      <c r="CR54" t="n">
        <v>21</v>
      </c>
      <c r="CS54" t="n">
        <v>17</v>
      </c>
      <c r="CV54" t="n">
        <v>2</v>
      </c>
      <c r="CW54" t="n">
        <v>51.4</v>
      </c>
      <c r="CX54" t="n">
        <v>1.389</v>
      </c>
      <c r="CY54" t="n">
        <v>106</v>
      </c>
      <c r="CZ54" t="n">
        <v>67.5</v>
      </c>
      <c r="DA54" t="n">
        <v>1.6</v>
      </c>
      <c r="DB54" t="n">
        <v>1</v>
      </c>
      <c r="DC54" t="n">
        <v>23</v>
      </c>
      <c r="DD54" t="n">
        <v>34</v>
      </c>
      <c r="DE54" t="n">
        <v>7.01</v>
      </c>
      <c r="DF54" t="n">
        <v>5</v>
      </c>
      <c r="DG54" t="n">
        <v>0</v>
      </c>
      <c r="DH54" t="n">
        <v>2</v>
      </c>
      <c r="DI54" t="n">
        <v>5</v>
      </c>
      <c r="DK54" t="n">
        <v>2</v>
      </c>
      <c r="DL54" t="n">
        <v>1</v>
      </c>
      <c r="DO54" t="n">
        <v>3.2</v>
      </c>
      <c r="DP54" t="n">
        <v>117.76</v>
      </c>
      <c r="DQ54" t="n">
        <v>58.88</v>
      </c>
      <c r="DR54" t="n">
        <v>117.76</v>
      </c>
      <c r="DS54" t="n">
        <v>0</v>
      </c>
      <c r="DT54" t="n">
        <v>3385</v>
      </c>
      <c r="DU54" t="n">
        <v>89.09</v>
      </c>
      <c r="DV54" t="inlineStr">
        <is>
          <t>flat</t>
        </is>
      </c>
      <c r="DW54" t="n">
        <v>87.98999999999999</v>
      </c>
      <c r="DX54" t="n">
        <v>96.78</v>
      </c>
      <c r="DY54" t="n">
        <v>25.46</v>
      </c>
      <c r="DZ54" t="n">
        <v>6.4</v>
      </c>
      <c r="EA54" t="n">
        <v>120</v>
      </c>
      <c r="EB54" t="n">
        <v>164</v>
      </c>
      <c r="EC54" t="n">
        <v>78.8</v>
      </c>
      <c r="ED54" t="n">
        <v>22.3</v>
      </c>
      <c r="EE54" t="n">
        <v>226</v>
      </c>
      <c r="EH54" t="n">
        <v>3330</v>
      </c>
      <c r="EJ54" t="n">
        <v>53078</v>
      </c>
      <c r="EK54" t="n">
        <v>53078</v>
      </c>
      <c r="EL54" t="n">
        <v>25.4</v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n">
        <v>5</v>
      </c>
      <c r="F55" t="b">
        <v>1</v>
      </c>
      <c r="G55" t="b">
        <v>1</v>
      </c>
      <c r="H55" t="n">
        <v>33.6</v>
      </c>
      <c r="I55" t="inlineStr">
        <is>
          <t>a</t>
        </is>
      </c>
      <c r="L55" t="inlineStr">
        <is>
          <t>p106611</t>
        </is>
      </c>
      <c r="M55" t="n">
        <v>231</v>
      </c>
      <c r="Q55" t="n">
        <v>2588</v>
      </c>
      <c r="R55" t="n">
        <v>33</v>
      </c>
      <c r="S55" t="n">
        <v>29</v>
      </c>
      <c r="T55" t="n">
        <v>28.756</v>
      </c>
      <c r="U55" t="n">
        <v>78.40000000000001</v>
      </c>
      <c r="V55" t="n">
        <v>131</v>
      </c>
      <c r="W55" t="n">
        <v>4.556</v>
      </c>
      <c r="X55" t="n">
        <v>3</v>
      </c>
      <c r="Y55" t="n">
        <v>1</v>
      </c>
      <c r="Z55" t="n">
        <v>1</v>
      </c>
      <c r="AA55" t="n">
        <v>7</v>
      </c>
      <c r="AB55" t="n">
        <v>42</v>
      </c>
      <c r="AC55" t="n">
        <v>8</v>
      </c>
      <c r="AD55" t="n">
        <v>9</v>
      </c>
      <c r="AE55" t="n">
        <v>1</v>
      </c>
      <c r="AF55" t="n">
        <v>404</v>
      </c>
      <c r="AG55" t="n">
        <v>358</v>
      </c>
      <c r="AH55" t="n">
        <v>-46</v>
      </c>
      <c r="AI55" t="n">
        <v>132</v>
      </c>
      <c r="AJ55" t="n">
        <v>0.061</v>
      </c>
      <c r="AK55" t="n">
        <v>0.065</v>
      </c>
      <c r="AL55" t="n">
        <v>302</v>
      </c>
      <c r="AM55" t="n">
        <v>10.502</v>
      </c>
      <c r="AN55" t="n">
        <v>15</v>
      </c>
      <c r="AO55" t="n">
        <v>30</v>
      </c>
      <c r="AP55" t="n">
        <v>0.517</v>
      </c>
      <c r="AQ55" t="n">
        <v>0.517</v>
      </c>
      <c r="AR55" t="n">
        <v>0.31</v>
      </c>
      <c r="AS55" t="n">
        <v>0.763</v>
      </c>
      <c r="AT55" t="n">
        <v>0.879</v>
      </c>
      <c r="AU55" t="n">
        <v>16</v>
      </c>
      <c r="AV55" t="n">
        <v>3</v>
      </c>
      <c r="AW55" t="n">
        <v>3.64</v>
      </c>
      <c r="AX55" t="n">
        <v>15</v>
      </c>
      <c r="AY55" t="n">
        <v>2.3</v>
      </c>
      <c r="AZ55" t="n">
        <v>3.569</v>
      </c>
      <c r="BA55" t="n">
        <v>2.935</v>
      </c>
      <c r="BB55" t="n">
        <v>3.569</v>
      </c>
      <c r="BC55" t="n">
        <v>0.08</v>
      </c>
      <c r="BD55" t="n">
        <v>0.124</v>
      </c>
      <c r="BE55" t="n">
        <v>0.102</v>
      </c>
      <c r="BF55" t="n">
        <v>2.2</v>
      </c>
      <c r="BG55" t="n">
        <v>0.077</v>
      </c>
      <c r="BH55" t="n">
        <v>1.05</v>
      </c>
      <c r="BI55" t="n">
        <v>4.76</v>
      </c>
      <c r="BJ55" t="n">
        <v>2.415</v>
      </c>
      <c r="BK55" t="n">
        <v>0.08400000000000001</v>
      </c>
      <c r="BL55" t="n">
        <v>0.065</v>
      </c>
      <c r="BM55" t="n">
        <v>-0.1</v>
      </c>
      <c r="BN55" t="n">
        <v>0.8</v>
      </c>
      <c r="BO55" t="n">
        <v>-1.269</v>
      </c>
      <c r="BP55" t="n">
        <v>26</v>
      </c>
      <c r="BQ55" t="n">
        <v>7</v>
      </c>
      <c r="BR55" t="n">
        <v>3</v>
      </c>
      <c r="BS55" t="n">
        <v>65</v>
      </c>
      <c r="BT55" t="n">
        <v>2.26</v>
      </c>
      <c r="BV55" t="n">
        <v>1</v>
      </c>
      <c r="BW55" t="n">
        <v>0.49</v>
      </c>
      <c r="BX55" t="n">
        <v>0.13</v>
      </c>
      <c r="BY55" t="n">
        <v>0.31</v>
      </c>
      <c r="BZ55" t="n">
        <v>0.011</v>
      </c>
      <c r="CA55" t="n">
        <v>3.245</v>
      </c>
      <c r="CB55" t="n">
        <v>0.113</v>
      </c>
      <c r="CC55" t="n">
        <v>2</v>
      </c>
      <c r="CE55" t="n">
        <v>2</v>
      </c>
      <c r="CG55" t="n">
        <v>1</v>
      </c>
      <c r="CI55" t="n">
        <v>5.353</v>
      </c>
      <c r="CJ55" t="n">
        <v>4.284</v>
      </c>
      <c r="CK55" t="n">
        <v>265</v>
      </c>
      <c r="CL55" t="n">
        <v>87</v>
      </c>
      <c r="CM55" t="n">
        <v>37</v>
      </c>
      <c r="CN55" t="n">
        <v>23</v>
      </c>
      <c r="CO55" t="n">
        <v>37</v>
      </c>
      <c r="CP55" t="n">
        <v>203</v>
      </c>
      <c r="CQ55" t="n">
        <v>27</v>
      </c>
      <c r="CR55" t="n">
        <v>160</v>
      </c>
      <c r="CS55" t="n">
        <v>112</v>
      </c>
      <c r="CT55" t="n">
        <v>0</v>
      </c>
      <c r="CW55" t="n">
        <v>44.52</v>
      </c>
      <c r="CX55" t="n">
        <v>1.548</v>
      </c>
      <c r="CY55" t="n">
        <v>0</v>
      </c>
      <c r="DB55" t="n">
        <v>0</v>
      </c>
      <c r="DE55" t="n">
        <v>6.98</v>
      </c>
      <c r="DF55" t="n">
        <v>1</v>
      </c>
      <c r="DG55" t="n">
        <v>1</v>
      </c>
      <c r="DH55" t="n">
        <v>16</v>
      </c>
      <c r="DI55" t="n">
        <v>6</v>
      </c>
      <c r="DL55" t="n">
        <v>6</v>
      </c>
      <c r="DM55" t="n">
        <v>5</v>
      </c>
      <c r="DN55" t="n">
        <v>0</v>
      </c>
      <c r="DO55" t="n">
        <v>1.7</v>
      </c>
      <c r="DP55" t="n">
        <v>33.75</v>
      </c>
      <c r="DQ55" t="n">
        <v>16.88</v>
      </c>
      <c r="DR55" t="n">
        <v>33.76</v>
      </c>
      <c r="DS55" t="n">
        <v>-0.01</v>
      </c>
      <c r="DT55" t="n">
        <v>623</v>
      </c>
      <c r="DU55" t="n">
        <v>16.39</v>
      </c>
      <c r="DV55" t="inlineStr">
        <is>
          <t>flat</t>
        </is>
      </c>
      <c r="DW55" t="n">
        <v>91.75</v>
      </c>
      <c r="DX55" t="n">
        <v>101.5</v>
      </c>
      <c r="DY55" t="n">
        <v>16.92</v>
      </c>
      <c r="DZ55" t="n">
        <v>49.5</v>
      </c>
      <c r="EA55" t="n">
        <v>120</v>
      </c>
      <c r="EB55" t="n">
        <v>65</v>
      </c>
      <c r="EC55" t="n">
        <v>31.2</v>
      </c>
      <c r="ED55" t="n">
        <v>28.6</v>
      </c>
      <c r="EE55" t="n">
        <v>227</v>
      </c>
      <c r="EF55" t="n">
        <v>99.5</v>
      </c>
      <c r="EG55" t="n">
        <v>39.8</v>
      </c>
      <c r="EH55" t="n">
        <v>1294</v>
      </c>
      <c r="EI55" t="n">
        <v>881.9</v>
      </c>
      <c r="EJ55" t="n">
        <v>8346.700000000001</v>
      </c>
      <c r="EK55" t="n">
        <v>797.6</v>
      </c>
      <c r="EL55" t="n">
        <v>19.8</v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n">
        <v>7</v>
      </c>
      <c r="F56" t="b">
        <v>1</v>
      </c>
      <c r="G56" t="b">
        <v>1</v>
      </c>
      <c r="H56" t="n">
        <v>26.2</v>
      </c>
      <c r="I56" t="inlineStr">
        <is>
          <t>a</t>
        </is>
      </c>
      <c r="L56" t="inlineStr">
        <is>
          <t>p209244</t>
        </is>
      </c>
      <c r="M56" t="n">
        <v>398</v>
      </c>
      <c r="O56" t="n">
        <v>2</v>
      </c>
      <c r="P56" t="n">
        <v>3</v>
      </c>
      <c r="Q56" t="n">
        <v>2078</v>
      </c>
      <c r="R56" t="n">
        <v>33</v>
      </c>
      <c r="S56" t="n">
        <v>23</v>
      </c>
      <c r="T56" t="n">
        <v>23.089</v>
      </c>
      <c r="U56" t="n">
        <v>63</v>
      </c>
      <c r="V56" t="n">
        <v>131</v>
      </c>
      <c r="W56" t="n">
        <v>5.674</v>
      </c>
      <c r="X56" t="n">
        <v>7</v>
      </c>
      <c r="Y56" t="n">
        <v>5</v>
      </c>
      <c r="Z56" t="n">
        <v>5</v>
      </c>
      <c r="AA56" t="n">
        <v>11</v>
      </c>
      <c r="AB56" t="n">
        <v>19</v>
      </c>
      <c r="AC56" t="n">
        <v>13</v>
      </c>
      <c r="AD56" t="n">
        <v>13</v>
      </c>
      <c r="AE56" t="n">
        <v>0</v>
      </c>
      <c r="AF56" t="n">
        <v>563</v>
      </c>
      <c r="AG56" t="n">
        <v>557</v>
      </c>
      <c r="AH56" t="n">
        <v>-6</v>
      </c>
      <c r="AI56" t="n">
        <v>131</v>
      </c>
      <c r="AJ56" t="n">
        <v>0.099</v>
      </c>
      <c r="AK56" t="n">
        <v>0.11</v>
      </c>
      <c r="AL56" t="n">
        <v>160</v>
      </c>
      <c r="AM56" t="n">
        <v>6.93</v>
      </c>
      <c r="AN56" t="n">
        <v>3</v>
      </c>
      <c r="AO56" t="n">
        <v>6</v>
      </c>
      <c r="AP56" t="n">
        <v>0.13</v>
      </c>
      <c r="AQ56" t="n">
        <v>0.174</v>
      </c>
      <c r="AR56" t="n">
        <v>0.13</v>
      </c>
      <c r="AS56" t="n">
        <v>0.605</v>
      </c>
      <c r="AT56" t="n">
        <v>0.667</v>
      </c>
      <c r="AU56" t="n">
        <v>19</v>
      </c>
      <c r="AV56" t="n">
        <v>6</v>
      </c>
      <c r="AW56" t="n">
        <v>4.49</v>
      </c>
      <c r="AX56" t="n">
        <v>17</v>
      </c>
      <c r="AY56" t="n">
        <v>6.03</v>
      </c>
      <c r="AZ56" t="n">
        <v>6.689</v>
      </c>
      <c r="BA56" t="n">
        <v>6.359</v>
      </c>
      <c r="BB56" t="n">
        <v>6.689</v>
      </c>
      <c r="BC56" t="n">
        <v>0.261</v>
      </c>
      <c r="BD56" t="n">
        <v>0.29</v>
      </c>
      <c r="BE56" t="n">
        <v>0.275</v>
      </c>
      <c r="BF56" t="n">
        <v>6</v>
      </c>
      <c r="BG56" t="n">
        <v>0.26</v>
      </c>
      <c r="BH56" t="n">
        <v>1.253</v>
      </c>
      <c r="BI56" t="n">
        <v>27.12</v>
      </c>
      <c r="BJ56" t="n">
        <v>7.555</v>
      </c>
      <c r="BK56" t="n">
        <v>0.327</v>
      </c>
      <c r="BL56" t="n">
        <v>0.641</v>
      </c>
      <c r="BM56" t="n">
        <v>-0.03</v>
      </c>
      <c r="BN56" t="n">
        <v>1</v>
      </c>
      <c r="BO56" t="n">
        <v>-0.659</v>
      </c>
      <c r="BP56" t="n">
        <v>55</v>
      </c>
      <c r="BQ56" t="n">
        <v>19</v>
      </c>
      <c r="BR56" t="n">
        <v>6</v>
      </c>
      <c r="BS56" t="n">
        <v>94</v>
      </c>
      <c r="BT56" t="n">
        <v>4.071</v>
      </c>
      <c r="BV56" t="n">
        <v>2</v>
      </c>
      <c r="BW56" t="n">
        <v>4.76</v>
      </c>
      <c r="BX56" t="n">
        <v>6.107</v>
      </c>
      <c r="BY56" t="n">
        <v>5.434</v>
      </c>
      <c r="BZ56" t="n">
        <v>0.235</v>
      </c>
      <c r="CA56" t="n">
        <v>11.793</v>
      </c>
      <c r="CB56" t="n">
        <v>0.511</v>
      </c>
      <c r="CC56" t="n">
        <v>53</v>
      </c>
      <c r="CD56" t="n">
        <v>11</v>
      </c>
      <c r="CE56" t="n">
        <v>54</v>
      </c>
      <c r="CF56" t="n">
        <v>40</v>
      </c>
      <c r="CG56" t="n">
        <v>7</v>
      </c>
      <c r="CH56" t="n">
        <v>92</v>
      </c>
      <c r="CI56" t="n">
        <v>19.914</v>
      </c>
      <c r="CJ56" t="n">
        <v>11.249</v>
      </c>
      <c r="CK56" t="n">
        <v>24</v>
      </c>
      <c r="CL56" t="n">
        <v>102</v>
      </c>
      <c r="CM56" t="n">
        <v>34</v>
      </c>
      <c r="CN56" t="n">
        <v>16</v>
      </c>
      <c r="CO56" t="n">
        <v>9</v>
      </c>
      <c r="CP56" t="n">
        <v>12</v>
      </c>
      <c r="CQ56" t="n">
        <v>3</v>
      </c>
      <c r="CR56" t="n">
        <v>96</v>
      </c>
      <c r="CS56" t="n">
        <v>6</v>
      </c>
      <c r="CT56" t="n">
        <v>0.4</v>
      </c>
      <c r="CV56" t="n">
        <v>2</v>
      </c>
      <c r="CW56" t="n">
        <v>27.38</v>
      </c>
      <c r="CX56" t="n">
        <v>1.186</v>
      </c>
      <c r="CY56" t="n">
        <v>0</v>
      </c>
      <c r="DB56" t="n">
        <v>0</v>
      </c>
      <c r="DE56" t="n">
        <v>7.32</v>
      </c>
      <c r="DF56" t="n">
        <v>4</v>
      </c>
      <c r="DG56" t="n">
        <v>0</v>
      </c>
      <c r="DH56" t="n">
        <v>18</v>
      </c>
      <c r="DI56" t="n">
        <v>31</v>
      </c>
      <c r="DL56" t="n">
        <v>25</v>
      </c>
      <c r="DM56" t="n">
        <v>33</v>
      </c>
      <c r="DN56" t="n">
        <v>3</v>
      </c>
      <c r="DO56" t="n">
        <v>6.2</v>
      </c>
      <c r="DP56" t="n">
        <v>121.91</v>
      </c>
      <c r="DQ56" t="n">
        <v>61.4</v>
      </c>
      <c r="DR56" t="n">
        <v>122.8</v>
      </c>
      <c r="DS56" t="n">
        <v>-0.89</v>
      </c>
      <c r="DT56" t="n">
        <v>2063</v>
      </c>
      <c r="DU56" t="n">
        <v>54.3</v>
      </c>
      <c r="DV56" t="inlineStr">
        <is>
          <t>flat</t>
        </is>
      </c>
      <c r="DW56" t="n">
        <v>31.24</v>
      </c>
      <c r="DX56" t="n">
        <v>30.15</v>
      </c>
      <c r="DY56" t="n">
        <v>17.76</v>
      </c>
      <c r="DZ56" t="n">
        <v>5.71</v>
      </c>
      <c r="EA56" t="n">
        <v>101.33</v>
      </c>
      <c r="EB56" t="n">
        <v>171</v>
      </c>
      <c r="EC56" t="n">
        <v>82.2</v>
      </c>
      <c r="ED56" t="n">
        <v>17.4</v>
      </c>
      <c r="EE56" t="n">
        <v>27</v>
      </c>
      <c r="EF56" t="n">
        <v>37.8</v>
      </c>
      <c r="EG56" t="n">
        <v>22.1</v>
      </c>
      <c r="EH56" t="n">
        <v>38.5</v>
      </c>
      <c r="EI56" t="n">
        <v>326.8</v>
      </c>
      <c r="EJ56" t="n">
        <v>382.4</v>
      </c>
      <c r="EK56" t="n">
        <v>176.2</v>
      </c>
      <c r="EL56" t="n">
        <v>15.9</v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n">
        <v>4.5</v>
      </c>
      <c r="F57" t="b">
        <v>1</v>
      </c>
      <c r="G57" t="b">
        <v>1</v>
      </c>
      <c r="H57" t="n">
        <v>24</v>
      </c>
      <c r="I57" t="inlineStr">
        <is>
          <t>a</t>
        </is>
      </c>
      <c r="L57" t="inlineStr">
        <is>
          <t>p489639</t>
        </is>
      </c>
      <c r="M57" t="n">
        <v>109</v>
      </c>
      <c r="Q57" t="n">
        <v>3420</v>
      </c>
      <c r="R57" t="n">
        <v>38</v>
      </c>
      <c r="S57" t="n">
        <v>38</v>
      </c>
      <c r="T57" t="n">
        <v>38</v>
      </c>
      <c r="U57" t="n">
        <v>90</v>
      </c>
      <c r="V57" t="n">
        <v>130</v>
      </c>
      <c r="W57" t="n">
        <v>3.421</v>
      </c>
      <c r="X57" t="n">
        <v>0</v>
      </c>
      <c r="Y57" t="n">
        <v>0</v>
      </c>
      <c r="AA57" t="n">
        <v>10</v>
      </c>
      <c r="AB57" t="n">
        <v>46</v>
      </c>
      <c r="AC57" t="n">
        <v>6</v>
      </c>
      <c r="AD57" t="n">
        <v>11</v>
      </c>
      <c r="AE57" t="n">
        <v>5</v>
      </c>
      <c r="AF57" t="n">
        <v>616</v>
      </c>
      <c r="AG57" t="n">
        <v>610</v>
      </c>
      <c r="AH57" t="n">
        <v>-6</v>
      </c>
      <c r="AI57" t="n">
        <v>135</v>
      </c>
      <c r="AJ57" t="n">
        <v>0.046</v>
      </c>
      <c r="AK57" t="n">
        <v>0.048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1</v>
      </c>
      <c r="AT57" t="n">
        <v>1</v>
      </c>
      <c r="AU57" t="n">
        <v>21</v>
      </c>
      <c r="AV57" t="n">
        <v>1</v>
      </c>
      <c r="AW57" t="n">
        <v>2.64</v>
      </c>
      <c r="AX57" t="n">
        <v>11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H57" t="n">
        <v>1</v>
      </c>
      <c r="BI57" t="n">
        <v>0</v>
      </c>
      <c r="BJ57" t="n">
        <v>0</v>
      </c>
      <c r="BK57" t="n">
        <v>0</v>
      </c>
      <c r="BL57" t="n">
        <v>0</v>
      </c>
      <c r="BO57" t="n">
        <v>0</v>
      </c>
      <c r="BS57" t="n">
        <v>0</v>
      </c>
      <c r="BT57" t="n">
        <v>0</v>
      </c>
      <c r="BW57" t="n">
        <v>0.06</v>
      </c>
      <c r="BX57" t="n">
        <v>0.076</v>
      </c>
      <c r="BY57" t="n">
        <v>0.068</v>
      </c>
      <c r="BZ57" t="n">
        <v>0.002</v>
      </c>
      <c r="CA57" t="n">
        <v>0.068</v>
      </c>
      <c r="CB57" t="n">
        <v>0.002</v>
      </c>
      <c r="CC57" t="n">
        <v>1</v>
      </c>
      <c r="CE57" t="n">
        <v>1</v>
      </c>
      <c r="CI57" t="n">
        <v>7.377</v>
      </c>
      <c r="CJ57" t="n">
        <v>7.377</v>
      </c>
      <c r="CK57" t="n">
        <v>32</v>
      </c>
      <c r="CL57" t="n">
        <v>332</v>
      </c>
      <c r="CM57" t="n">
        <v>1</v>
      </c>
      <c r="CN57" t="n">
        <v>1</v>
      </c>
      <c r="CO57" t="n">
        <v>0</v>
      </c>
      <c r="CP57" t="n">
        <v>32</v>
      </c>
      <c r="CR57" t="n">
        <v>16</v>
      </c>
      <c r="CS57" t="n">
        <v>11</v>
      </c>
      <c r="CU57" t="n">
        <v>4</v>
      </c>
      <c r="CV57" t="n">
        <v>2</v>
      </c>
      <c r="CW57" t="n">
        <v>49.06</v>
      </c>
      <c r="CX57" t="n">
        <v>1.291</v>
      </c>
      <c r="CY57" t="n">
        <v>106</v>
      </c>
      <c r="CZ57" t="n">
        <v>69.7</v>
      </c>
      <c r="DA57" t="n">
        <v>2</v>
      </c>
      <c r="DB57" t="n">
        <v>1</v>
      </c>
      <c r="DC57" t="n">
        <v>24</v>
      </c>
      <c r="DD57" t="n">
        <v>15</v>
      </c>
      <c r="DE57" t="n">
        <v>6.93</v>
      </c>
      <c r="DF57" t="n">
        <v>3</v>
      </c>
      <c r="DG57" t="n">
        <v>0</v>
      </c>
      <c r="DH57" t="n">
        <v>2</v>
      </c>
      <c r="DI57" t="n">
        <v>3</v>
      </c>
      <c r="DK57" t="n">
        <v>1</v>
      </c>
      <c r="DL57" t="n">
        <v>1</v>
      </c>
      <c r="DN57" t="n">
        <v>0</v>
      </c>
      <c r="DO57" t="n">
        <v>18.2</v>
      </c>
      <c r="DP57" t="n">
        <v>121.48</v>
      </c>
      <c r="DQ57" t="n">
        <v>60.74</v>
      </c>
      <c r="DR57" t="n">
        <v>121.48</v>
      </c>
      <c r="DS57" t="n">
        <v>0</v>
      </c>
      <c r="DT57" t="n">
        <v>3385</v>
      </c>
      <c r="DU57" t="n">
        <v>89.09</v>
      </c>
      <c r="DV57" t="inlineStr">
        <is>
          <t>flat</t>
        </is>
      </c>
      <c r="DW57" t="n">
        <v>99.44</v>
      </c>
      <c r="DX57" t="n">
        <v>110.98</v>
      </c>
      <c r="DY57" t="n">
        <v>22.2</v>
      </c>
      <c r="DZ57" t="n">
        <v>24.5</v>
      </c>
      <c r="EA57" t="n">
        <v>120</v>
      </c>
      <c r="EB57" t="n">
        <v>153</v>
      </c>
      <c r="EC57" t="n">
        <v>73.59999999999999</v>
      </c>
      <c r="ED57" t="n">
        <v>5.6</v>
      </c>
      <c r="EE57" t="n">
        <v>391</v>
      </c>
      <c r="EH57" t="n">
        <v>3420</v>
      </c>
      <c r="EJ57" t="n">
        <v>50123</v>
      </c>
      <c r="EK57" t="n">
        <v>50123</v>
      </c>
      <c r="EL57" t="n">
        <v>26.3</v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n">
        <v>5.5</v>
      </c>
      <c r="F58" t="b">
        <v>1</v>
      </c>
      <c r="G58" t="b">
        <v>1</v>
      </c>
      <c r="H58" t="n">
        <v>25.3</v>
      </c>
      <c r="I58" t="inlineStr">
        <is>
          <t>a</t>
        </is>
      </c>
      <c r="L58" t="inlineStr">
        <is>
          <t>p432830</t>
        </is>
      </c>
      <c r="M58" t="n">
        <v>84</v>
      </c>
      <c r="Q58" t="n">
        <v>2971</v>
      </c>
      <c r="R58" t="n">
        <v>35</v>
      </c>
      <c r="S58" t="n">
        <v>32</v>
      </c>
      <c r="T58" t="n">
        <v>33.011</v>
      </c>
      <c r="U58" t="n">
        <v>84.90000000000001</v>
      </c>
      <c r="V58" t="n">
        <v>129</v>
      </c>
      <c r="W58" t="n">
        <v>3.908</v>
      </c>
      <c r="X58" t="n">
        <v>1</v>
      </c>
      <c r="Y58" t="n">
        <v>2</v>
      </c>
      <c r="Z58" t="n">
        <v>2</v>
      </c>
      <c r="AA58" t="n">
        <v>9</v>
      </c>
      <c r="AB58" t="n">
        <v>44</v>
      </c>
      <c r="AC58" t="n">
        <v>7</v>
      </c>
      <c r="AD58" t="n">
        <v>6</v>
      </c>
      <c r="AE58" t="n">
        <v>-1</v>
      </c>
      <c r="AF58" t="n">
        <v>450</v>
      </c>
      <c r="AG58" t="n">
        <v>404</v>
      </c>
      <c r="AH58" t="n">
        <v>-46</v>
      </c>
      <c r="AI58" t="n">
        <v>128</v>
      </c>
      <c r="AJ58" t="n">
        <v>0.054</v>
      </c>
      <c r="AK58" t="n">
        <v>0.057</v>
      </c>
      <c r="AL58" t="n">
        <v>319</v>
      </c>
      <c r="AM58" t="n">
        <v>9.663</v>
      </c>
      <c r="AN58" t="n">
        <v>16</v>
      </c>
      <c r="AO58" t="n">
        <v>32</v>
      </c>
      <c r="AP58" t="n">
        <v>0.5</v>
      </c>
      <c r="AQ58" t="n">
        <v>0.5</v>
      </c>
      <c r="AR58" t="n">
        <v>0.281</v>
      </c>
      <c r="AS58" t="n">
        <v>0.842</v>
      </c>
      <c r="AT58" t="n">
        <v>0.914</v>
      </c>
      <c r="AU58" t="n">
        <v>15</v>
      </c>
      <c r="AV58" t="n">
        <v>2</v>
      </c>
      <c r="AW58" t="n">
        <v>3.34</v>
      </c>
      <c r="AX58" t="n">
        <v>13</v>
      </c>
      <c r="AY58" t="n">
        <v>2.24</v>
      </c>
      <c r="AZ58" t="n">
        <v>2.917</v>
      </c>
      <c r="BA58" t="n">
        <v>2.579</v>
      </c>
      <c r="BB58" t="n">
        <v>2.917</v>
      </c>
      <c r="BC58" t="n">
        <v>0.068</v>
      </c>
      <c r="BD58" t="n">
        <v>0.08799999999999999</v>
      </c>
      <c r="BE58" t="n">
        <v>0.078</v>
      </c>
      <c r="BF58" t="n">
        <v>1.7</v>
      </c>
      <c r="BG58" t="n">
        <v>0.051</v>
      </c>
      <c r="BH58" t="n">
        <v>0.931</v>
      </c>
      <c r="BI58" t="n">
        <v>6.5</v>
      </c>
      <c r="BJ58" t="n">
        <v>2.086</v>
      </c>
      <c r="BK58" t="n">
        <v>0.063</v>
      </c>
      <c r="BL58" t="n">
        <v>-1.579</v>
      </c>
      <c r="BM58" t="n">
        <v>-0.54</v>
      </c>
      <c r="BN58" t="n">
        <v>-0.7</v>
      </c>
      <c r="BO58" t="n">
        <v>-0.677</v>
      </c>
      <c r="BP58" t="n">
        <v>20</v>
      </c>
      <c r="BQ58" t="n">
        <v>6</v>
      </c>
      <c r="BR58" t="n">
        <v>4</v>
      </c>
      <c r="BS58" t="n">
        <v>80</v>
      </c>
      <c r="BT58" t="n">
        <v>2.423</v>
      </c>
      <c r="BV58" t="n">
        <v>1</v>
      </c>
      <c r="BW58" t="n">
        <v>1.71</v>
      </c>
      <c r="BX58" t="n">
        <v>2.43</v>
      </c>
      <c r="BY58" t="n">
        <v>2.07</v>
      </c>
      <c r="BZ58" t="n">
        <v>0.063</v>
      </c>
      <c r="CA58" t="n">
        <v>4.648</v>
      </c>
      <c r="CB58" t="n">
        <v>0.141</v>
      </c>
      <c r="CC58" t="n">
        <v>9</v>
      </c>
      <c r="CD58" t="n">
        <v>5</v>
      </c>
      <c r="CE58" t="n">
        <v>11</v>
      </c>
      <c r="CF58" t="n">
        <v>1</v>
      </c>
      <c r="CG58" t="n">
        <v>0</v>
      </c>
      <c r="CI58" t="n">
        <v>10.036</v>
      </c>
      <c r="CJ58" t="n">
        <v>8.510999999999999</v>
      </c>
      <c r="CK58" t="n">
        <v>287</v>
      </c>
      <c r="CL58" t="n">
        <v>139</v>
      </c>
      <c r="CM58" t="n">
        <v>32</v>
      </c>
      <c r="CN58" t="n">
        <v>14</v>
      </c>
      <c r="CO58" t="n">
        <v>37</v>
      </c>
      <c r="CP58" t="n">
        <v>209</v>
      </c>
      <c r="CQ58" t="n">
        <v>41</v>
      </c>
      <c r="CR58" t="n">
        <v>144</v>
      </c>
      <c r="CS58" t="n">
        <v>89</v>
      </c>
      <c r="CT58" t="n">
        <v>0</v>
      </c>
      <c r="CU58" t="n">
        <v>1</v>
      </c>
      <c r="CV58" t="n">
        <v>3</v>
      </c>
      <c r="CW58" t="n">
        <v>47.52</v>
      </c>
      <c r="CX58" t="n">
        <v>1.44</v>
      </c>
      <c r="CY58" t="n">
        <v>0</v>
      </c>
      <c r="DB58" t="n">
        <v>0</v>
      </c>
      <c r="DE58" t="n">
        <v>6.88</v>
      </c>
      <c r="DF58" t="n">
        <v>7</v>
      </c>
      <c r="DG58" t="n">
        <v>0</v>
      </c>
      <c r="DH58" t="n">
        <v>20</v>
      </c>
      <c r="DI58" t="n">
        <v>17</v>
      </c>
      <c r="DJ58" t="n">
        <v>1</v>
      </c>
      <c r="DK58" t="n">
        <v>1</v>
      </c>
      <c r="DL58" t="n">
        <v>7</v>
      </c>
      <c r="DM58" t="n">
        <v>10</v>
      </c>
      <c r="DN58" t="n">
        <v>2</v>
      </c>
      <c r="DO58" t="n">
        <v>2.1</v>
      </c>
      <c r="DP58" t="n">
        <v>136.68</v>
      </c>
      <c r="DQ58" t="n">
        <v>69.28</v>
      </c>
      <c r="DR58" t="n">
        <v>138.56</v>
      </c>
      <c r="DS58" t="n">
        <v>-1.88</v>
      </c>
      <c r="DT58" t="n">
        <v>3044</v>
      </c>
      <c r="DU58" t="n">
        <v>80.09999999999999</v>
      </c>
      <c r="DV58" t="inlineStr">
        <is>
          <t>flat</t>
        </is>
      </c>
      <c r="DW58" t="n">
        <v>79.41</v>
      </c>
      <c r="DX58" t="n">
        <v>87.42</v>
      </c>
      <c r="DY58" t="n">
        <v>20.72</v>
      </c>
      <c r="DZ58" t="n">
        <v>8</v>
      </c>
      <c r="EA58" t="n">
        <v>118.86</v>
      </c>
      <c r="EB58" t="n">
        <v>109</v>
      </c>
      <c r="EC58" t="n">
        <v>52.4</v>
      </c>
      <c r="ED58" t="n">
        <v>35.9</v>
      </c>
      <c r="EE58" t="n">
        <v>119</v>
      </c>
      <c r="EF58" t="n">
        <v>148.6</v>
      </c>
      <c r="EG58" t="n">
        <v>37.1</v>
      </c>
      <c r="EH58" t="n">
        <v>270.1</v>
      </c>
      <c r="EI58" t="n">
        <v>1152.2</v>
      </c>
      <c r="EJ58" t="n">
        <v>1435.4</v>
      </c>
      <c r="EK58" t="n">
        <v>639.1</v>
      </c>
      <c r="EL58" t="n">
        <v>23</v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n">
        <v>5</v>
      </c>
      <c r="F59" t="b">
        <v>1</v>
      </c>
      <c r="G59" t="b">
        <v>1</v>
      </c>
      <c r="H59" t="n">
        <v>25.4</v>
      </c>
      <c r="I59" t="inlineStr">
        <is>
          <t>a</t>
        </is>
      </c>
      <c r="L59" t="inlineStr">
        <is>
          <t>p215136</t>
        </is>
      </c>
      <c r="M59" t="n">
        <v>469</v>
      </c>
      <c r="O59" t="n">
        <v>1</v>
      </c>
      <c r="P59" t="n">
        <v>2</v>
      </c>
      <c r="Q59" t="n">
        <v>3203</v>
      </c>
      <c r="R59" t="n">
        <v>37</v>
      </c>
      <c r="S59" t="n">
        <v>36</v>
      </c>
      <c r="T59" t="n">
        <v>35.589</v>
      </c>
      <c r="U59" t="n">
        <v>86.59999999999999</v>
      </c>
      <c r="V59" t="n">
        <v>128</v>
      </c>
      <c r="W59" t="n">
        <v>3.597</v>
      </c>
      <c r="X59" t="n">
        <v>2</v>
      </c>
      <c r="Y59" t="n">
        <v>3</v>
      </c>
      <c r="Z59" t="n">
        <v>3</v>
      </c>
      <c r="AA59" t="n">
        <v>9</v>
      </c>
      <c r="AB59" t="n">
        <v>48</v>
      </c>
      <c r="AC59" t="n">
        <v>15</v>
      </c>
      <c r="AD59" t="n">
        <v>15</v>
      </c>
      <c r="AE59" t="n">
        <v>0</v>
      </c>
      <c r="AF59" t="n">
        <v>531</v>
      </c>
      <c r="AG59" t="n">
        <v>501</v>
      </c>
      <c r="AH59" t="n">
        <v>-30</v>
      </c>
      <c r="AI59" t="n">
        <v>128</v>
      </c>
      <c r="AJ59" t="n">
        <v>0.117</v>
      </c>
      <c r="AK59" t="n">
        <v>0.133</v>
      </c>
      <c r="AL59" t="n">
        <v>247</v>
      </c>
      <c r="AM59" t="n">
        <v>6.94</v>
      </c>
      <c r="AN59" t="n">
        <v>4</v>
      </c>
      <c r="AO59" t="n">
        <v>8</v>
      </c>
      <c r="AP59" t="n">
        <v>0.111</v>
      </c>
      <c r="AQ59" t="n">
        <v>0.111</v>
      </c>
      <c r="AR59" t="n">
        <v>0.083</v>
      </c>
      <c r="AS59" t="n">
        <v>0.947</v>
      </c>
      <c r="AT59" t="n">
        <v>0.919</v>
      </c>
      <c r="AU59" t="n">
        <v>24</v>
      </c>
      <c r="AV59" t="n">
        <v>4</v>
      </c>
      <c r="AW59" t="n">
        <v>3.98</v>
      </c>
      <c r="AX59" t="n">
        <v>15</v>
      </c>
      <c r="AY59" t="n">
        <v>2.01</v>
      </c>
      <c r="AZ59" t="n">
        <v>1.871</v>
      </c>
      <c r="BA59" t="n">
        <v>1.94</v>
      </c>
      <c r="BB59" t="n">
        <v>1.871</v>
      </c>
      <c r="BC59" t="n">
        <v>0.056</v>
      </c>
      <c r="BD59" t="n">
        <v>0.053</v>
      </c>
      <c r="BE59" t="n">
        <v>0.055</v>
      </c>
      <c r="BF59" t="n">
        <v>3</v>
      </c>
      <c r="BG59" t="n">
        <v>0.08400000000000001</v>
      </c>
      <c r="BH59" t="n">
        <v>1.029</v>
      </c>
      <c r="BI59" t="n">
        <v>6.28</v>
      </c>
      <c r="BJ59" t="n">
        <v>2.069</v>
      </c>
      <c r="BK59" t="n">
        <v>0.058</v>
      </c>
      <c r="BL59" t="n">
        <v>0.06</v>
      </c>
      <c r="BM59" t="n">
        <v>0.99</v>
      </c>
      <c r="BN59" t="n">
        <v>-1</v>
      </c>
      <c r="BO59" t="n">
        <v>0.139</v>
      </c>
      <c r="BP59" t="n">
        <v>46</v>
      </c>
      <c r="BQ59" t="n">
        <v>19</v>
      </c>
      <c r="BR59" t="n">
        <v>2</v>
      </c>
      <c r="BS59" t="n">
        <v>68</v>
      </c>
      <c r="BT59" t="n">
        <v>1.911</v>
      </c>
      <c r="BW59" t="n">
        <v>3.97</v>
      </c>
      <c r="BX59" t="n">
        <v>4.396</v>
      </c>
      <c r="BY59" t="n">
        <v>4.183</v>
      </c>
      <c r="BZ59" t="n">
        <v>0.118</v>
      </c>
      <c r="CA59" t="n">
        <v>6.123</v>
      </c>
      <c r="CB59" t="n">
        <v>0.172</v>
      </c>
      <c r="CC59" t="n">
        <v>36</v>
      </c>
      <c r="CD59" t="n">
        <v>5</v>
      </c>
      <c r="CE59" t="n">
        <v>36</v>
      </c>
      <c r="CF59" t="n">
        <v>29</v>
      </c>
      <c r="CH59" t="n">
        <v>23</v>
      </c>
      <c r="CI59" t="n">
        <v>12.105</v>
      </c>
      <c r="CJ59" t="n">
        <v>9.01</v>
      </c>
      <c r="CK59" t="n">
        <v>151</v>
      </c>
      <c r="CL59" t="n">
        <v>164</v>
      </c>
      <c r="CM59" t="n">
        <v>96</v>
      </c>
      <c r="CN59" t="n">
        <v>62</v>
      </c>
      <c r="CO59" t="n">
        <v>47</v>
      </c>
      <c r="CP59" t="n">
        <v>88</v>
      </c>
      <c r="CQ59" t="n">
        <v>17</v>
      </c>
      <c r="CR59" t="n">
        <v>216</v>
      </c>
      <c r="CS59" t="n">
        <v>39</v>
      </c>
      <c r="CT59" t="n">
        <v>0.3</v>
      </c>
      <c r="CU59" t="n">
        <v>1</v>
      </c>
      <c r="CV59" t="n">
        <v>2</v>
      </c>
      <c r="CW59" t="n">
        <v>51.36</v>
      </c>
      <c r="CX59" t="n">
        <v>1.443</v>
      </c>
      <c r="CY59" t="n">
        <v>0</v>
      </c>
      <c r="DB59" t="n">
        <v>0</v>
      </c>
      <c r="DE59" t="n">
        <v>7.08</v>
      </c>
      <c r="DF59" t="n">
        <v>6</v>
      </c>
      <c r="DG59" t="n">
        <v>1</v>
      </c>
      <c r="DH59" t="n">
        <v>30</v>
      </c>
      <c r="DI59" t="n">
        <v>52</v>
      </c>
      <c r="DK59" t="n">
        <v>1</v>
      </c>
      <c r="DL59" t="n">
        <v>31</v>
      </c>
      <c r="DM59" t="n">
        <v>28</v>
      </c>
      <c r="DN59" t="n">
        <v>4</v>
      </c>
      <c r="DO59" t="n">
        <v>11.8</v>
      </c>
      <c r="DP59" t="n">
        <v>148.32</v>
      </c>
      <c r="DQ59" t="n">
        <v>74.16</v>
      </c>
      <c r="DR59" t="n">
        <v>148.32</v>
      </c>
      <c r="DS59" t="n">
        <v>0</v>
      </c>
      <c r="DT59" t="n">
        <v>3331</v>
      </c>
      <c r="DU59" t="n">
        <v>87.66</v>
      </c>
      <c r="DV59" t="inlineStr">
        <is>
          <t>flat</t>
        </is>
      </c>
      <c r="DW59" t="n">
        <v>72.55</v>
      </c>
      <c r="DX59" t="n">
        <v>80.05</v>
      </c>
      <c r="DY59" t="n">
        <v>21.19</v>
      </c>
      <c r="DZ59" t="n">
        <v>30</v>
      </c>
      <c r="EA59" t="n">
        <v>116</v>
      </c>
      <c r="EB59" t="n">
        <v>170</v>
      </c>
      <c r="EC59" t="n">
        <v>81.7</v>
      </c>
      <c r="ED59" t="n">
        <v>9.1</v>
      </c>
      <c r="EE59" t="n">
        <v>229</v>
      </c>
      <c r="EF59" t="n">
        <v>69.59999999999999</v>
      </c>
      <c r="EG59" t="n">
        <v>47.1</v>
      </c>
      <c r="EH59" t="n">
        <v>89</v>
      </c>
      <c r="EI59" t="n">
        <v>1650.8</v>
      </c>
      <c r="EJ59" t="n">
        <v>765.8</v>
      </c>
      <c r="EK59" t="n">
        <v>523.1</v>
      </c>
      <c r="EL59" t="n">
        <v>25</v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n">
        <v>7.5</v>
      </c>
      <c r="F60" t="b">
        <v>1</v>
      </c>
      <c r="G60" t="b">
        <v>1</v>
      </c>
      <c r="H60" t="n">
        <v>28.2</v>
      </c>
      <c r="I60" t="inlineStr">
        <is>
          <t>a</t>
        </is>
      </c>
      <c r="L60" t="inlineStr">
        <is>
          <t>p224117</t>
        </is>
      </c>
      <c r="M60" t="n">
        <v>25</v>
      </c>
      <c r="N60" t="n">
        <v>2</v>
      </c>
      <c r="Q60" t="n">
        <v>2217</v>
      </c>
      <c r="R60" t="n">
        <v>36</v>
      </c>
      <c r="S60" t="n">
        <v>26</v>
      </c>
      <c r="T60" t="n">
        <v>24.633</v>
      </c>
      <c r="U60" t="n">
        <v>61.6</v>
      </c>
      <c r="V60" t="n">
        <v>128</v>
      </c>
      <c r="W60" t="n">
        <v>5.196</v>
      </c>
      <c r="X60" t="n">
        <v>14</v>
      </c>
      <c r="Y60" t="n">
        <v>1</v>
      </c>
      <c r="Z60" t="n">
        <v>1</v>
      </c>
      <c r="AA60" t="n">
        <v>12</v>
      </c>
      <c r="AB60" t="n">
        <v>14</v>
      </c>
      <c r="AC60" t="n">
        <v>16</v>
      </c>
      <c r="AD60" t="n">
        <v>16</v>
      </c>
      <c r="AE60" t="n">
        <v>0</v>
      </c>
      <c r="AF60" t="n">
        <v>474</v>
      </c>
      <c r="AG60" t="n">
        <v>469</v>
      </c>
      <c r="AH60" t="n">
        <v>-5</v>
      </c>
      <c r="AI60" t="n">
        <v>128</v>
      </c>
      <c r="AJ60" t="n">
        <v>0.125</v>
      </c>
      <c r="AK60" t="n">
        <v>0.143</v>
      </c>
      <c r="AL60" t="n">
        <v>85</v>
      </c>
      <c r="AM60" t="n">
        <v>3.451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0.6840000000000001</v>
      </c>
      <c r="AT60" t="n">
        <v>0.611</v>
      </c>
      <c r="AU60" t="n">
        <v>26</v>
      </c>
      <c r="AV60" t="n">
        <v>4</v>
      </c>
      <c r="AW60" t="n">
        <v>3.96</v>
      </c>
      <c r="AX60" t="n">
        <v>16</v>
      </c>
      <c r="AY60" t="n">
        <v>12.26</v>
      </c>
      <c r="AZ60" t="n">
        <v>13.871</v>
      </c>
      <c r="BA60" t="n">
        <v>13.066</v>
      </c>
      <c r="BB60" t="n">
        <v>11.588</v>
      </c>
      <c r="BC60" t="n">
        <v>0.498</v>
      </c>
      <c r="BD60" t="n">
        <v>0.5629999999999999</v>
      </c>
      <c r="BE60" t="n">
        <v>0.53</v>
      </c>
      <c r="BF60" t="n">
        <v>9.4</v>
      </c>
      <c r="BG60" t="n">
        <v>0.382</v>
      </c>
      <c r="BH60" t="n">
        <v>0.859</v>
      </c>
      <c r="BI60" t="n">
        <v>12.26</v>
      </c>
      <c r="BJ60" t="n">
        <v>10.529</v>
      </c>
      <c r="BK60" t="n">
        <v>0.427</v>
      </c>
      <c r="BL60" t="n">
        <v>0.9340000000000001</v>
      </c>
      <c r="BM60" t="n">
        <v>-2.86</v>
      </c>
      <c r="BN60" t="n">
        <v>4.6</v>
      </c>
      <c r="BO60" t="n">
        <v>-1.611</v>
      </c>
      <c r="BP60" t="n">
        <v>55</v>
      </c>
      <c r="BQ60" t="n">
        <v>22</v>
      </c>
      <c r="BR60" t="n">
        <v>13</v>
      </c>
      <c r="BS60" t="n">
        <v>142</v>
      </c>
      <c r="BT60" t="n">
        <v>5.765</v>
      </c>
      <c r="BU60" t="n">
        <v>3</v>
      </c>
      <c r="BV60" t="n">
        <v>2</v>
      </c>
      <c r="BW60" t="n">
        <v>1.94</v>
      </c>
      <c r="BX60" t="n">
        <v>2.654</v>
      </c>
      <c r="BY60" t="n">
        <v>2.297</v>
      </c>
      <c r="BZ60" t="n">
        <v>0.093</v>
      </c>
      <c r="CA60" t="n">
        <v>15.363</v>
      </c>
      <c r="CB60" t="n">
        <v>0.624</v>
      </c>
      <c r="CC60" t="n">
        <v>20</v>
      </c>
      <c r="CD60" t="n">
        <v>4</v>
      </c>
      <c r="CE60" t="n">
        <v>20</v>
      </c>
      <c r="CF60" t="n">
        <v>3</v>
      </c>
      <c r="CG60" t="n">
        <v>1</v>
      </c>
      <c r="CI60" t="n">
        <v>14.775</v>
      </c>
      <c r="CJ60" t="n">
        <v>3.26</v>
      </c>
      <c r="CK60" t="n">
        <v>23</v>
      </c>
      <c r="CL60" t="n">
        <v>55</v>
      </c>
      <c r="CM60" t="n">
        <v>7</v>
      </c>
      <c r="CN60" t="n">
        <v>5</v>
      </c>
      <c r="CO60" t="n">
        <v>1</v>
      </c>
      <c r="CP60" t="n">
        <v>19</v>
      </c>
      <c r="CQ60" t="n">
        <v>3</v>
      </c>
      <c r="CR60" t="n">
        <v>74</v>
      </c>
      <c r="CS60" t="n">
        <v>30</v>
      </c>
      <c r="CT60" t="n">
        <v>0.8</v>
      </c>
      <c r="CV60" t="n">
        <v>1</v>
      </c>
      <c r="CW60" t="n">
        <v>17.81</v>
      </c>
      <c r="CX60" t="n">
        <v>0.723</v>
      </c>
      <c r="CY60" t="n">
        <v>0</v>
      </c>
      <c r="DB60" t="n">
        <v>0</v>
      </c>
      <c r="DE60" t="n">
        <v>6.82</v>
      </c>
      <c r="DF60" t="n">
        <v>5</v>
      </c>
      <c r="DG60" t="n">
        <v>0</v>
      </c>
      <c r="DH60" t="n">
        <v>35</v>
      </c>
      <c r="DI60" t="n">
        <v>31</v>
      </c>
      <c r="DJ60" t="n">
        <v>0</v>
      </c>
      <c r="DL60" t="n">
        <v>7</v>
      </c>
      <c r="DM60" t="n">
        <v>25</v>
      </c>
      <c r="DN60" t="n">
        <v>4</v>
      </c>
      <c r="DO60" t="n">
        <v>13</v>
      </c>
      <c r="DP60" t="n">
        <v>89.86</v>
      </c>
      <c r="DQ60" t="n">
        <v>44.98</v>
      </c>
      <c r="DR60" t="n">
        <v>89.95999999999999</v>
      </c>
      <c r="DS60" t="n">
        <v>-0.1</v>
      </c>
      <c r="DT60" t="n">
        <v>1459</v>
      </c>
      <c r="DU60" t="n">
        <v>38.4</v>
      </c>
      <c r="DV60" t="inlineStr">
        <is>
          <t>flat</t>
        </is>
      </c>
      <c r="DW60" t="n">
        <v>13.74</v>
      </c>
      <c r="DX60" t="n">
        <v>14.8</v>
      </c>
      <c r="DY60" t="n">
        <v>7.71</v>
      </c>
      <c r="DZ60" t="n">
        <v>1.71</v>
      </c>
      <c r="EA60" t="n">
        <v>46.67</v>
      </c>
      <c r="EB60" t="n">
        <v>189</v>
      </c>
      <c r="EC60" t="n">
        <v>90.90000000000001</v>
      </c>
      <c r="ED60" t="n">
        <v>11.7</v>
      </c>
      <c r="EE60" t="n">
        <v>17</v>
      </c>
      <c r="EF60" t="n">
        <v>40.3</v>
      </c>
      <c r="EG60" t="n">
        <v>15.6</v>
      </c>
      <c r="EH60" t="n">
        <v>110.8</v>
      </c>
      <c r="EI60" t="n">
        <v>169.7</v>
      </c>
      <c r="EJ60" t="n">
        <v>965.2</v>
      </c>
      <c r="EK60" t="n">
        <v>144.3</v>
      </c>
      <c r="EL60" t="n">
        <v>17.3</v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n">
        <v>6</v>
      </c>
      <c r="F61" t="b">
        <v>1</v>
      </c>
      <c r="G61" t="b">
        <v>1</v>
      </c>
      <c r="H61" t="n">
        <v>26.5</v>
      </c>
      <c r="I61" t="inlineStr">
        <is>
          <t>a</t>
        </is>
      </c>
      <c r="L61" t="inlineStr">
        <is>
          <t>p440993</t>
        </is>
      </c>
      <c r="M61" t="n">
        <v>237</v>
      </c>
      <c r="N61" t="n">
        <v>1</v>
      </c>
      <c r="Q61" t="n">
        <v>2781</v>
      </c>
      <c r="R61" t="n">
        <v>32</v>
      </c>
      <c r="S61" t="n">
        <v>32</v>
      </c>
      <c r="T61" t="n">
        <v>30.9</v>
      </c>
      <c r="U61" t="n">
        <v>86.90000000000001</v>
      </c>
      <c r="V61" t="n">
        <v>128</v>
      </c>
      <c r="W61" t="n">
        <v>4.142</v>
      </c>
      <c r="X61" t="n">
        <v>6</v>
      </c>
      <c r="Y61" t="n">
        <v>3</v>
      </c>
      <c r="Z61" t="n">
        <v>3</v>
      </c>
      <c r="AA61" t="n">
        <v>8</v>
      </c>
      <c r="AB61" t="n">
        <v>44</v>
      </c>
      <c r="AC61" t="n">
        <v>7</v>
      </c>
      <c r="AD61" t="n">
        <v>8</v>
      </c>
      <c r="AE61" t="n">
        <v>1</v>
      </c>
      <c r="AF61" t="n">
        <v>540</v>
      </c>
      <c r="AG61" t="n">
        <v>530</v>
      </c>
      <c r="AH61" t="n">
        <v>-10</v>
      </c>
      <c r="AI61" t="n">
        <v>129</v>
      </c>
      <c r="AJ61" t="n">
        <v>0.055</v>
      </c>
      <c r="AK61" t="n">
        <v>0.058</v>
      </c>
      <c r="AL61" t="n">
        <v>283</v>
      </c>
      <c r="AM61" t="n">
        <v>9.159000000000001</v>
      </c>
      <c r="AN61" t="n">
        <v>6</v>
      </c>
      <c r="AO61" t="n">
        <v>12</v>
      </c>
      <c r="AP61" t="n">
        <v>0.188</v>
      </c>
      <c r="AQ61" t="n">
        <v>0.406</v>
      </c>
      <c r="AR61" t="n">
        <v>0.188</v>
      </c>
      <c r="AS61" t="n">
        <v>0.842</v>
      </c>
      <c r="AT61" t="n">
        <v>1</v>
      </c>
      <c r="AU61" t="n">
        <v>16</v>
      </c>
      <c r="AV61" t="n">
        <v>1</v>
      </c>
      <c r="AW61" t="n">
        <v>2.81</v>
      </c>
      <c r="AX61" t="n">
        <v>10</v>
      </c>
      <c r="AY61" t="n">
        <v>6.68</v>
      </c>
      <c r="AZ61" t="n">
        <v>6.144</v>
      </c>
      <c r="BA61" t="n">
        <v>6.412</v>
      </c>
      <c r="BB61" t="n">
        <v>4.621</v>
      </c>
      <c r="BC61" t="n">
        <v>0.216</v>
      </c>
      <c r="BD61" t="n">
        <v>0.199</v>
      </c>
      <c r="BE61" t="n">
        <v>0.208</v>
      </c>
      <c r="BF61" t="n">
        <v>9.1</v>
      </c>
      <c r="BG61" t="n">
        <v>0.294</v>
      </c>
      <c r="BH61" t="n">
        <v>1.186</v>
      </c>
      <c r="BI61" t="n">
        <v>12.91</v>
      </c>
      <c r="BJ61" t="n">
        <v>7.923</v>
      </c>
      <c r="BK61" t="n">
        <v>0.256</v>
      </c>
      <c r="BL61" t="n">
        <v>-0.412</v>
      </c>
      <c r="BM61" t="n">
        <v>2.42</v>
      </c>
      <c r="BN61" t="n">
        <v>-3.1</v>
      </c>
      <c r="BO61" t="n">
        <v>0.536</v>
      </c>
      <c r="BP61" t="n">
        <v>43</v>
      </c>
      <c r="BQ61" t="n">
        <v>22</v>
      </c>
      <c r="BR61" t="n">
        <v>3</v>
      </c>
      <c r="BS61" t="n">
        <v>102</v>
      </c>
      <c r="BT61" t="n">
        <v>3.301</v>
      </c>
      <c r="BU61" t="n">
        <v>2</v>
      </c>
      <c r="BW61" t="n">
        <v>4.41</v>
      </c>
      <c r="BX61" t="n">
        <v>4.457</v>
      </c>
      <c r="BY61" t="n">
        <v>4.434</v>
      </c>
      <c r="BZ61" t="n">
        <v>0.143</v>
      </c>
      <c r="CA61" t="n">
        <v>10.845</v>
      </c>
      <c r="CB61" t="n">
        <v>0.351</v>
      </c>
      <c r="CC61" t="n">
        <v>30</v>
      </c>
      <c r="CD61" t="n">
        <v>7</v>
      </c>
      <c r="CE61" t="n">
        <v>30</v>
      </c>
      <c r="CF61" t="n">
        <v>7</v>
      </c>
      <c r="CG61" t="n">
        <v>2</v>
      </c>
      <c r="CI61" t="n">
        <v>15.464</v>
      </c>
      <c r="CJ61" t="n">
        <v>6.866</v>
      </c>
      <c r="CK61" t="n">
        <v>38</v>
      </c>
      <c r="CL61" t="n">
        <v>178</v>
      </c>
      <c r="CM61" t="n">
        <v>67</v>
      </c>
      <c r="CN61" t="n">
        <v>43</v>
      </c>
      <c r="CO61" t="n">
        <v>16</v>
      </c>
      <c r="CP61" t="n">
        <v>19</v>
      </c>
      <c r="CQ61" t="n">
        <v>2</v>
      </c>
      <c r="CR61" t="n">
        <v>191</v>
      </c>
      <c r="CS61" t="n">
        <v>11</v>
      </c>
      <c r="CT61" t="n">
        <v>0.8</v>
      </c>
      <c r="CV61" t="n">
        <v>1</v>
      </c>
      <c r="CW61" t="n">
        <v>42.68</v>
      </c>
      <c r="CX61" t="n">
        <v>1.381</v>
      </c>
      <c r="CY61" t="n">
        <v>0</v>
      </c>
      <c r="DB61" t="n">
        <v>0</v>
      </c>
      <c r="DE61" t="n">
        <v>7.22</v>
      </c>
      <c r="DF61" t="n">
        <v>2</v>
      </c>
      <c r="DG61" t="n">
        <v>0</v>
      </c>
      <c r="DH61" t="n">
        <v>30</v>
      </c>
      <c r="DI61" t="n">
        <v>37</v>
      </c>
      <c r="DL61" t="n">
        <v>73</v>
      </c>
      <c r="DM61" t="n">
        <v>64</v>
      </c>
      <c r="DN61" t="n">
        <v>12</v>
      </c>
      <c r="DO61" t="n">
        <v>15.4</v>
      </c>
      <c r="DP61" t="n">
        <v>163.51</v>
      </c>
      <c r="DQ61" t="n">
        <v>81.76000000000001</v>
      </c>
      <c r="DR61" t="n">
        <v>163.52</v>
      </c>
      <c r="DS61" t="n">
        <v>-0.01</v>
      </c>
      <c r="DT61" t="n">
        <v>3186</v>
      </c>
      <c r="DU61" t="n">
        <v>83.84999999999999</v>
      </c>
      <c r="DV61" t="inlineStr">
        <is>
          <t>flat</t>
        </is>
      </c>
      <c r="DW61" t="n">
        <v>55.8</v>
      </c>
      <c r="DX61" t="n">
        <v>61.28</v>
      </c>
      <c r="DY61" t="n">
        <v>22.04</v>
      </c>
      <c r="DZ61" t="n">
        <v>16</v>
      </c>
      <c r="EA61" t="n">
        <v>112</v>
      </c>
      <c r="EB61" t="n">
        <v>159</v>
      </c>
      <c r="EC61" t="n">
        <v>76.40000000000001</v>
      </c>
      <c r="ED61" t="n">
        <v>6.5</v>
      </c>
      <c r="EE61" t="n">
        <v>71</v>
      </c>
      <c r="EF61" t="n">
        <v>64.7</v>
      </c>
      <c r="EG61" t="n">
        <v>27.3</v>
      </c>
      <c r="EH61" t="n">
        <v>92.7</v>
      </c>
      <c r="EI61" t="n">
        <v>433.7</v>
      </c>
      <c r="EJ61" t="n">
        <v>627.3</v>
      </c>
      <c r="EK61" t="n">
        <v>256.4</v>
      </c>
      <c r="EL61" t="n">
        <v>21.7</v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n">
        <v>5</v>
      </c>
      <c r="F62" t="b">
        <v>1</v>
      </c>
      <c r="G62" t="b">
        <v>1</v>
      </c>
      <c r="H62" t="n">
        <v>26.4</v>
      </c>
      <c r="I62" t="inlineStr">
        <is>
          <t>a</t>
        </is>
      </c>
      <c r="L62" t="inlineStr">
        <is>
          <t>p427623</t>
        </is>
      </c>
      <c r="M62" t="n">
        <v>202</v>
      </c>
      <c r="Q62" t="n">
        <v>2825</v>
      </c>
      <c r="R62" t="n">
        <v>33</v>
      </c>
      <c r="S62" t="n">
        <v>31</v>
      </c>
      <c r="T62" t="n">
        <v>31.389</v>
      </c>
      <c r="U62" t="n">
        <v>85.59999999999999</v>
      </c>
      <c r="V62" t="n">
        <v>128</v>
      </c>
      <c r="W62" t="n">
        <v>4.078</v>
      </c>
      <c r="X62" t="n">
        <v>1</v>
      </c>
      <c r="Y62" t="n">
        <v>0</v>
      </c>
      <c r="AA62" t="n">
        <v>11</v>
      </c>
      <c r="AB62" t="n">
        <v>42</v>
      </c>
      <c r="AC62" t="n">
        <v>5</v>
      </c>
      <c r="AD62" t="n">
        <v>5</v>
      </c>
      <c r="AE62" t="n">
        <v>0</v>
      </c>
      <c r="AF62" t="n">
        <v>453</v>
      </c>
      <c r="AG62" t="n">
        <v>412</v>
      </c>
      <c r="AH62" t="n">
        <v>-41</v>
      </c>
      <c r="AI62" t="n">
        <v>128</v>
      </c>
      <c r="AJ62" t="n">
        <v>0.039</v>
      </c>
      <c r="AK62" t="n">
        <v>0.041</v>
      </c>
      <c r="AL62" t="n">
        <v>311</v>
      </c>
      <c r="AM62" t="n">
        <v>9.907999999999999</v>
      </c>
      <c r="AN62" t="n">
        <v>13</v>
      </c>
      <c r="AO62" t="n">
        <v>26</v>
      </c>
      <c r="AP62" t="n">
        <v>0.419</v>
      </c>
      <c r="AQ62" t="n">
        <v>0.419</v>
      </c>
      <c r="AR62" t="n">
        <v>0.258</v>
      </c>
      <c r="AS62" t="n">
        <v>0.8159999999999999</v>
      </c>
      <c r="AT62" t="n">
        <v>0.9389999999999999</v>
      </c>
      <c r="AU62" t="n">
        <v>14</v>
      </c>
      <c r="AV62" t="n">
        <v>1</v>
      </c>
      <c r="AW62" t="n">
        <v>2.96</v>
      </c>
      <c r="AX62" t="n">
        <v>10</v>
      </c>
      <c r="AY62" t="n">
        <v>2.42</v>
      </c>
      <c r="AZ62" t="n">
        <v>1.781</v>
      </c>
      <c r="BA62" t="n">
        <v>2.101</v>
      </c>
      <c r="BB62" t="n">
        <v>1.781</v>
      </c>
      <c r="BC62" t="n">
        <v>0.077</v>
      </c>
      <c r="BD62" t="n">
        <v>0.057</v>
      </c>
      <c r="BE62" t="n">
        <v>0.067</v>
      </c>
      <c r="BF62" t="n">
        <v>1.6</v>
      </c>
      <c r="BG62" t="n">
        <v>0.051</v>
      </c>
      <c r="BH62" t="n">
        <v>0.9340000000000001</v>
      </c>
      <c r="BI62" t="n">
        <v>5.06</v>
      </c>
      <c r="BJ62" t="n">
        <v>2.261</v>
      </c>
      <c r="BK62" t="n">
        <v>0.07199999999999999</v>
      </c>
      <c r="BL62" t="n">
        <v>-1.101</v>
      </c>
      <c r="BM62" t="n">
        <v>-0.82</v>
      </c>
      <c r="BN62" t="n">
        <v>-0.6</v>
      </c>
      <c r="BO62" t="n">
        <v>0.639</v>
      </c>
      <c r="BP62" t="n">
        <v>15</v>
      </c>
      <c r="BQ62" t="n">
        <v>2</v>
      </c>
      <c r="BR62" t="n">
        <v>1</v>
      </c>
      <c r="BS62" t="n">
        <v>44</v>
      </c>
      <c r="BT62" t="n">
        <v>1.402</v>
      </c>
      <c r="BV62" t="n">
        <v>1</v>
      </c>
      <c r="BW62" t="n">
        <v>1.56</v>
      </c>
      <c r="BX62" t="n">
        <v>0.488</v>
      </c>
      <c r="BY62" t="n">
        <v>1.024</v>
      </c>
      <c r="BZ62" t="n">
        <v>0.033</v>
      </c>
      <c r="CA62" t="n">
        <v>3.124</v>
      </c>
      <c r="CB62" t="n">
        <v>0.1</v>
      </c>
      <c r="CC62" t="n">
        <v>9</v>
      </c>
      <c r="CD62" t="n">
        <v>1</v>
      </c>
      <c r="CE62" t="n">
        <v>9</v>
      </c>
      <c r="CF62" t="n">
        <v>5</v>
      </c>
      <c r="CI62" t="n">
        <v>7.81</v>
      </c>
      <c r="CJ62" t="n">
        <v>7.503</v>
      </c>
      <c r="CK62" t="n">
        <v>257</v>
      </c>
      <c r="CL62" t="n">
        <v>65</v>
      </c>
      <c r="CM62" t="n">
        <v>54</v>
      </c>
      <c r="CN62" t="n">
        <v>35</v>
      </c>
      <c r="CO62" t="n">
        <v>43</v>
      </c>
      <c r="CP62" t="n">
        <v>196</v>
      </c>
      <c r="CQ62" t="n">
        <v>19</v>
      </c>
      <c r="CR62" t="n">
        <v>170</v>
      </c>
      <c r="CS62" t="n">
        <v>107</v>
      </c>
      <c r="CU62" t="n">
        <v>2</v>
      </c>
      <c r="CV62" t="n">
        <v>2</v>
      </c>
      <c r="CW62" t="n">
        <v>41.19</v>
      </c>
      <c r="CX62" t="n">
        <v>1.312</v>
      </c>
      <c r="CY62" t="n">
        <v>0</v>
      </c>
      <c r="DB62" t="n">
        <v>0</v>
      </c>
      <c r="DE62" t="n">
        <v>6.87</v>
      </c>
      <c r="DF62" t="n">
        <v>4</v>
      </c>
      <c r="DG62" t="n">
        <v>0</v>
      </c>
      <c r="DH62" t="n">
        <v>18</v>
      </c>
      <c r="DI62" t="n">
        <v>5</v>
      </c>
      <c r="DL62" t="n">
        <v>4</v>
      </c>
      <c r="DM62" t="n">
        <v>11</v>
      </c>
      <c r="DO62" t="n">
        <v>0.8</v>
      </c>
      <c r="DP62" t="n">
        <v>136.92</v>
      </c>
      <c r="DQ62" t="n">
        <v>68.45999999999999</v>
      </c>
      <c r="DR62" t="n">
        <v>136.92</v>
      </c>
      <c r="DS62" t="n">
        <v>0</v>
      </c>
      <c r="DT62" t="n">
        <v>3283</v>
      </c>
      <c r="DU62" t="n">
        <v>86.40000000000001</v>
      </c>
      <c r="DV62" t="inlineStr">
        <is>
          <t>flat</t>
        </is>
      </c>
      <c r="DW62" t="n">
        <v>91.16</v>
      </c>
      <c r="DX62" t="n">
        <v>98.04000000000001</v>
      </c>
      <c r="DY62" t="n">
        <v>14.78</v>
      </c>
      <c r="DZ62" t="n">
        <v>53.5</v>
      </c>
      <c r="EA62" t="n">
        <v>119</v>
      </c>
      <c r="EB62" t="n">
        <v>95</v>
      </c>
      <c r="EC62" t="n">
        <v>45.7</v>
      </c>
      <c r="ED62" t="n">
        <v>17.4</v>
      </c>
      <c r="EE62" t="n">
        <v>228</v>
      </c>
      <c r="EF62" t="n">
        <v>188.3</v>
      </c>
      <c r="EG62" t="n">
        <v>64.2</v>
      </c>
      <c r="EH62" t="n">
        <v>313.9</v>
      </c>
      <c r="EI62" t="n">
        <v>1344.8</v>
      </c>
      <c r="EJ62" t="n">
        <v>2759.4</v>
      </c>
      <c r="EK62" t="n">
        <v>904.1</v>
      </c>
      <c r="EL62" t="n">
        <v>22.1</v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n">
        <v>6</v>
      </c>
      <c r="F63" t="b">
        <v>1</v>
      </c>
      <c r="G63" t="b">
        <v>1</v>
      </c>
      <c r="H63" t="n">
        <v>26.7</v>
      </c>
      <c r="I63" t="inlineStr">
        <is>
          <t>a</t>
        </is>
      </c>
      <c r="L63" t="inlineStr">
        <is>
          <t>p444180</t>
        </is>
      </c>
      <c r="M63" t="n">
        <v>105</v>
      </c>
      <c r="Q63" t="n">
        <v>2717</v>
      </c>
      <c r="R63" t="n">
        <v>37</v>
      </c>
      <c r="S63" t="n">
        <v>32</v>
      </c>
      <c r="T63" t="n">
        <v>30.189</v>
      </c>
      <c r="U63" t="n">
        <v>73.40000000000001</v>
      </c>
      <c r="V63" t="n">
        <v>127</v>
      </c>
      <c r="W63" t="n">
        <v>4.207</v>
      </c>
      <c r="X63" t="n">
        <v>8</v>
      </c>
      <c r="Y63" t="n">
        <v>4</v>
      </c>
      <c r="Z63" t="n">
        <v>2</v>
      </c>
      <c r="AA63" t="n">
        <v>4</v>
      </c>
      <c r="AB63" t="n">
        <v>59</v>
      </c>
      <c r="AC63" t="n">
        <v>6</v>
      </c>
      <c r="AD63" t="n">
        <v>6</v>
      </c>
      <c r="AE63" t="n">
        <v>0</v>
      </c>
      <c r="AF63" t="n">
        <v>513</v>
      </c>
      <c r="AG63" t="n">
        <v>503</v>
      </c>
      <c r="AH63" t="n">
        <v>-10</v>
      </c>
      <c r="AI63" t="n">
        <v>127</v>
      </c>
      <c r="AJ63" t="n">
        <v>0.047</v>
      </c>
      <c r="AK63" t="n">
        <v>0.05</v>
      </c>
      <c r="AL63" t="n">
        <v>232</v>
      </c>
      <c r="AM63" t="n">
        <v>7.685</v>
      </c>
      <c r="AN63" t="n">
        <v>1</v>
      </c>
      <c r="AO63" t="n">
        <v>2</v>
      </c>
      <c r="AP63" t="n">
        <v>0.031</v>
      </c>
      <c r="AQ63" t="n">
        <v>0.25</v>
      </c>
      <c r="AR63" t="n">
        <v>0.031</v>
      </c>
      <c r="AS63" t="n">
        <v>0.842</v>
      </c>
      <c r="AT63" t="n">
        <v>0.8110000000000001</v>
      </c>
      <c r="AU63" t="n">
        <v>24</v>
      </c>
      <c r="AV63" t="n">
        <v>3</v>
      </c>
      <c r="AW63" t="n">
        <v>2.93</v>
      </c>
      <c r="AX63" t="n">
        <v>13</v>
      </c>
      <c r="AY63" t="n">
        <v>5.11</v>
      </c>
      <c r="AZ63" t="n">
        <v>5.564</v>
      </c>
      <c r="BA63" t="n">
        <v>5.337</v>
      </c>
      <c r="BB63" t="n">
        <v>5.564</v>
      </c>
      <c r="BC63" t="n">
        <v>0.169</v>
      </c>
      <c r="BD63" t="n">
        <v>0.184</v>
      </c>
      <c r="BE63" t="n">
        <v>0.177</v>
      </c>
      <c r="BF63" t="n">
        <v>8.199999999999999</v>
      </c>
      <c r="BG63" t="n">
        <v>0.272</v>
      </c>
      <c r="BH63" t="n">
        <v>1.244</v>
      </c>
      <c r="BI63" t="n">
        <v>6.87</v>
      </c>
      <c r="BJ63" t="n">
        <v>6.357</v>
      </c>
      <c r="BK63" t="n">
        <v>0.211</v>
      </c>
      <c r="BL63" t="n">
        <v>2.663</v>
      </c>
      <c r="BM63" t="n">
        <v>3.09</v>
      </c>
      <c r="BN63" t="n">
        <v>-0.2</v>
      </c>
      <c r="BO63" t="n">
        <v>-0.454</v>
      </c>
      <c r="BP63" t="n">
        <v>55</v>
      </c>
      <c r="BQ63" t="n">
        <v>23</v>
      </c>
      <c r="BR63" t="n">
        <v>3</v>
      </c>
      <c r="BS63" t="n">
        <v>108</v>
      </c>
      <c r="BT63" t="n">
        <v>3.577</v>
      </c>
      <c r="BW63" t="n">
        <v>2.85</v>
      </c>
      <c r="BX63" t="n">
        <v>4.374</v>
      </c>
      <c r="BY63" t="n">
        <v>3.612</v>
      </c>
      <c r="BZ63" t="n">
        <v>0.12</v>
      </c>
      <c r="CA63" t="n">
        <v>8.949</v>
      </c>
      <c r="CB63" t="n">
        <v>0.296</v>
      </c>
      <c r="CC63" t="n">
        <v>37</v>
      </c>
      <c r="CD63" t="n">
        <v>6</v>
      </c>
      <c r="CE63" t="n">
        <v>37</v>
      </c>
      <c r="CF63" t="n">
        <v>14</v>
      </c>
      <c r="CG63" t="n">
        <v>2</v>
      </c>
      <c r="CH63" t="n">
        <v>27</v>
      </c>
      <c r="CI63" t="n">
        <v>12.433</v>
      </c>
      <c r="CJ63" t="n">
        <v>5.834</v>
      </c>
      <c r="CK63" t="n">
        <v>49</v>
      </c>
      <c r="CL63" t="n">
        <v>141</v>
      </c>
      <c r="CM63" t="n">
        <v>42</v>
      </c>
      <c r="CN63" t="n">
        <v>22</v>
      </c>
      <c r="CO63" t="n">
        <v>15</v>
      </c>
      <c r="CP63" t="n">
        <v>27</v>
      </c>
      <c r="CQ63" t="n">
        <v>7</v>
      </c>
      <c r="CR63" t="n">
        <v>134</v>
      </c>
      <c r="CS63" t="n">
        <v>12</v>
      </c>
      <c r="CT63" t="n">
        <v>0.8</v>
      </c>
      <c r="CV63" t="n">
        <v>3</v>
      </c>
      <c r="CW63" t="n">
        <v>59</v>
      </c>
      <c r="CX63" t="n">
        <v>1.954</v>
      </c>
      <c r="CY63" t="n">
        <v>0</v>
      </c>
      <c r="DB63" t="n">
        <v>0</v>
      </c>
      <c r="DE63" t="n">
        <v>6.86</v>
      </c>
      <c r="DF63" t="n">
        <v>4</v>
      </c>
      <c r="DG63" t="n">
        <v>0</v>
      </c>
      <c r="DH63" t="n">
        <v>28</v>
      </c>
      <c r="DI63" t="n">
        <v>47</v>
      </c>
      <c r="DJ63" t="n">
        <v>1</v>
      </c>
      <c r="DK63" t="n">
        <v>1</v>
      </c>
      <c r="DL63" t="n">
        <v>36</v>
      </c>
      <c r="DM63" t="n">
        <v>41</v>
      </c>
      <c r="DN63" t="n">
        <v>9</v>
      </c>
      <c r="DO63" t="n">
        <v>0.2</v>
      </c>
      <c r="DP63" t="n">
        <v>41.33</v>
      </c>
      <c r="DQ63" t="n">
        <v>20.7</v>
      </c>
      <c r="DR63" t="n">
        <v>41.4</v>
      </c>
      <c r="DS63" t="n">
        <v>-0.07000000000000001</v>
      </c>
      <c r="DT63" t="n">
        <v>716</v>
      </c>
      <c r="DU63" t="n">
        <v>18.85</v>
      </c>
      <c r="DV63" t="inlineStr">
        <is>
          <t>flat</t>
        </is>
      </c>
      <c r="DW63" t="n">
        <v>94.53</v>
      </c>
      <c r="DY63" t="n">
        <v>15.32</v>
      </c>
      <c r="DZ63" t="n">
        <v>70.40000000000001</v>
      </c>
      <c r="EA63" t="n">
        <v>120</v>
      </c>
      <c r="EB63" t="n">
        <v>10</v>
      </c>
      <c r="EC63" t="n">
        <v>4.8</v>
      </c>
      <c r="ED63" t="n">
        <v>16.7</v>
      </c>
      <c r="EE63" t="n">
        <v>108</v>
      </c>
      <c r="EF63" t="n">
        <v>49.4</v>
      </c>
      <c r="EG63" t="n">
        <v>25.2</v>
      </c>
      <c r="EH63" t="n">
        <v>73.40000000000001</v>
      </c>
      <c r="EI63" t="n">
        <v>509.1</v>
      </c>
      <c r="EJ63" t="n">
        <v>752.2</v>
      </c>
      <c r="EK63" t="n">
        <v>303.6</v>
      </c>
      <c r="EL63" t="n">
        <v>21.4</v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n">
        <v>5</v>
      </c>
      <c r="F64" t="b">
        <v>1</v>
      </c>
      <c r="G64" t="b">
        <v>1</v>
      </c>
      <c r="H64" t="n">
        <v>25</v>
      </c>
      <c r="I64" t="inlineStr">
        <is>
          <t>a</t>
        </is>
      </c>
      <c r="L64" t="inlineStr">
        <is>
          <t>p465642</t>
        </is>
      </c>
      <c r="M64" t="n">
        <v>445</v>
      </c>
      <c r="Q64" t="n">
        <v>2963</v>
      </c>
      <c r="R64" t="n">
        <v>35</v>
      </c>
      <c r="S64" t="n">
        <v>33</v>
      </c>
      <c r="T64" t="n">
        <v>32.922</v>
      </c>
      <c r="U64" t="n">
        <v>84.7</v>
      </c>
      <c r="V64" t="n">
        <v>126</v>
      </c>
      <c r="W64" t="n">
        <v>3.827</v>
      </c>
      <c r="X64" t="n">
        <v>4</v>
      </c>
      <c r="Y64" t="n">
        <v>0</v>
      </c>
      <c r="AA64" t="n">
        <v>5</v>
      </c>
      <c r="AB64" t="n">
        <v>52</v>
      </c>
      <c r="AC64" t="n">
        <v>12</v>
      </c>
      <c r="AD64" t="n">
        <v>9</v>
      </c>
      <c r="AE64" t="n">
        <v>-3</v>
      </c>
      <c r="AF64" t="n">
        <v>436</v>
      </c>
      <c r="AG64" t="n">
        <v>394</v>
      </c>
      <c r="AH64" t="n">
        <v>-42</v>
      </c>
      <c r="AI64" t="n">
        <v>123</v>
      </c>
      <c r="AJ64" t="n">
        <v>0.095</v>
      </c>
      <c r="AK64" t="n">
        <v>0.105</v>
      </c>
      <c r="AL64" t="n">
        <v>292</v>
      </c>
      <c r="AM64" t="n">
        <v>8.869</v>
      </c>
      <c r="AN64" t="n">
        <v>12</v>
      </c>
      <c r="AO64" t="n">
        <v>24</v>
      </c>
      <c r="AP64" t="n">
        <v>0.364</v>
      </c>
      <c r="AQ64" t="n">
        <v>0.364</v>
      </c>
      <c r="AR64" t="n">
        <v>0.182</v>
      </c>
      <c r="AS64" t="n">
        <v>0.868</v>
      </c>
      <c r="AT64" t="n">
        <v>0.914</v>
      </c>
      <c r="AU64" t="n">
        <v>21</v>
      </c>
      <c r="AV64" t="n">
        <v>3</v>
      </c>
      <c r="AW64" t="n">
        <v>4.19</v>
      </c>
      <c r="AX64" t="n">
        <v>17</v>
      </c>
      <c r="AY64" t="n">
        <v>4.8</v>
      </c>
      <c r="AZ64" t="n">
        <v>5.898</v>
      </c>
      <c r="BA64" t="n">
        <v>5.349</v>
      </c>
      <c r="BB64" t="n">
        <v>5.898</v>
      </c>
      <c r="BC64" t="n">
        <v>0.146</v>
      </c>
      <c r="BD64" t="n">
        <v>0.179</v>
      </c>
      <c r="BE64" t="n">
        <v>0.162</v>
      </c>
      <c r="BF64" t="n">
        <v>5.3</v>
      </c>
      <c r="BG64" t="n">
        <v>0.161</v>
      </c>
      <c r="BH64" t="n">
        <v>1.039</v>
      </c>
      <c r="BI64" t="n">
        <v>4.8</v>
      </c>
      <c r="BJ64" t="n">
        <v>4.988</v>
      </c>
      <c r="BK64" t="n">
        <v>0.152</v>
      </c>
      <c r="BL64" t="n">
        <v>-1.349</v>
      </c>
      <c r="BM64" t="n">
        <v>0.5</v>
      </c>
      <c r="BN64" t="n">
        <v>-1.3</v>
      </c>
      <c r="BO64" t="n">
        <v>-1.098</v>
      </c>
      <c r="BP64" t="n">
        <v>28</v>
      </c>
      <c r="BQ64" t="n">
        <v>14</v>
      </c>
      <c r="BR64" t="n">
        <v>6</v>
      </c>
      <c r="BS64" t="n">
        <v>50</v>
      </c>
      <c r="BT64" t="n">
        <v>1.519</v>
      </c>
      <c r="BV64" t="n">
        <v>2</v>
      </c>
      <c r="BW64" t="n">
        <v>0.96</v>
      </c>
      <c r="BX64" t="n">
        <v>0.827</v>
      </c>
      <c r="BY64" t="n">
        <v>0.893</v>
      </c>
      <c r="BZ64" t="n">
        <v>0.027</v>
      </c>
      <c r="CA64" t="n">
        <v>6.242</v>
      </c>
      <c r="CB64" t="n">
        <v>0.19</v>
      </c>
      <c r="CC64" t="n">
        <v>6</v>
      </c>
      <c r="CD64" t="n">
        <v>1</v>
      </c>
      <c r="CE64" t="n">
        <v>6</v>
      </c>
      <c r="CF64" t="n">
        <v>1</v>
      </c>
      <c r="CI64" t="n">
        <v>9.148</v>
      </c>
      <c r="CJ64" t="n">
        <v>8.645</v>
      </c>
      <c r="CK64" t="n">
        <v>248</v>
      </c>
      <c r="CL64" t="n">
        <v>118</v>
      </c>
      <c r="CM64" t="n">
        <v>44</v>
      </c>
      <c r="CN64" t="n">
        <v>32</v>
      </c>
      <c r="CO64" t="n">
        <v>31</v>
      </c>
      <c r="CP64" t="n">
        <v>184</v>
      </c>
      <c r="CQ64" t="n">
        <v>33</v>
      </c>
      <c r="CR64" t="n">
        <v>176</v>
      </c>
      <c r="CS64" t="n">
        <v>114</v>
      </c>
      <c r="CU64" t="n">
        <v>2</v>
      </c>
      <c r="CV64" t="n">
        <v>4</v>
      </c>
      <c r="CW64" t="n">
        <v>49.21</v>
      </c>
      <c r="CX64" t="n">
        <v>1.495</v>
      </c>
      <c r="CY64" t="n">
        <v>0</v>
      </c>
      <c r="DB64" t="n">
        <v>0</v>
      </c>
      <c r="DD64" t="n">
        <v>0</v>
      </c>
      <c r="DE64" t="n">
        <v>7.03</v>
      </c>
      <c r="DF64" t="n">
        <v>4</v>
      </c>
      <c r="DG64" t="n">
        <v>0</v>
      </c>
      <c r="DH64" t="n">
        <v>24</v>
      </c>
      <c r="DI64" t="n">
        <v>11</v>
      </c>
      <c r="DK64" t="n">
        <v>1</v>
      </c>
      <c r="DL64" t="n">
        <v>8</v>
      </c>
      <c r="DM64" t="n">
        <v>3</v>
      </c>
      <c r="DN64" t="n">
        <v>2</v>
      </c>
      <c r="DO64" t="n">
        <v>2</v>
      </c>
      <c r="DP64" t="n">
        <v>133.59</v>
      </c>
      <c r="DQ64" t="n">
        <v>66.8</v>
      </c>
      <c r="DR64" t="n">
        <v>133.6</v>
      </c>
      <c r="DS64" t="n">
        <v>-0.01</v>
      </c>
      <c r="DT64" t="n">
        <v>3243</v>
      </c>
      <c r="DU64" t="n">
        <v>85.34999999999999</v>
      </c>
      <c r="DV64" t="inlineStr">
        <is>
          <t>flat</t>
        </is>
      </c>
      <c r="DW64" t="n">
        <v>82.97</v>
      </c>
      <c r="DX64" t="n">
        <v>94</v>
      </c>
      <c r="DY64" t="n">
        <v>18.45</v>
      </c>
      <c r="DZ64" t="n">
        <v>40.62</v>
      </c>
      <c r="EA64" t="n">
        <v>120</v>
      </c>
      <c r="EB64" t="n">
        <v>118</v>
      </c>
      <c r="EC64" t="n">
        <v>56.7</v>
      </c>
      <c r="ED64" t="n">
        <v>14.5</v>
      </c>
      <c r="EE64" t="n">
        <v>230</v>
      </c>
      <c r="EF64" t="n">
        <v>105.8</v>
      </c>
      <c r="EG64" t="n">
        <v>59.3</v>
      </c>
      <c r="EH64" t="n">
        <v>493.8</v>
      </c>
      <c r="EI64" t="n">
        <v>553.9</v>
      </c>
      <c r="EJ64" t="n">
        <v>3316.4</v>
      </c>
      <c r="EK64" t="n">
        <v>474.7</v>
      </c>
      <c r="EL64" t="n">
        <v>23.5</v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n">
        <v>5.5</v>
      </c>
      <c r="F65" t="b">
        <v>1</v>
      </c>
      <c r="G65" t="b">
        <v>1</v>
      </c>
      <c r="H65" t="n">
        <v>25.8</v>
      </c>
      <c r="I65" t="inlineStr">
        <is>
          <t>a</t>
        </is>
      </c>
      <c r="L65" t="inlineStr">
        <is>
          <t>p427637</t>
        </is>
      </c>
      <c r="M65" t="n">
        <v>337</v>
      </c>
      <c r="P65" t="n">
        <v>3</v>
      </c>
      <c r="Q65" t="n">
        <v>2449</v>
      </c>
      <c r="R65" t="n">
        <v>37</v>
      </c>
      <c r="S65" t="n">
        <v>30</v>
      </c>
      <c r="T65" t="n">
        <v>27.211</v>
      </c>
      <c r="U65" t="n">
        <v>66.2</v>
      </c>
      <c r="V65" t="n">
        <v>126</v>
      </c>
      <c r="W65" t="n">
        <v>4.63</v>
      </c>
      <c r="X65" t="n">
        <v>4</v>
      </c>
      <c r="Y65" t="n">
        <v>8</v>
      </c>
      <c r="Z65" t="n">
        <v>5</v>
      </c>
      <c r="AA65" t="n">
        <v>9</v>
      </c>
      <c r="AB65" t="n">
        <v>32</v>
      </c>
      <c r="AC65" t="n">
        <v>5</v>
      </c>
      <c r="AD65" t="n">
        <v>6</v>
      </c>
      <c r="AE65" t="n">
        <v>1</v>
      </c>
      <c r="AF65" t="n">
        <v>446</v>
      </c>
      <c r="AG65" t="n">
        <v>436</v>
      </c>
      <c r="AH65" t="n">
        <v>-10</v>
      </c>
      <c r="AI65" t="n">
        <v>127</v>
      </c>
      <c r="AJ65" t="n">
        <v>0.04</v>
      </c>
      <c r="AK65" t="n">
        <v>0.041</v>
      </c>
      <c r="AL65" t="n">
        <v>216</v>
      </c>
      <c r="AM65" t="n">
        <v>7.938</v>
      </c>
      <c r="AN65" t="n">
        <v>3</v>
      </c>
      <c r="AO65" t="n">
        <v>6</v>
      </c>
      <c r="AP65" t="n">
        <v>0.1</v>
      </c>
      <c r="AQ65" t="n">
        <v>0.167</v>
      </c>
      <c r="AR65" t="n">
        <v>0.1</v>
      </c>
      <c r="AS65" t="n">
        <v>0.789</v>
      </c>
      <c r="AT65" t="n">
        <v>0.757</v>
      </c>
      <c r="AU65" t="n">
        <v>19</v>
      </c>
      <c r="AV65" t="n">
        <v>2</v>
      </c>
      <c r="AW65" t="n">
        <v>2.85</v>
      </c>
      <c r="AX65" t="n">
        <v>14</v>
      </c>
      <c r="AY65" t="n">
        <v>4.53</v>
      </c>
      <c r="AZ65" t="n">
        <v>5.881</v>
      </c>
      <c r="BA65" t="n">
        <v>5.206</v>
      </c>
      <c r="BB65" t="n">
        <v>5.881</v>
      </c>
      <c r="BC65" t="n">
        <v>0.166</v>
      </c>
      <c r="BD65" t="n">
        <v>0.216</v>
      </c>
      <c r="BE65" t="n">
        <v>0.191</v>
      </c>
      <c r="BF65" t="n">
        <v>4.5</v>
      </c>
      <c r="BG65" t="n">
        <v>0.165</v>
      </c>
      <c r="BH65" t="n">
        <v>0.957</v>
      </c>
      <c r="BI65" t="n">
        <v>8.51</v>
      </c>
      <c r="BJ65" t="n">
        <v>4.335</v>
      </c>
      <c r="BK65" t="n">
        <v>0.159</v>
      </c>
      <c r="BL65" t="n">
        <v>-1.206</v>
      </c>
      <c r="BM65" t="n">
        <v>-0.03</v>
      </c>
      <c r="BN65" t="n">
        <v>-0.5</v>
      </c>
      <c r="BO65" t="n">
        <v>-1.351</v>
      </c>
      <c r="BP65" t="n">
        <v>47</v>
      </c>
      <c r="BQ65" t="n">
        <v>17</v>
      </c>
      <c r="BR65" t="n">
        <v>4</v>
      </c>
      <c r="BS65" t="n">
        <v>98</v>
      </c>
      <c r="BT65" t="n">
        <v>3.601</v>
      </c>
      <c r="BW65" t="n">
        <v>3.6</v>
      </c>
      <c r="BX65" t="n">
        <v>5.663</v>
      </c>
      <c r="BY65" t="n">
        <v>4.631</v>
      </c>
      <c r="BZ65" t="n">
        <v>0.17</v>
      </c>
      <c r="CA65" t="n">
        <v>9.837</v>
      </c>
      <c r="CB65" t="n">
        <v>0.362</v>
      </c>
      <c r="CC65" t="n">
        <v>34</v>
      </c>
      <c r="CD65" t="n">
        <v>9</v>
      </c>
      <c r="CE65" t="n">
        <v>34</v>
      </c>
      <c r="CF65" t="n">
        <v>10</v>
      </c>
      <c r="CG65" t="n">
        <v>3</v>
      </c>
      <c r="CH65" t="n">
        <v>0</v>
      </c>
      <c r="CI65" t="n">
        <v>13.204</v>
      </c>
      <c r="CJ65" t="n">
        <v>3.488</v>
      </c>
      <c r="CK65" t="n">
        <v>36</v>
      </c>
      <c r="CL65" t="n">
        <v>130</v>
      </c>
      <c r="CM65" t="n">
        <v>50</v>
      </c>
      <c r="CN65" t="n">
        <v>25</v>
      </c>
      <c r="CO65" t="n">
        <v>15</v>
      </c>
      <c r="CP65" t="n">
        <v>17</v>
      </c>
      <c r="CQ65" t="n">
        <v>4</v>
      </c>
      <c r="CR65" t="n">
        <v>156</v>
      </c>
      <c r="CS65" t="n">
        <v>24</v>
      </c>
      <c r="CT65" t="n">
        <v>0.6</v>
      </c>
      <c r="CW65" t="n">
        <v>37.07</v>
      </c>
      <c r="CX65" t="n">
        <v>1.362</v>
      </c>
      <c r="CY65" t="n">
        <v>0</v>
      </c>
      <c r="DB65" t="n">
        <v>0</v>
      </c>
      <c r="DE65" t="n">
        <v>6.69</v>
      </c>
      <c r="DF65" t="n">
        <v>3</v>
      </c>
      <c r="DG65" t="n">
        <v>0</v>
      </c>
      <c r="DH65" t="n">
        <v>20</v>
      </c>
      <c r="DI65" t="n">
        <v>51</v>
      </c>
      <c r="DK65" t="n">
        <v>1</v>
      </c>
      <c r="DL65" t="n">
        <v>31</v>
      </c>
      <c r="DM65" t="n">
        <v>74</v>
      </c>
      <c r="DN65" t="n">
        <v>5</v>
      </c>
      <c r="DO65" t="n">
        <v>0.9</v>
      </c>
      <c r="DP65" t="n">
        <v>53.67</v>
      </c>
      <c r="DQ65" t="n">
        <v>26.99</v>
      </c>
      <c r="DR65" t="n">
        <v>53.98</v>
      </c>
      <c r="DS65" t="n">
        <v>-0.31</v>
      </c>
      <c r="DT65" t="n">
        <v>1035</v>
      </c>
      <c r="DU65" t="n">
        <v>27.24</v>
      </c>
      <c r="DV65" t="inlineStr">
        <is>
          <t>flat</t>
        </is>
      </c>
      <c r="DW65" t="n">
        <v>89.45999999999999</v>
      </c>
      <c r="DY65" t="n">
        <v>22.24</v>
      </c>
      <c r="DZ65" t="n">
        <v>39.2</v>
      </c>
      <c r="EA65" t="n">
        <v>116</v>
      </c>
      <c r="EB65" t="n">
        <v>21</v>
      </c>
      <c r="EC65" t="n">
        <v>10.1</v>
      </c>
      <c r="ED65" t="n">
        <v>4.5</v>
      </c>
      <c r="EE65" t="n">
        <v>120</v>
      </c>
      <c r="EF65" t="n">
        <v>52.1</v>
      </c>
      <c r="EG65" t="n">
        <v>25</v>
      </c>
      <c r="EH65" t="n">
        <v>72</v>
      </c>
      <c r="EI65" t="n">
        <v>470.5</v>
      </c>
      <c r="EJ65" t="n">
        <v>528.8</v>
      </c>
      <c r="EK65" t="n">
        <v>249</v>
      </c>
      <c r="EL65" t="n">
        <v>19.4</v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n">
        <v>6</v>
      </c>
      <c r="F66" t="b">
        <v>1</v>
      </c>
      <c r="G66" t="b">
        <v>1</v>
      </c>
      <c r="H66" t="n">
        <v>35.7</v>
      </c>
      <c r="I66" t="inlineStr">
        <is>
          <t>a</t>
        </is>
      </c>
      <c r="L66" t="inlineStr">
        <is>
          <t>p50175</t>
        </is>
      </c>
      <c r="M66" t="n">
        <v>136</v>
      </c>
      <c r="Q66" t="n">
        <v>2249</v>
      </c>
      <c r="R66" t="n">
        <v>37</v>
      </c>
      <c r="S66" t="n">
        <v>26</v>
      </c>
      <c r="T66" t="n">
        <v>24.989</v>
      </c>
      <c r="U66" t="n">
        <v>60.8</v>
      </c>
      <c r="V66" t="n">
        <v>126</v>
      </c>
      <c r="W66" t="n">
        <v>5.042</v>
      </c>
      <c r="X66" t="n">
        <v>13</v>
      </c>
      <c r="Y66" t="n">
        <v>1</v>
      </c>
      <c r="Z66" t="n">
        <v>1</v>
      </c>
      <c r="AA66" t="n">
        <v>10</v>
      </c>
      <c r="AB66" t="n">
        <v>28</v>
      </c>
      <c r="AC66" t="n">
        <v>18</v>
      </c>
      <c r="AD66" t="n">
        <v>18</v>
      </c>
      <c r="AE66" t="n">
        <v>0</v>
      </c>
      <c r="AF66" t="n">
        <v>511</v>
      </c>
      <c r="AG66" t="n">
        <v>500</v>
      </c>
      <c r="AH66" t="n">
        <v>-11</v>
      </c>
      <c r="AI66" t="n">
        <v>126</v>
      </c>
      <c r="AJ66" t="n">
        <v>0.143</v>
      </c>
      <c r="AK66" t="n">
        <v>0.167</v>
      </c>
      <c r="AL66" t="n">
        <v>112</v>
      </c>
      <c r="AM66" t="n">
        <v>4.482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0.6840000000000001</v>
      </c>
      <c r="AT66" t="n">
        <v>0.676</v>
      </c>
      <c r="AU66" t="n">
        <v>26</v>
      </c>
      <c r="AV66" t="n">
        <v>3</v>
      </c>
      <c r="AW66" t="n">
        <v>3.48</v>
      </c>
      <c r="AX66" t="n">
        <v>13</v>
      </c>
      <c r="AY66" t="n">
        <v>12.36</v>
      </c>
      <c r="AZ66" t="n">
        <v>12.719</v>
      </c>
      <c r="BA66" t="n">
        <v>12.539</v>
      </c>
      <c r="BB66" t="n">
        <v>10.435</v>
      </c>
      <c r="BC66" t="n">
        <v>0.495</v>
      </c>
      <c r="BD66" t="n">
        <v>0.509</v>
      </c>
      <c r="BE66" t="n">
        <v>0.502</v>
      </c>
      <c r="BF66" t="n">
        <v>11.9</v>
      </c>
      <c r="BG66" t="n">
        <v>0.476</v>
      </c>
      <c r="BH66" t="n">
        <v>0.986</v>
      </c>
      <c r="BI66" t="n">
        <v>35.62</v>
      </c>
      <c r="BJ66" t="n">
        <v>12.184</v>
      </c>
      <c r="BK66" t="n">
        <v>0.488</v>
      </c>
      <c r="BL66" t="n">
        <v>0.461</v>
      </c>
      <c r="BM66" t="n">
        <v>-0.46</v>
      </c>
      <c r="BN66" t="n">
        <v>1.1</v>
      </c>
      <c r="BO66" t="n">
        <v>-0.359</v>
      </c>
      <c r="BP66" t="n">
        <v>56</v>
      </c>
      <c r="BQ66" t="n">
        <v>28</v>
      </c>
      <c r="BR66" t="n">
        <v>11</v>
      </c>
      <c r="BS66" t="n">
        <v>114</v>
      </c>
      <c r="BT66" t="n">
        <v>4.562</v>
      </c>
      <c r="BU66" t="n">
        <v>1</v>
      </c>
      <c r="BV66" t="n">
        <v>2</v>
      </c>
      <c r="BW66" t="n">
        <v>1.4</v>
      </c>
      <c r="BX66" t="n">
        <v>2.263</v>
      </c>
      <c r="BY66" t="n">
        <v>1.831</v>
      </c>
      <c r="BZ66" t="n">
        <v>0.073</v>
      </c>
      <c r="CA66" t="n">
        <v>14.371</v>
      </c>
      <c r="CB66" t="n">
        <v>0.575</v>
      </c>
      <c r="CC66" t="n">
        <v>20</v>
      </c>
      <c r="CD66" t="n">
        <v>4</v>
      </c>
      <c r="CE66" t="n">
        <v>20</v>
      </c>
      <c r="CF66" t="n">
        <v>0</v>
      </c>
      <c r="CG66" t="n">
        <v>3</v>
      </c>
      <c r="CH66" t="n">
        <v>0</v>
      </c>
      <c r="CI66" t="n">
        <v>14.985</v>
      </c>
      <c r="CJ66" t="n">
        <v>4.797</v>
      </c>
      <c r="CK66" t="n">
        <v>39</v>
      </c>
      <c r="CL66" t="n">
        <v>49</v>
      </c>
      <c r="CM66" t="n">
        <v>24</v>
      </c>
      <c r="CN66" t="n">
        <v>14</v>
      </c>
      <c r="CO66" t="n">
        <v>9</v>
      </c>
      <c r="CP66" t="n">
        <v>30</v>
      </c>
      <c r="CQ66" t="n">
        <v>0</v>
      </c>
      <c r="CR66" t="n">
        <v>64</v>
      </c>
      <c r="CS66" t="n">
        <v>19</v>
      </c>
      <c r="CT66" t="n">
        <v>0.6</v>
      </c>
      <c r="CU66" t="n">
        <v>1</v>
      </c>
      <c r="CV66" t="n">
        <v>1</v>
      </c>
      <c r="CW66" t="n">
        <v>31.68</v>
      </c>
      <c r="CX66" t="n">
        <v>1.268</v>
      </c>
      <c r="CY66" t="n">
        <v>0</v>
      </c>
      <c r="DB66" t="n">
        <v>0</v>
      </c>
      <c r="DE66" t="n">
        <v>6.79</v>
      </c>
      <c r="DF66" t="n">
        <v>5</v>
      </c>
      <c r="DG66" t="n">
        <v>0</v>
      </c>
      <c r="DH66" t="n">
        <v>30</v>
      </c>
      <c r="DI66" t="n">
        <v>10</v>
      </c>
      <c r="DL66" t="n">
        <v>11</v>
      </c>
      <c r="DM66" t="n">
        <v>20</v>
      </c>
      <c r="DN66" t="n">
        <v>5</v>
      </c>
      <c r="DO66" t="n">
        <v>2.5</v>
      </c>
      <c r="DP66" t="n">
        <v>57.91</v>
      </c>
      <c r="DQ66" t="n">
        <v>28.98</v>
      </c>
      <c r="DR66" t="n">
        <v>57.96</v>
      </c>
      <c r="DS66" t="n">
        <v>-0.05</v>
      </c>
      <c r="DT66" t="n">
        <v>586</v>
      </c>
      <c r="DU66" t="n">
        <v>15.42</v>
      </c>
      <c r="DV66" t="inlineStr">
        <is>
          <t>flat</t>
        </is>
      </c>
      <c r="DW66" t="n">
        <v>63.64</v>
      </c>
      <c r="DX66" t="n">
        <v>66.12</v>
      </c>
      <c r="DY66" t="n">
        <v>28.98</v>
      </c>
      <c r="DZ66" t="n">
        <v>10</v>
      </c>
      <c r="EA66" t="n">
        <v>120</v>
      </c>
      <c r="EB66" t="n">
        <v>114</v>
      </c>
      <c r="EC66" t="n">
        <v>54.8</v>
      </c>
      <c r="ED66" t="n">
        <v>27.8</v>
      </c>
      <c r="EE66" t="n">
        <v>72</v>
      </c>
      <c r="EF66" t="n">
        <v>40.2</v>
      </c>
      <c r="EG66" t="n">
        <v>19.7</v>
      </c>
      <c r="EH66" t="n">
        <v>112.4</v>
      </c>
      <c r="EI66" t="n">
        <v>179.4</v>
      </c>
      <c r="EJ66" t="n">
        <v>1228.1</v>
      </c>
      <c r="EK66" t="n">
        <v>156.5</v>
      </c>
      <c r="EL66" t="n">
        <v>17.8</v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n">
        <v>7.5</v>
      </c>
      <c r="F67" t="b">
        <v>1</v>
      </c>
      <c r="G67" t="b">
        <v>1</v>
      </c>
      <c r="H67" t="n">
        <v>23.3</v>
      </c>
      <c r="I67" t="inlineStr">
        <is>
          <t>a</t>
        </is>
      </c>
      <c r="L67" t="inlineStr">
        <is>
          <t>p494595</t>
        </is>
      </c>
      <c r="M67" t="n">
        <v>366</v>
      </c>
      <c r="N67" t="n">
        <v>4</v>
      </c>
      <c r="O67" t="n">
        <v>3</v>
      </c>
      <c r="P67" t="n">
        <v>2</v>
      </c>
      <c r="Q67" t="n">
        <v>2374</v>
      </c>
      <c r="R67" t="n">
        <v>33</v>
      </c>
      <c r="S67" t="n">
        <v>27</v>
      </c>
      <c r="T67" t="n">
        <v>26.378</v>
      </c>
      <c r="U67" t="n">
        <v>71.90000000000001</v>
      </c>
      <c r="V67" t="n">
        <v>125</v>
      </c>
      <c r="W67" t="n">
        <v>4.739</v>
      </c>
      <c r="X67" t="n">
        <v>5</v>
      </c>
      <c r="Y67" t="n">
        <v>4</v>
      </c>
      <c r="Z67" t="n">
        <v>3</v>
      </c>
      <c r="AA67" t="n">
        <v>10</v>
      </c>
      <c r="AB67" t="n">
        <v>32</v>
      </c>
      <c r="AC67" t="n">
        <v>17</v>
      </c>
      <c r="AD67" t="n">
        <v>17</v>
      </c>
      <c r="AE67" t="n">
        <v>0</v>
      </c>
      <c r="AF67" t="n">
        <v>521</v>
      </c>
      <c r="AG67" t="n">
        <v>516</v>
      </c>
      <c r="AH67" t="n">
        <v>-5</v>
      </c>
      <c r="AI67" t="n">
        <v>125</v>
      </c>
      <c r="AJ67" t="n">
        <v>0.136</v>
      </c>
      <c r="AK67" t="n">
        <v>0.157</v>
      </c>
      <c r="AL67" t="n">
        <v>176</v>
      </c>
      <c r="AM67" t="n">
        <v>6.672</v>
      </c>
      <c r="AN67" t="n">
        <v>1</v>
      </c>
      <c r="AO67" t="n">
        <v>2</v>
      </c>
      <c r="AP67" t="n">
        <v>0.037</v>
      </c>
      <c r="AQ67" t="n">
        <v>0.074</v>
      </c>
      <c r="AR67" t="n">
        <v>0.037</v>
      </c>
      <c r="AS67" t="n">
        <v>0.711</v>
      </c>
      <c r="AT67" t="n">
        <v>0.8179999999999999</v>
      </c>
      <c r="AU67" t="n">
        <v>16</v>
      </c>
      <c r="AV67" t="n">
        <v>4</v>
      </c>
      <c r="AW67" t="n">
        <v>3.24</v>
      </c>
      <c r="AX67" t="n">
        <v>12</v>
      </c>
      <c r="AY67" t="n">
        <v>6.83</v>
      </c>
      <c r="AZ67" t="n">
        <v>7.577</v>
      </c>
      <c r="BA67" t="n">
        <v>7.203</v>
      </c>
      <c r="BB67" t="n">
        <v>7.577</v>
      </c>
      <c r="BC67" t="n">
        <v>0.259</v>
      </c>
      <c r="BD67" t="n">
        <v>0.287</v>
      </c>
      <c r="BE67" t="n">
        <v>0.273</v>
      </c>
      <c r="BF67" t="n">
        <v>6.5</v>
      </c>
      <c r="BG67" t="n">
        <v>0.246</v>
      </c>
      <c r="BH67" t="n">
        <v>0.978</v>
      </c>
      <c r="BI67" t="n">
        <v>6.83</v>
      </c>
      <c r="BJ67" t="n">
        <v>6.678</v>
      </c>
      <c r="BK67" t="n">
        <v>0.253</v>
      </c>
      <c r="BL67" t="n">
        <v>-2.203</v>
      </c>
      <c r="BM67" t="n">
        <v>-0.33</v>
      </c>
      <c r="BN67" t="n">
        <v>-1.5</v>
      </c>
      <c r="BO67" t="n">
        <v>-0.747</v>
      </c>
      <c r="BP67" t="n">
        <v>51</v>
      </c>
      <c r="BQ67" t="n">
        <v>18</v>
      </c>
      <c r="BR67" t="n">
        <v>8</v>
      </c>
      <c r="BS67" t="n">
        <v>161</v>
      </c>
      <c r="BT67" t="n">
        <v>6.104</v>
      </c>
      <c r="BW67" t="n">
        <v>5.14</v>
      </c>
      <c r="BX67" t="n">
        <v>5.384</v>
      </c>
      <c r="BY67" t="n">
        <v>5.262</v>
      </c>
      <c r="BZ67" t="n">
        <v>0.199</v>
      </c>
      <c r="CA67" t="n">
        <v>12.466</v>
      </c>
      <c r="CB67" t="n">
        <v>0.473</v>
      </c>
      <c r="CC67" t="n">
        <v>60</v>
      </c>
      <c r="CD67" t="n">
        <v>5</v>
      </c>
      <c r="CE67" t="n">
        <v>60</v>
      </c>
      <c r="CF67" t="n">
        <v>5</v>
      </c>
      <c r="CG67" t="n">
        <v>6</v>
      </c>
      <c r="CH67" t="n">
        <v>20</v>
      </c>
      <c r="CI67" t="n">
        <v>20.642</v>
      </c>
      <c r="CJ67" t="n">
        <v>10.743</v>
      </c>
      <c r="CK67" t="n">
        <v>26</v>
      </c>
      <c r="CL67" t="n">
        <v>116</v>
      </c>
      <c r="CM67" t="n">
        <v>34</v>
      </c>
      <c r="CN67" t="n">
        <v>26</v>
      </c>
      <c r="CO67" t="n">
        <v>11</v>
      </c>
      <c r="CP67" t="n">
        <v>13</v>
      </c>
      <c r="CQ67" t="n">
        <v>2</v>
      </c>
      <c r="CR67" t="n">
        <v>99</v>
      </c>
      <c r="CS67" t="n">
        <v>7</v>
      </c>
      <c r="CT67" t="n">
        <v>0.8</v>
      </c>
      <c r="CV67" t="n">
        <v>1</v>
      </c>
      <c r="CW67" t="n">
        <v>33.99</v>
      </c>
      <c r="CX67" t="n">
        <v>1.289</v>
      </c>
      <c r="CY67" t="n">
        <v>0</v>
      </c>
      <c r="DB67" t="n">
        <v>0</v>
      </c>
      <c r="DE67" t="n">
        <v>7.16</v>
      </c>
      <c r="DF67" t="n">
        <v>1</v>
      </c>
      <c r="DG67" t="n">
        <v>0</v>
      </c>
      <c r="DH67" t="n">
        <v>22</v>
      </c>
      <c r="DI67" t="n">
        <v>19</v>
      </c>
      <c r="DL67" t="n">
        <v>39</v>
      </c>
      <c r="DM67" t="n">
        <v>36</v>
      </c>
      <c r="DN67" t="n">
        <v>2</v>
      </c>
      <c r="DO67" t="n">
        <v>14.7</v>
      </c>
      <c r="DP67" t="n">
        <v>174.06</v>
      </c>
      <c r="DQ67" t="n">
        <v>87.03</v>
      </c>
      <c r="DR67" t="n">
        <v>174.06</v>
      </c>
      <c r="DS67" t="n">
        <v>0</v>
      </c>
      <c r="DT67" t="n">
        <v>2902</v>
      </c>
      <c r="DU67" t="n">
        <v>76.36</v>
      </c>
      <c r="DV67" t="inlineStr">
        <is>
          <t>flat</t>
        </is>
      </c>
      <c r="DW67" t="n">
        <v>17.98</v>
      </c>
      <c r="DX67" t="n">
        <v>17.02</v>
      </c>
      <c r="DY67" t="n">
        <v>9.789999999999999</v>
      </c>
      <c r="DZ67" t="n">
        <v>2</v>
      </c>
      <c r="EA67" t="n">
        <v>70.67</v>
      </c>
      <c r="EB67" t="n">
        <v>183</v>
      </c>
      <c r="EC67" t="n">
        <v>88</v>
      </c>
      <c r="ED67" t="n">
        <v>14.5</v>
      </c>
      <c r="EE67" t="n">
        <v>18</v>
      </c>
      <c r="EF67" t="n">
        <v>46.5</v>
      </c>
      <c r="EG67" t="n">
        <v>14.7</v>
      </c>
      <c r="EH67" t="n">
        <v>39.6</v>
      </c>
      <c r="EI67" t="n">
        <v>329.6</v>
      </c>
      <c r="EJ67" t="n">
        <v>451.1</v>
      </c>
      <c r="EK67" t="n">
        <v>190.4</v>
      </c>
      <c r="EL67" t="n">
        <v>19</v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n">
        <v>6.5</v>
      </c>
      <c r="F68" t="b">
        <v>1</v>
      </c>
      <c r="G68" t="b">
        <v>1</v>
      </c>
      <c r="H68" t="n">
        <v>26.5</v>
      </c>
      <c r="I68" t="inlineStr">
        <is>
          <t>a</t>
        </is>
      </c>
      <c r="L68" t="inlineStr">
        <is>
          <t>p247632</t>
        </is>
      </c>
      <c r="M68" t="n">
        <v>156</v>
      </c>
      <c r="O68" t="n">
        <v>3</v>
      </c>
      <c r="P68" t="n">
        <v>4</v>
      </c>
      <c r="Q68" t="n">
        <v>2629</v>
      </c>
      <c r="R68" t="n">
        <v>34</v>
      </c>
      <c r="S68" t="n">
        <v>30</v>
      </c>
      <c r="T68" t="n">
        <v>29.211</v>
      </c>
      <c r="U68" t="n">
        <v>77.3</v>
      </c>
      <c r="V68" t="n">
        <v>125</v>
      </c>
      <c r="W68" t="n">
        <v>4.279</v>
      </c>
      <c r="X68" t="n">
        <v>5</v>
      </c>
      <c r="Y68" t="n">
        <v>7</v>
      </c>
      <c r="Z68" t="n">
        <v>6</v>
      </c>
      <c r="AA68" t="n">
        <v>11</v>
      </c>
      <c r="AB68" t="n">
        <v>33</v>
      </c>
      <c r="AC68" t="n">
        <v>9</v>
      </c>
      <c r="AD68" t="n">
        <v>10</v>
      </c>
      <c r="AE68" t="n">
        <v>1</v>
      </c>
      <c r="AF68" t="n">
        <v>543</v>
      </c>
      <c r="AG68" t="n">
        <v>539</v>
      </c>
      <c r="AH68" t="n">
        <v>-4</v>
      </c>
      <c r="AI68" t="n">
        <v>126</v>
      </c>
      <c r="AJ68" t="n">
        <v>0.07199999999999999</v>
      </c>
      <c r="AK68" t="n">
        <v>0.078</v>
      </c>
      <c r="AL68" t="n">
        <v>122</v>
      </c>
      <c r="AM68" t="n">
        <v>4.176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0.789</v>
      </c>
      <c r="AT68" t="n">
        <v>0.882</v>
      </c>
      <c r="AU68" t="n">
        <v>18</v>
      </c>
      <c r="AV68" t="n">
        <v>1</v>
      </c>
      <c r="AW68" t="n">
        <v>2.93</v>
      </c>
      <c r="AX68" t="n">
        <v>12</v>
      </c>
      <c r="AY68" t="n">
        <v>4.59</v>
      </c>
      <c r="AZ68" t="n">
        <v>5.15</v>
      </c>
      <c r="BA68" t="n">
        <v>4.87</v>
      </c>
      <c r="BB68" t="n">
        <v>5.15</v>
      </c>
      <c r="BC68" t="n">
        <v>0.157</v>
      </c>
      <c r="BD68" t="n">
        <v>0.176</v>
      </c>
      <c r="BE68" t="n">
        <v>0.167</v>
      </c>
      <c r="BF68" t="n">
        <v>3.8</v>
      </c>
      <c r="BG68" t="n">
        <v>0.13</v>
      </c>
      <c r="BH68" t="n">
        <v>0.82</v>
      </c>
      <c r="BI68" t="n">
        <v>12.36</v>
      </c>
      <c r="BJ68" t="n">
        <v>3.765</v>
      </c>
      <c r="BK68" t="n">
        <v>0.129</v>
      </c>
      <c r="BL68" t="n">
        <v>0.13</v>
      </c>
      <c r="BM68" t="n">
        <v>-0.79</v>
      </c>
      <c r="BN68" t="n">
        <v>1.2</v>
      </c>
      <c r="BO68" t="n">
        <v>-0.5600000000000001</v>
      </c>
      <c r="BP68" t="n">
        <v>46</v>
      </c>
      <c r="BQ68" t="n">
        <v>13</v>
      </c>
      <c r="BR68" t="n">
        <v>3</v>
      </c>
      <c r="BS68" t="n">
        <v>107</v>
      </c>
      <c r="BT68" t="n">
        <v>3.663</v>
      </c>
      <c r="BV68" t="n">
        <v>1</v>
      </c>
      <c r="BW68" t="n">
        <v>6.84</v>
      </c>
      <c r="BX68" t="n">
        <v>7.934</v>
      </c>
      <c r="BY68" t="n">
        <v>7.387</v>
      </c>
      <c r="BZ68" t="n">
        <v>0.253</v>
      </c>
      <c r="CA68" t="n">
        <v>12.257</v>
      </c>
      <c r="CB68" t="n">
        <v>0.42</v>
      </c>
      <c r="CC68" t="n">
        <v>53</v>
      </c>
      <c r="CD68" t="n">
        <v>12</v>
      </c>
      <c r="CE68" t="n">
        <v>53</v>
      </c>
      <c r="CF68" t="n">
        <v>38</v>
      </c>
      <c r="CG68" t="n">
        <v>2</v>
      </c>
      <c r="CH68" t="n">
        <v>71</v>
      </c>
      <c r="CI68" t="n">
        <v>19.275</v>
      </c>
      <c r="CJ68" t="n">
        <v>9.827</v>
      </c>
      <c r="CK68" t="n">
        <v>19</v>
      </c>
      <c r="CL68" t="n">
        <v>84</v>
      </c>
      <c r="CM68" t="n">
        <v>19</v>
      </c>
      <c r="CN68" t="n">
        <v>11</v>
      </c>
      <c r="CO68" t="n">
        <v>6</v>
      </c>
      <c r="CP68" t="n">
        <v>13</v>
      </c>
      <c r="CR68" t="n">
        <v>100</v>
      </c>
      <c r="CS68" t="n">
        <v>9</v>
      </c>
      <c r="CT68" t="n">
        <v>0.4</v>
      </c>
      <c r="CW68" t="n">
        <v>37.54</v>
      </c>
      <c r="CX68" t="n">
        <v>1.285</v>
      </c>
      <c r="CY68" t="n">
        <v>0</v>
      </c>
      <c r="DB68" t="n">
        <v>0</v>
      </c>
      <c r="DE68" t="n">
        <v>7.04</v>
      </c>
      <c r="DF68" t="n">
        <v>2</v>
      </c>
      <c r="DG68" t="n">
        <v>1</v>
      </c>
      <c r="DH68" t="n">
        <v>16</v>
      </c>
      <c r="DI68" t="n">
        <v>25</v>
      </c>
      <c r="DL68" t="n">
        <v>47</v>
      </c>
      <c r="DM68" t="n">
        <v>25</v>
      </c>
      <c r="DN68" t="n">
        <v>6</v>
      </c>
      <c r="DO68" t="n">
        <v>1.4</v>
      </c>
      <c r="DP68" t="n">
        <v>82.77</v>
      </c>
      <c r="DQ68" t="n">
        <v>41.5</v>
      </c>
      <c r="DR68" t="n">
        <v>83</v>
      </c>
      <c r="DS68" t="n">
        <v>-0.23</v>
      </c>
      <c r="DT68" t="n">
        <v>1773</v>
      </c>
      <c r="DU68" t="n">
        <v>46.65</v>
      </c>
      <c r="DV68" t="inlineStr">
        <is>
          <t>flat</t>
        </is>
      </c>
      <c r="DW68" t="n">
        <v>60.35</v>
      </c>
      <c r="DX68" t="n">
        <v>68.28</v>
      </c>
      <c r="DY68" t="n">
        <v>23.9</v>
      </c>
      <c r="DZ68" t="n">
        <v>9.5</v>
      </c>
      <c r="EA68" t="n">
        <v>120</v>
      </c>
      <c r="EB68" t="n">
        <v>105</v>
      </c>
      <c r="EC68" t="n">
        <v>50.5</v>
      </c>
      <c r="ED68" t="n">
        <v>29.1</v>
      </c>
      <c r="EE68" t="n">
        <v>38</v>
      </c>
      <c r="EF68" t="n">
        <v>57.2</v>
      </c>
      <c r="EG68" t="n">
        <v>24.6</v>
      </c>
      <c r="EH68" t="n">
        <v>49.6</v>
      </c>
      <c r="EI68" t="n">
        <v>539.9</v>
      </c>
      <c r="EJ68" t="n">
        <v>355.9</v>
      </c>
      <c r="EK68" t="n">
        <v>214.5</v>
      </c>
      <c r="EL68" t="n">
        <v>21</v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n">
        <v>7.5</v>
      </c>
      <c r="F69" t="b">
        <v>1</v>
      </c>
      <c r="G69" t="b">
        <v>1</v>
      </c>
      <c r="H69" t="n">
        <v>24.2</v>
      </c>
      <c r="I69" t="inlineStr">
        <is>
          <t>i</t>
        </is>
      </c>
      <c r="J69" t="inlineStr">
        <is>
          <t>Achilles injury - Unknown return date</t>
        </is>
      </c>
      <c r="K69" t="n">
        <v>0</v>
      </c>
      <c r="L69" t="inlineStr">
        <is>
          <t>p510663</t>
        </is>
      </c>
      <c r="M69" t="n">
        <v>380</v>
      </c>
      <c r="Q69" t="n">
        <v>1797</v>
      </c>
      <c r="R69" t="n">
        <v>28</v>
      </c>
      <c r="S69" t="n">
        <v>21</v>
      </c>
      <c r="T69" t="n">
        <v>19.967</v>
      </c>
      <c r="U69" t="n">
        <v>64.2</v>
      </c>
      <c r="V69" t="n">
        <v>125</v>
      </c>
      <c r="W69" t="n">
        <v>6.26</v>
      </c>
      <c r="X69" t="n">
        <v>11</v>
      </c>
      <c r="Y69" t="n">
        <v>4</v>
      </c>
      <c r="Z69" t="n">
        <v>4</v>
      </c>
      <c r="AA69" t="n">
        <v>7</v>
      </c>
      <c r="AB69" t="n">
        <v>25</v>
      </c>
      <c r="AC69" t="n">
        <v>22</v>
      </c>
      <c r="AD69" t="n">
        <v>22</v>
      </c>
      <c r="AE69" t="n">
        <v>0</v>
      </c>
      <c r="AF69" t="n">
        <v>433</v>
      </c>
      <c r="AG69" t="n">
        <v>429</v>
      </c>
      <c r="AH69" t="n">
        <v>-4</v>
      </c>
      <c r="AI69" t="n">
        <v>125</v>
      </c>
      <c r="AJ69" t="n">
        <v>0.176</v>
      </c>
      <c r="AK69" t="n">
        <v>0.214</v>
      </c>
      <c r="AL69" t="n">
        <v>85</v>
      </c>
      <c r="AM69" t="n">
        <v>4.257</v>
      </c>
      <c r="AN69" t="n">
        <v>0</v>
      </c>
      <c r="AO69" t="n">
        <v>0</v>
      </c>
      <c r="AP69" t="n">
        <v>0</v>
      </c>
      <c r="AQ69" t="n">
        <v>0.048</v>
      </c>
      <c r="AR69" t="n">
        <v>0</v>
      </c>
      <c r="AS69" t="n">
        <v>0.553</v>
      </c>
      <c r="AT69" t="n">
        <v>0.679</v>
      </c>
      <c r="AU69" t="n">
        <v>19</v>
      </c>
      <c r="AV69" t="n">
        <v>5</v>
      </c>
      <c r="AW69" t="n">
        <v>4.48</v>
      </c>
      <c r="AX69" t="n">
        <v>15</v>
      </c>
      <c r="AY69" t="n">
        <v>10.1</v>
      </c>
      <c r="AZ69" t="n">
        <v>11.932</v>
      </c>
      <c r="BA69" t="n">
        <v>11.016</v>
      </c>
      <c r="BB69" t="n">
        <v>11.932</v>
      </c>
      <c r="BC69" t="n">
        <v>0.506</v>
      </c>
      <c r="BD69" t="n">
        <v>0.598</v>
      </c>
      <c r="BE69" t="n">
        <v>0.552</v>
      </c>
      <c r="BF69" t="n">
        <v>9.199999999999999</v>
      </c>
      <c r="BG69" t="n">
        <v>0.461</v>
      </c>
      <c r="BH69" t="n">
        <v>0.95</v>
      </c>
      <c r="BI69" t="n">
        <v>10.1</v>
      </c>
      <c r="BJ69" t="n">
        <v>9.598000000000001</v>
      </c>
      <c r="BK69" t="n">
        <v>0.481</v>
      </c>
      <c r="BL69" t="n">
        <v>-0.016</v>
      </c>
      <c r="BM69" t="n">
        <v>-0.9</v>
      </c>
      <c r="BN69" t="n">
        <v>1.8</v>
      </c>
      <c r="BO69" t="n">
        <v>-1.832</v>
      </c>
      <c r="BP69" t="n">
        <v>65</v>
      </c>
      <c r="BQ69" t="n">
        <v>19</v>
      </c>
      <c r="BR69" t="n">
        <v>11</v>
      </c>
      <c r="BS69" t="n">
        <v>136</v>
      </c>
      <c r="BT69" t="n">
        <v>6.811</v>
      </c>
      <c r="BV69" t="n">
        <v>2</v>
      </c>
      <c r="BW69" t="n">
        <v>2.45</v>
      </c>
      <c r="BX69" t="n">
        <v>2.491</v>
      </c>
      <c r="BY69" t="n">
        <v>2.471</v>
      </c>
      <c r="BZ69" t="n">
        <v>0.124</v>
      </c>
      <c r="CA69" t="n">
        <v>13.487</v>
      </c>
      <c r="CB69" t="n">
        <v>0.675</v>
      </c>
      <c r="CC69" t="n">
        <v>21</v>
      </c>
      <c r="CD69" t="n">
        <v>3</v>
      </c>
      <c r="CE69" t="n">
        <v>21</v>
      </c>
      <c r="CF69" t="n">
        <v>1</v>
      </c>
      <c r="CG69" t="n">
        <v>1</v>
      </c>
      <c r="CI69" t="n">
        <v>16.323</v>
      </c>
      <c r="CJ69" t="n">
        <v>4.886</v>
      </c>
      <c r="CK69" t="n">
        <v>32</v>
      </c>
      <c r="CL69" t="n">
        <v>42</v>
      </c>
      <c r="CM69" t="n">
        <v>11</v>
      </c>
      <c r="CN69" t="n">
        <v>7</v>
      </c>
      <c r="CO69" t="n">
        <v>3</v>
      </c>
      <c r="CP69" t="n">
        <v>27</v>
      </c>
      <c r="CQ69" t="n">
        <v>2</v>
      </c>
      <c r="CR69" t="n">
        <v>92</v>
      </c>
      <c r="CS69" t="n">
        <v>31</v>
      </c>
      <c r="CT69" t="n">
        <v>0.7</v>
      </c>
      <c r="CW69" t="n">
        <v>26.11</v>
      </c>
      <c r="CX69" t="n">
        <v>1.308</v>
      </c>
      <c r="CY69" t="n">
        <v>0</v>
      </c>
      <c r="DB69" t="n">
        <v>0</v>
      </c>
      <c r="DE69" t="n">
        <v>7.08</v>
      </c>
      <c r="DF69" t="n">
        <v>0</v>
      </c>
      <c r="DG69" t="n">
        <v>0</v>
      </c>
      <c r="DH69" t="n">
        <v>35</v>
      </c>
      <c r="DI69" t="n">
        <v>12</v>
      </c>
      <c r="DL69" t="n">
        <v>38</v>
      </c>
      <c r="DM69" t="n">
        <v>26</v>
      </c>
      <c r="DN69" t="n">
        <v>10</v>
      </c>
      <c r="DO69" t="n">
        <v>0.2</v>
      </c>
      <c r="DP69" t="n">
        <v>58.16</v>
      </c>
      <c r="DQ69" t="n">
        <v>22.62</v>
      </c>
      <c r="DR69" t="n">
        <v>45.24</v>
      </c>
      <c r="DS69" t="n">
        <v>12.92</v>
      </c>
      <c r="DT69" t="n">
        <v>942</v>
      </c>
      <c r="DU69" t="n">
        <v>24.78</v>
      </c>
      <c r="DV69" t="inlineStr">
        <is>
          <t>flat</t>
        </is>
      </c>
      <c r="DW69" t="n">
        <v>73.09</v>
      </c>
      <c r="DX69" t="n">
        <v>55.3</v>
      </c>
      <c r="DY69" t="n">
        <v>31.82</v>
      </c>
      <c r="DZ69" t="n">
        <v>8.57</v>
      </c>
      <c r="EA69" t="n">
        <v>118.4</v>
      </c>
      <c r="EB69" t="n">
        <v>47</v>
      </c>
      <c r="EC69" t="n">
        <v>22.6</v>
      </c>
      <c r="ED69" t="n">
        <v>68.7</v>
      </c>
      <c r="EE69" t="n">
        <v>19</v>
      </c>
      <c r="EF69" t="n">
        <v>27.6</v>
      </c>
      <c r="EG69" t="n">
        <v>13.2</v>
      </c>
      <c r="EH69" t="n">
        <v>85.59999999999999</v>
      </c>
      <c r="EI69" t="n">
        <v>163.1</v>
      </c>
      <c r="EJ69" t="n">
        <v>727.3</v>
      </c>
      <c r="EK69" t="n">
        <v>133.2</v>
      </c>
      <c r="EL69" t="n">
        <v>14.4</v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n">
        <v>5</v>
      </c>
      <c r="F70" t="b">
        <v>1</v>
      </c>
      <c r="G70" t="b">
        <v>1</v>
      </c>
      <c r="H70" t="n">
        <v>29.7</v>
      </c>
      <c r="I70" t="inlineStr">
        <is>
          <t>d</t>
        </is>
      </c>
      <c r="J70" t="inlineStr">
        <is>
          <t>Knock - 75% chance of playing</t>
        </is>
      </c>
      <c r="K70" t="n">
        <v>75</v>
      </c>
      <c r="L70" t="inlineStr">
        <is>
          <t>p201895</t>
        </is>
      </c>
      <c r="M70" t="n">
        <v>535</v>
      </c>
      <c r="Q70" t="n">
        <v>2797</v>
      </c>
      <c r="R70" t="n">
        <v>33</v>
      </c>
      <c r="S70" t="n">
        <v>32</v>
      </c>
      <c r="T70" t="n">
        <v>31.078</v>
      </c>
      <c r="U70" t="n">
        <v>84.8</v>
      </c>
      <c r="V70" t="n">
        <v>125</v>
      </c>
      <c r="W70" t="n">
        <v>4.022</v>
      </c>
      <c r="X70" t="n">
        <v>1</v>
      </c>
      <c r="Y70" t="n">
        <v>1</v>
      </c>
      <c r="Z70" t="n">
        <v>1</v>
      </c>
      <c r="AA70" t="n">
        <v>10</v>
      </c>
      <c r="AB70" t="n">
        <v>40</v>
      </c>
      <c r="AC70" t="n">
        <v>5</v>
      </c>
      <c r="AD70" t="n">
        <v>5</v>
      </c>
      <c r="AE70" t="n">
        <v>0</v>
      </c>
      <c r="AF70" t="n">
        <v>400</v>
      </c>
      <c r="AG70" t="n">
        <v>348</v>
      </c>
      <c r="AH70" t="n">
        <v>-52</v>
      </c>
      <c r="AI70" t="n">
        <v>125</v>
      </c>
      <c r="AJ70" t="n">
        <v>0.04</v>
      </c>
      <c r="AK70" t="n">
        <v>0.042</v>
      </c>
      <c r="AL70" t="n">
        <v>312</v>
      </c>
      <c r="AM70" t="n">
        <v>10.039</v>
      </c>
      <c r="AN70" t="n">
        <v>12</v>
      </c>
      <c r="AO70" t="n">
        <v>24</v>
      </c>
      <c r="AP70" t="n">
        <v>0.375</v>
      </c>
      <c r="AQ70" t="n">
        <v>0.375</v>
      </c>
      <c r="AR70" t="n">
        <v>0.219</v>
      </c>
      <c r="AS70" t="n">
        <v>0.842</v>
      </c>
      <c r="AT70" t="n">
        <v>0.9389999999999999</v>
      </c>
      <c r="AU70" t="n">
        <v>16</v>
      </c>
      <c r="AV70" t="n">
        <v>1</v>
      </c>
      <c r="AW70" t="n">
        <v>3.63</v>
      </c>
      <c r="AX70" t="n">
        <v>17</v>
      </c>
      <c r="AY70" t="n">
        <v>1.62</v>
      </c>
      <c r="AZ70" t="n">
        <v>1.546</v>
      </c>
      <c r="BA70" t="n">
        <v>1.583</v>
      </c>
      <c r="BB70" t="n">
        <v>1.546</v>
      </c>
      <c r="BC70" t="n">
        <v>0.052</v>
      </c>
      <c r="BD70" t="n">
        <v>0.05</v>
      </c>
      <c r="BE70" t="n">
        <v>0.051</v>
      </c>
      <c r="BF70" t="n">
        <v>1.5</v>
      </c>
      <c r="BG70" t="n">
        <v>0.048</v>
      </c>
      <c r="BH70" t="n">
        <v>0.988</v>
      </c>
      <c r="BI70" t="n">
        <v>1.62</v>
      </c>
      <c r="BJ70" t="n">
        <v>1.6</v>
      </c>
      <c r="BK70" t="n">
        <v>0.051</v>
      </c>
      <c r="BL70" t="n">
        <v>-0.583</v>
      </c>
      <c r="BM70" t="n">
        <v>-0.12</v>
      </c>
      <c r="BN70" t="n">
        <v>-0.5</v>
      </c>
      <c r="BO70" t="n">
        <v>0.074</v>
      </c>
      <c r="BP70" t="n">
        <v>24</v>
      </c>
      <c r="BQ70" t="n">
        <v>9</v>
      </c>
      <c r="BR70" t="n">
        <v>2</v>
      </c>
      <c r="BS70" t="n">
        <v>47</v>
      </c>
      <c r="BT70" t="n">
        <v>1.512</v>
      </c>
      <c r="BV70" t="n">
        <v>1</v>
      </c>
      <c r="BW70" t="n">
        <v>0.91</v>
      </c>
      <c r="BX70" t="n">
        <v>0.607</v>
      </c>
      <c r="BY70" t="n">
        <v>0.759</v>
      </c>
      <c r="BZ70" t="n">
        <v>0.024</v>
      </c>
      <c r="CA70" t="n">
        <v>2.342</v>
      </c>
      <c r="CB70" t="n">
        <v>0.075</v>
      </c>
      <c r="CC70" t="n">
        <v>9</v>
      </c>
      <c r="CD70" t="n">
        <v>1</v>
      </c>
      <c r="CE70" t="n">
        <v>9</v>
      </c>
      <c r="CF70" t="n">
        <v>3</v>
      </c>
      <c r="CG70" t="n">
        <v>3</v>
      </c>
      <c r="CI70" t="n">
        <v>4.55</v>
      </c>
      <c r="CJ70" t="n">
        <v>3.773</v>
      </c>
      <c r="CK70" t="n">
        <v>280</v>
      </c>
      <c r="CL70" t="n">
        <v>103</v>
      </c>
      <c r="CM70" t="n">
        <v>32</v>
      </c>
      <c r="CN70" t="n">
        <v>18</v>
      </c>
      <c r="CO70" t="n">
        <v>36</v>
      </c>
      <c r="CP70" t="n">
        <v>217</v>
      </c>
      <c r="CQ70" t="n">
        <v>29</v>
      </c>
      <c r="CR70" t="n">
        <v>146</v>
      </c>
      <c r="CS70" t="n">
        <v>88</v>
      </c>
      <c r="CT70" t="n">
        <v>0.1</v>
      </c>
      <c r="CV70" t="n">
        <v>5</v>
      </c>
      <c r="CW70" t="n">
        <v>44.52</v>
      </c>
      <c r="CX70" t="n">
        <v>1.433</v>
      </c>
      <c r="CY70" t="n">
        <v>0</v>
      </c>
      <c r="DB70" t="n">
        <v>0</v>
      </c>
      <c r="DE70" t="n">
        <v>6.92</v>
      </c>
      <c r="DF70" t="n">
        <v>6</v>
      </c>
      <c r="DG70" t="n">
        <v>0</v>
      </c>
      <c r="DH70" t="n">
        <v>34</v>
      </c>
      <c r="DI70" t="n">
        <v>10</v>
      </c>
      <c r="DK70" t="n">
        <v>0</v>
      </c>
      <c r="DL70" t="n">
        <v>17</v>
      </c>
      <c r="DM70" t="n">
        <v>12</v>
      </c>
      <c r="DN70" t="n">
        <v>5</v>
      </c>
      <c r="DO70" t="n">
        <v>0.7</v>
      </c>
      <c r="DP70" t="n">
        <v>131.07</v>
      </c>
      <c r="DQ70" t="n">
        <v>65.19</v>
      </c>
      <c r="DR70" t="n">
        <v>130.38</v>
      </c>
      <c r="DS70" t="n">
        <v>0.6899999999999999</v>
      </c>
      <c r="DT70" t="n">
        <v>3067</v>
      </c>
      <c r="DU70" t="n">
        <v>80.7</v>
      </c>
      <c r="DV70" t="inlineStr">
        <is>
          <t>flat</t>
        </is>
      </c>
      <c r="DW70" t="n">
        <v>99.76000000000001</v>
      </c>
      <c r="DX70" t="n">
        <v>104.25</v>
      </c>
      <c r="DY70" t="n">
        <v>13.28</v>
      </c>
      <c r="DZ70" t="n">
        <v>62.5</v>
      </c>
      <c r="EA70" t="n">
        <v>120</v>
      </c>
      <c r="EB70" t="n">
        <v>38</v>
      </c>
      <c r="EC70" t="n">
        <v>18.3</v>
      </c>
      <c r="ED70" t="n">
        <v>26.9</v>
      </c>
      <c r="EE70" t="n">
        <v>231</v>
      </c>
      <c r="EF70" t="n">
        <v>116.5</v>
      </c>
      <c r="EG70" t="n">
        <v>59.5</v>
      </c>
      <c r="EH70" t="n">
        <v>310.8</v>
      </c>
      <c r="EI70" t="n">
        <v>1767.1</v>
      </c>
      <c r="EJ70" t="n">
        <v>3686.4</v>
      </c>
      <c r="EK70" t="n">
        <v>1194.5</v>
      </c>
      <c r="EL70" t="n">
        <v>22.4</v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n">
        <v>6</v>
      </c>
      <c r="F71" t="b">
        <v>1</v>
      </c>
      <c r="G71" t="b">
        <v>1</v>
      </c>
      <c r="H71" t="n">
        <v>24.7</v>
      </c>
      <c r="I71" t="inlineStr">
        <is>
          <t>a</t>
        </is>
      </c>
      <c r="L71" t="inlineStr">
        <is>
          <t>p513418</t>
        </is>
      </c>
      <c r="M71" t="n">
        <v>94</v>
      </c>
      <c r="N71" t="n">
        <v>2</v>
      </c>
      <c r="Q71" t="n">
        <v>2744</v>
      </c>
      <c r="R71" t="n">
        <v>35</v>
      </c>
      <c r="S71" t="n">
        <v>32</v>
      </c>
      <c r="T71" t="n">
        <v>30.489</v>
      </c>
      <c r="U71" t="n">
        <v>78.40000000000001</v>
      </c>
      <c r="V71" t="n">
        <v>125</v>
      </c>
      <c r="W71" t="n">
        <v>4.1</v>
      </c>
      <c r="X71" t="n">
        <v>8</v>
      </c>
      <c r="Y71" t="n">
        <v>5</v>
      </c>
      <c r="Z71" t="n">
        <v>3</v>
      </c>
      <c r="AA71" t="n">
        <v>11</v>
      </c>
      <c r="AB71" t="n">
        <v>34</v>
      </c>
      <c r="AC71" t="n">
        <v>5</v>
      </c>
      <c r="AD71" t="n">
        <v>5</v>
      </c>
      <c r="AE71" t="n">
        <v>0</v>
      </c>
      <c r="AF71" t="n">
        <v>385</v>
      </c>
      <c r="AG71" t="n">
        <v>371</v>
      </c>
      <c r="AH71" t="n">
        <v>-14</v>
      </c>
      <c r="AI71" t="n">
        <v>125</v>
      </c>
      <c r="AJ71" t="n">
        <v>0.04</v>
      </c>
      <c r="AK71" t="n">
        <v>0.042</v>
      </c>
      <c r="AL71" t="n">
        <v>190</v>
      </c>
      <c r="AM71" t="n">
        <v>6.232</v>
      </c>
      <c r="AN71" t="n">
        <v>0</v>
      </c>
      <c r="AO71" t="n">
        <v>0</v>
      </c>
      <c r="AP71" t="n">
        <v>0</v>
      </c>
      <c r="AQ71" t="n">
        <v>0.062</v>
      </c>
      <c r="AR71" t="n">
        <v>0</v>
      </c>
      <c r="AS71" t="n">
        <v>0.842</v>
      </c>
      <c r="AT71" t="n">
        <v>0.857</v>
      </c>
      <c r="AU71" t="n">
        <v>16</v>
      </c>
      <c r="AV71" t="n">
        <v>1</v>
      </c>
      <c r="AW71" t="n">
        <v>3.7</v>
      </c>
      <c r="AX71" t="n">
        <v>20</v>
      </c>
      <c r="AY71" t="n">
        <v>12.08</v>
      </c>
      <c r="AZ71" t="n">
        <v>11.833</v>
      </c>
      <c r="BA71" t="n">
        <v>11.956</v>
      </c>
      <c r="BB71" t="n">
        <v>11.072</v>
      </c>
      <c r="BC71" t="n">
        <v>0.396</v>
      </c>
      <c r="BD71" t="n">
        <v>0.388</v>
      </c>
      <c r="BE71" t="n">
        <v>0.392</v>
      </c>
      <c r="BF71" t="n">
        <v>9.800000000000001</v>
      </c>
      <c r="BG71" t="n">
        <v>0.321</v>
      </c>
      <c r="BH71" t="n">
        <v>0.953</v>
      </c>
      <c r="BI71" t="n">
        <v>23.89</v>
      </c>
      <c r="BJ71" t="n">
        <v>11.516</v>
      </c>
      <c r="BK71" t="n">
        <v>0.378</v>
      </c>
      <c r="BL71" t="n">
        <v>-3.956</v>
      </c>
      <c r="BM71" t="n">
        <v>-2.28</v>
      </c>
      <c r="BN71" t="n">
        <v>-1.8</v>
      </c>
      <c r="BO71" t="n">
        <v>0.247</v>
      </c>
      <c r="BP71" t="n">
        <v>57</v>
      </c>
      <c r="BQ71" t="n">
        <v>24</v>
      </c>
      <c r="BR71" t="n">
        <v>15</v>
      </c>
      <c r="BS71" t="n">
        <v>141</v>
      </c>
      <c r="BT71" t="n">
        <v>4.625</v>
      </c>
      <c r="BV71" t="n">
        <v>3</v>
      </c>
      <c r="BW71" t="n">
        <v>2.05</v>
      </c>
      <c r="BX71" t="n">
        <v>4.565</v>
      </c>
      <c r="BY71" t="n">
        <v>3.308</v>
      </c>
      <c r="BZ71" t="n">
        <v>0.108</v>
      </c>
      <c r="CA71" t="n">
        <v>15.264</v>
      </c>
      <c r="CB71" t="n">
        <v>0.501</v>
      </c>
      <c r="CC71" t="n">
        <v>29</v>
      </c>
      <c r="CD71" t="n">
        <v>7</v>
      </c>
      <c r="CE71" t="n">
        <v>28</v>
      </c>
      <c r="CF71" t="n">
        <v>5</v>
      </c>
      <c r="CH71" t="n">
        <v>1</v>
      </c>
      <c r="CI71" t="n">
        <v>17.375</v>
      </c>
      <c r="CJ71" t="n">
        <v>3.947</v>
      </c>
      <c r="CK71" t="n">
        <v>54</v>
      </c>
      <c r="CL71" t="n">
        <v>94</v>
      </c>
      <c r="CM71" t="n">
        <v>42</v>
      </c>
      <c r="CN71" t="n">
        <v>24</v>
      </c>
      <c r="CO71" t="n">
        <v>18</v>
      </c>
      <c r="CP71" t="n">
        <v>31</v>
      </c>
      <c r="CQ71" t="n">
        <v>3</v>
      </c>
      <c r="CR71" t="n">
        <v>190</v>
      </c>
      <c r="CS71" t="n">
        <v>87</v>
      </c>
      <c r="CT71" t="n">
        <v>0.3</v>
      </c>
      <c r="CW71" t="n">
        <v>40.05</v>
      </c>
      <c r="CX71" t="n">
        <v>1.314</v>
      </c>
      <c r="CY71" t="n">
        <v>0</v>
      </c>
      <c r="DB71" t="n">
        <v>0</v>
      </c>
      <c r="DE71" t="n">
        <v>6.83</v>
      </c>
      <c r="DF71" t="n">
        <v>6</v>
      </c>
      <c r="DG71" t="n">
        <v>1</v>
      </c>
      <c r="DH71" t="n">
        <v>50</v>
      </c>
      <c r="DI71" t="n">
        <v>43</v>
      </c>
      <c r="DJ71" t="n">
        <v>2</v>
      </c>
      <c r="DL71" t="n">
        <v>20</v>
      </c>
      <c r="DM71" t="n">
        <v>45</v>
      </c>
      <c r="DN71" t="n">
        <v>10</v>
      </c>
      <c r="DO71" t="n">
        <v>1.9</v>
      </c>
      <c r="DP71" t="n">
        <v>148.66</v>
      </c>
      <c r="DQ71" t="n">
        <v>74.33</v>
      </c>
      <c r="DR71" t="n">
        <v>148.66</v>
      </c>
      <c r="DS71" t="n">
        <v>0</v>
      </c>
      <c r="DT71" t="n">
        <v>2804</v>
      </c>
      <c r="DU71" t="n">
        <v>73.8</v>
      </c>
      <c r="DV71" t="inlineStr">
        <is>
          <t>flat</t>
        </is>
      </c>
      <c r="DW71" t="n">
        <v>73.37</v>
      </c>
      <c r="DX71" t="n">
        <v>83.04000000000001</v>
      </c>
      <c r="DY71" t="n">
        <v>21.38</v>
      </c>
      <c r="DZ71" t="n">
        <v>13.6</v>
      </c>
      <c r="EA71" t="n">
        <v>115.33</v>
      </c>
      <c r="EB71" t="n">
        <v>114</v>
      </c>
      <c r="EC71" t="n">
        <v>54.8</v>
      </c>
      <c r="ED71" t="n">
        <v>4.2</v>
      </c>
      <c r="EE71" t="n">
        <v>73</v>
      </c>
      <c r="EF71" t="n">
        <v>48.1</v>
      </c>
      <c r="EG71" t="n">
        <v>19.5</v>
      </c>
      <c r="EH71" t="n">
        <v>98</v>
      </c>
      <c r="EI71" t="n">
        <v>229.5</v>
      </c>
      <c r="EJ71" t="n">
        <v>829.6</v>
      </c>
      <c r="EK71" t="n">
        <v>179.8</v>
      </c>
      <c r="EL71" t="n">
        <v>22</v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n">
        <v>4.5</v>
      </c>
      <c r="F72" t="b">
        <v>1</v>
      </c>
      <c r="G72" t="b">
        <v>1</v>
      </c>
      <c r="H72" t="n">
        <v>26.9</v>
      </c>
      <c r="I72" t="inlineStr">
        <is>
          <t>a</t>
        </is>
      </c>
      <c r="L72" t="inlineStr">
        <is>
          <t>p457569</t>
        </is>
      </c>
      <c r="M72" t="n">
        <v>57</v>
      </c>
      <c r="Q72" t="n">
        <v>3420</v>
      </c>
      <c r="R72" t="n">
        <v>38</v>
      </c>
      <c r="S72" t="n">
        <v>38</v>
      </c>
      <c r="T72" t="n">
        <v>38</v>
      </c>
      <c r="U72" t="n">
        <v>90</v>
      </c>
      <c r="V72" t="n">
        <v>124</v>
      </c>
      <c r="W72" t="n">
        <v>3.263</v>
      </c>
      <c r="X72" t="n">
        <v>0</v>
      </c>
      <c r="Y72" t="n">
        <v>0</v>
      </c>
      <c r="AA72" t="n">
        <v>11</v>
      </c>
      <c r="AB72" t="n">
        <v>54</v>
      </c>
      <c r="AC72" t="n">
        <v>5</v>
      </c>
      <c r="AD72" t="n">
        <v>7</v>
      </c>
      <c r="AE72" t="n">
        <v>2</v>
      </c>
      <c r="AF72" t="n">
        <v>512</v>
      </c>
      <c r="AG72" t="n">
        <v>496</v>
      </c>
      <c r="AH72" t="n">
        <v>-16</v>
      </c>
      <c r="AI72" t="n">
        <v>126</v>
      </c>
      <c r="AJ72" t="n">
        <v>0.04</v>
      </c>
      <c r="AK72" t="n">
        <v>0.042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1</v>
      </c>
      <c r="AT72" t="n">
        <v>1</v>
      </c>
      <c r="AU72" t="n">
        <v>20</v>
      </c>
      <c r="AV72" t="n">
        <v>1</v>
      </c>
      <c r="AW72" t="n">
        <v>2.56</v>
      </c>
      <c r="AX72" t="n">
        <v>10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H72" t="n">
        <v>1</v>
      </c>
      <c r="BI72" t="n">
        <v>0</v>
      </c>
      <c r="BJ72" t="n">
        <v>0</v>
      </c>
      <c r="BK72" t="n">
        <v>0</v>
      </c>
      <c r="BL72" t="n">
        <v>0</v>
      </c>
      <c r="BO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I72" t="n">
        <v>3.018</v>
      </c>
      <c r="CJ72" t="n">
        <v>3.018</v>
      </c>
      <c r="CK72" t="n">
        <v>62</v>
      </c>
      <c r="CL72" t="n">
        <v>285</v>
      </c>
      <c r="CM72" t="n">
        <v>0</v>
      </c>
      <c r="CP72" t="n">
        <v>62</v>
      </c>
      <c r="CR72" t="n">
        <v>23</v>
      </c>
      <c r="CS72" t="n">
        <v>20</v>
      </c>
      <c r="CU72" t="n">
        <v>2</v>
      </c>
      <c r="CV72" t="n">
        <v>2</v>
      </c>
      <c r="CW72" t="n">
        <v>56.72</v>
      </c>
      <c r="CX72" t="n">
        <v>1.493</v>
      </c>
      <c r="CY72" t="n">
        <v>109</v>
      </c>
      <c r="CZ72" t="n">
        <v>66.90000000000001</v>
      </c>
      <c r="DA72" t="n">
        <v>-3</v>
      </c>
      <c r="DB72" t="n">
        <v>0</v>
      </c>
      <c r="DC72" t="n">
        <v>41</v>
      </c>
      <c r="DD72" t="n">
        <v>35</v>
      </c>
      <c r="DE72" t="n">
        <v>6.94</v>
      </c>
      <c r="DF72" t="n">
        <v>3</v>
      </c>
      <c r="DG72" t="n">
        <v>0</v>
      </c>
      <c r="DI72" t="n">
        <v>2</v>
      </c>
      <c r="DM72" t="n">
        <v>0</v>
      </c>
      <c r="DO72" t="n">
        <v>3.7</v>
      </c>
      <c r="DP72" t="n">
        <v>120.28</v>
      </c>
      <c r="DQ72" t="n">
        <v>60.14</v>
      </c>
      <c r="DR72" t="n">
        <v>120.28</v>
      </c>
      <c r="DS72" t="n">
        <v>0</v>
      </c>
      <c r="DT72" t="n">
        <v>3385</v>
      </c>
      <c r="DU72" t="n">
        <v>89.09</v>
      </c>
      <c r="DV72" t="inlineStr">
        <is>
          <t>flat</t>
        </is>
      </c>
      <c r="DW72" t="n">
        <v>105</v>
      </c>
      <c r="DX72" t="n">
        <v>109.69</v>
      </c>
      <c r="DY72" t="n">
        <v>20.56</v>
      </c>
      <c r="DZ72" t="n">
        <v>14.4</v>
      </c>
      <c r="EA72" t="n">
        <v>120</v>
      </c>
      <c r="EB72" t="n">
        <v>115</v>
      </c>
      <c r="EC72" t="n">
        <v>55.3</v>
      </c>
      <c r="ED72" t="n">
        <v>5.7</v>
      </c>
      <c r="EE72" t="n">
        <v>392</v>
      </c>
      <c r="EL72" t="n">
        <v>27.6</v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n">
        <v>5.5</v>
      </c>
      <c r="F73" t="b">
        <v>1</v>
      </c>
      <c r="G73" t="b">
        <v>1</v>
      </c>
      <c r="H73" t="n">
        <v>33.9</v>
      </c>
      <c r="I73" t="inlineStr">
        <is>
          <t>a</t>
        </is>
      </c>
      <c r="L73" t="inlineStr">
        <is>
          <t>p84450</t>
        </is>
      </c>
      <c r="M73" t="n">
        <v>544</v>
      </c>
      <c r="O73" t="n">
        <v>2</v>
      </c>
      <c r="P73" t="n">
        <v>1</v>
      </c>
      <c r="Q73" t="n">
        <v>2901</v>
      </c>
      <c r="R73" t="n">
        <v>34</v>
      </c>
      <c r="S73" t="n">
        <v>32</v>
      </c>
      <c r="T73" t="n">
        <v>32.233</v>
      </c>
      <c r="U73" t="n">
        <v>85.3</v>
      </c>
      <c r="V73" t="n">
        <v>124</v>
      </c>
      <c r="W73" t="n">
        <v>3.847</v>
      </c>
      <c r="X73" t="n">
        <v>1</v>
      </c>
      <c r="Y73" t="n">
        <v>6</v>
      </c>
      <c r="Z73" t="n">
        <v>6</v>
      </c>
      <c r="AA73" t="n">
        <v>9</v>
      </c>
      <c r="AB73" t="n">
        <v>39</v>
      </c>
      <c r="AC73" t="n">
        <v>8</v>
      </c>
      <c r="AD73" t="n">
        <v>8</v>
      </c>
      <c r="AE73" t="n">
        <v>0</v>
      </c>
      <c r="AF73" t="n">
        <v>603</v>
      </c>
      <c r="AG73" t="n">
        <v>583</v>
      </c>
      <c r="AH73" t="n">
        <v>-20</v>
      </c>
      <c r="AI73" t="n">
        <v>124</v>
      </c>
      <c r="AJ73" t="n">
        <v>0.065</v>
      </c>
      <c r="AK73" t="n">
        <v>0.06900000000000001</v>
      </c>
      <c r="AL73" t="n">
        <v>362</v>
      </c>
      <c r="AM73" t="n">
        <v>11.231</v>
      </c>
      <c r="AN73" t="n">
        <v>13</v>
      </c>
      <c r="AO73" t="n">
        <v>26</v>
      </c>
      <c r="AP73" t="n">
        <v>0.406</v>
      </c>
      <c r="AQ73" t="n">
        <v>0.594</v>
      </c>
      <c r="AR73" t="n">
        <v>0.406</v>
      </c>
      <c r="AS73" t="n">
        <v>0.842</v>
      </c>
      <c r="AT73" t="n">
        <v>0.9409999999999999</v>
      </c>
      <c r="AU73" t="n">
        <v>13</v>
      </c>
      <c r="AV73" t="n">
        <v>1</v>
      </c>
      <c r="AW73" t="n">
        <v>2.45</v>
      </c>
      <c r="AX73" t="n">
        <v>10</v>
      </c>
      <c r="AY73" t="n">
        <v>1.01</v>
      </c>
      <c r="AZ73" t="n">
        <v>0.8070000000000001</v>
      </c>
      <c r="BA73" t="n">
        <v>0.909</v>
      </c>
      <c r="BB73" t="n">
        <v>0.8070000000000001</v>
      </c>
      <c r="BC73" t="n">
        <v>0.031</v>
      </c>
      <c r="BD73" t="n">
        <v>0.025</v>
      </c>
      <c r="BE73" t="n">
        <v>0.028</v>
      </c>
      <c r="BF73" t="n">
        <v>0.8</v>
      </c>
      <c r="BG73" t="n">
        <v>0.025</v>
      </c>
      <c r="BH73" t="n">
        <v>1.091</v>
      </c>
      <c r="BI73" t="n">
        <v>5.66</v>
      </c>
      <c r="BJ73" t="n">
        <v>1.102</v>
      </c>
      <c r="BK73" t="n">
        <v>0.034</v>
      </c>
      <c r="BL73" t="n">
        <v>0.091</v>
      </c>
      <c r="BM73" t="n">
        <v>-0.21</v>
      </c>
      <c r="BN73" t="n">
        <v>0.2</v>
      </c>
      <c r="BO73" t="n">
        <v>0.203</v>
      </c>
      <c r="BP73" t="n">
        <v>21</v>
      </c>
      <c r="BQ73" t="n">
        <v>5</v>
      </c>
      <c r="BS73" t="n">
        <v>16</v>
      </c>
      <c r="BT73" t="n">
        <v>0.496</v>
      </c>
      <c r="BW73" t="n">
        <v>3.73</v>
      </c>
      <c r="BX73" t="n">
        <v>3.705</v>
      </c>
      <c r="BY73" t="n">
        <v>3.717</v>
      </c>
      <c r="BZ73" t="n">
        <v>0.115</v>
      </c>
      <c r="CA73" t="n">
        <v>4.626</v>
      </c>
      <c r="CB73" t="n">
        <v>0.144</v>
      </c>
      <c r="CC73" t="n">
        <v>34</v>
      </c>
      <c r="CD73" t="n">
        <v>9</v>
      </c>
      <c r="CE73" t="n">
        <v>34</v>
      </c>
      <c r="CF73" t="n">
        <v>23</v>
      </c>
      <c r="CG73" t="n">
        <v>3</v>
      </c>
      <c r="CH73" t="n">
        <v>61</v>
      </c>
      <c r="CI73" t="n">
        <v>10.455</v>
      </c>
      <c r="CJ73" t="n">
        <v>8.981</v>
      </c>
      <c r="CK73" t="n">
        <v>134</v>
      </c>
      <c r="CL73" t="n">
        <v>178</v>
      </c>
      <c r="CM73" t="n">
        <v>50</v>
      </c>
      <c r="CN73" t="n">
        <v>33</v>
      </c>
      <c r="CO73" t="n">
        <v>29</v>
      </c>
      <c r="CP73" t="n">
        <v>85</v>
      </c>
      <c r="CQ73" t="n">
        <v>20</v>
      </c>
      <c r="CR73" t="n">
        <v>155</v>
      </c>
      <c r="CS73" t="n">
        <v>56</v>
      </c>
      <c r="CT73" t="n">
        <v>0.3</v>
      </c>
      <c r="CV73" t="n">
        <v>3</v>
      </c>
      <c r="CW73" t="n">
        <v>45.68</v>
      </c>
      <c r="CX73" t="n">
        <v>1.417</v>
      </c>
      <c r="CY73" t="n">
        <v>0</v>
      </c>
      <c r="DB73" t="n">
        <v>0</v>
      </c>
      <c r="DE73" t="n">
        <v>7.24</v>
      </c>
      <c r="DF73" t="n">
        <v>8</v>
      </c>
      <c r="DG73" t="n">
        <v>0</v>
      </c>
      <c r="DH73" t="n">
        <v>23</v>
      </c>
      <c r="DI73" t="n">
        <v>41</v>
      </c>
      <c r="DL73" t="n">
        <v>11</v>
      </c>
      <c r="DM73" t="n">
        <v>17</v>
      </c>
      <c r="DO73" t="n">
        <v>5.1</v>
      </c>
      <c r="DP73" t="n">
        <v>132.54</v>
      </c>
      <c r="DQ73" t="n">
        <v>66.27</v>
      </c>
      <c r="DR73" t="n">
        <v>132.54</v>
      </c>
      <c r="DS73" t="n">
        <v>0</v>
      </c>
      <c r="DT73" t="n">
        <v>3295</v>
      </c>
      <c r="DU73" t="n">
        <v>86.7</v>
      </c>
      <c r="DV73" t="inlineStr">
        <is>
          <t>flat</t>
        </is>
      </c>
      <c r="DW73" t="n">
        <v>75.31999999999999</v>
      </c>
      <c r="DX73" t="n">
        <v>82.62</v>
      </c>
      <c r="DY73" t="n">
        <v>21.65</v>
      </c>
      <c r="DZ73" t="n">
        <v>32</v>
      </c>
      <c r="EA73" t="n">
        <v>120</v>
      </c>
      <c r="EB73" t="n">
        <v>67</v>
      </c>
      <c r="EC73" t="n">
        <v>32.2</v>
      </c>
      <c r="ED73" t="n">
        <v>5.6</v>
      </c>
      <c r="EE73" t="n">
        <v>121</v>
      </c>
      <c r="EF73" t="n">
        <v>138.1</v>
      </c>
      <c r="EG73" t="n">
        <v>181.3</v>
      </c>
      <c r="EH73" t="n">
        <v>85.3</v>
      </c>
      <c r="EI73" t="n">
        <v>3192.7</v>
      </c>
      <c r="EJ73" t="n">
        <v>780.4</v>
      </c>
      <c r="EK73" t="n">
        <v>627.1</v>
      </c>
      <c r="EL73" t="n">
        <v>23.4</v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n">
        <v>5</v>
      </c>
      <c r="F74" t="b">
        <v>1</v>
      </c>
      <c r="G74" t="b">
        <v>1</v>
      </c>
      <c r="H74" t="n">
        <v>30.2</v>
      </c>
      <c r="I74" t="inlineStr">
        <is>
          <t>s</t>
        </is>
      </c>
      <c r="J74" t="inlineStr">
        <is>
          <t>Suspended until 30 Aug</t>
        </is>
      </c>
      <c r="K74" t="n">
        <v>0</v>
      </c>
      <c r="L74" t="inlineStr">
        <is>
          <t>p174874</t>
        </is>
      </c>
      <c r="M74" t="n">
        <v>253</v>
      </c>
      <c r="Q74" t="n">
        <v>2882</v>
      </c>
      <c r="R74" t="n">
        <v>33</v>
      </c>
      <c r="S74" t="n">
        <v>33</v>
      </c>
      <c r="T74" t="n">
        <v>32.022</v>
      </c>
      <c r="U74" t="n">
        <v>87.3</v>
      </c>
      <c r="V74" t="n">
        <v>123</v>
      </c>
      <c r="W74" t="n">
        <v>3.841</v>
      </c>
      <c r="X74" t="n">
        <v>0</v>
      </c>
      <c r="Y74" t="n">
        <v>1</v>
      </c>
      <c r="Z74" t="n">
        <v>1</v>
      </c>
      <c r="AA74" t="n">
        <v>8</v>
      </c>
      <c r="AB74" t="n">
        <v>45</v>
      </c>
      <c r="AC74" t="n">
        <v>8</v>
      </c>
      <c r="AD74" t="n">
        <v>6</v>
      </c>
      <c r="AE74" t="n">
        <v>-2</v>
      </c>
      <c r="AF74" t="n">
        <v>424</v>
      </c>
      <c r="AG74" t="n">
        <v>372</v>
      </c>
      <c r="AH74" t="n">
        <v>-52</v>
      </c>
      <c r="AI74" t="n">
        <v>121</v>
      </c>
      <c r="AJ74" t="n">
        <v>0.065</v>
      </c>
      <c r="AK74" t="n">
        <v>0.07000000000000001</v>
      </c>
      <c r="AL74" t="n">
        <v>329</v>
      </c>
      <c r="AM74" t="n">
        <v>10.274</v>
      </c>
      <c r="AN74" t="n">
        <v>20</v>
      </c>
      <c r="AO74" t="n">
        <v>40</v>
      </c>
      <c r="AP74" t="n">
        <v>0.606</v>
      </c>
      <c r="AQ74" t="n">
        <v>0.606</v>
      </c>
      <c r="AR74" t="n">
        <v>0.394</v>
      </c>
      <c r="AS74" t="n">
        <v>0.868</v>
      </c>
      <c r="AT74" t="n">
        <v>0.9389999999999999</v>
      </c>
      <c r="AU74" t="n">
        <v>12</v>
      </c>
      <c r="AV74" t="n">
        <v>3</v>
      </c>
      <c r="AW74" t="n">
        <v>3.09</v>
      </c>
      <c r="AX74" t="n">
        <v>11</v>
      </c>
      <c r="AY74" t="n">
        <v>1.43</v>
      </c>
      <c r="AZ74" t="n">
        <v>1.659</v>
      </c>
      <c r="BA74" t="n">
        <v>1.545</v>
      </c>
      <c r="BB74" t="n">
        <v>1.659</v>
      </c>
      <c r="BC74" t="n">
        <v>0.045</v>
      </c>
      <c r="BD74" t="n">
        <v>0.052</v>
      </c>
      <c r="BE74" t="n">
        <v>0.048</v>
      </c>
      <c r="BF74" t="n">
        <v>0.8</v>
      </c>
      <c r="BG74" t="n">
        <v>0.025</v>
      </c>
      <c r="BH74" t="n">
        <v>0.958</v>
      </c>
      <c r="BI74" t="n">
        <v>6.09</v>
      </c>
      <c r="BJ74" t="n">
        <v>1.37</v>
      </c>
      <c r="BK74" t="n">
        <v>0.043</v>
      </c>
      <c r="BL74" t="n">
        <v>-1.545</v>
      </c>
      <c r="BM74" t="n">
        <v>-0.63</v>
      </c>
      <c r="BN74" t="n">
        <v>-0.8</v>
      </c>
      <c r="BO74" t="n">
        <v>-0.229</v>
      </c>
      <c r="BP74" t="n">
        <v>16</v>
      </c>
      <c r="BQ74" t="n">
        <v>4</v>
      </c>
      <c r="BR74" t="n">
        <v>2</v>
      </c>
      <c r="BS74" t="n">
        <v>35</v>
      </c>
      <c r="BT74" t="n">
        <v>1.093</v>
      </c>
      <c r="BW74" t="n">
        <v>1.83</v>
      </c>
      <c r="BX74" t="n">
        <v>0.581</v>
      </c>
      <c r="BY74" t="n">
        <v>1.205</v>
      </c>
      <c r="BZ74" t="n">
        <v>0.038</v>
      </c>
      <c r="CA74" t="n">
        <v>2.75</v>
      </c>
      <c r="CB74" t="n">
        <v>0.08599999999999999</v>
      </c>
      <c r="CC74" t="n">
        <v>6</v>
      </c>
      <c r="CD74" t="n">
        <v>3</v>
      </c>
      <c r="CE74" t="n">
        <v>7</v>
      </c>
      <c r="CF74" t="n">
        <v>4</v>
      </c>
      <c r="CI74" t="n">
        <v>9.26</v>
      </c>
      <c r="CJ74" t="n">
        <v>8.928000000000001</v>
      </c>
      <c r="CK74" t="n">
        <v>284</v>
      </c>
      <c r="CL74" t="n">
        <v>114</v>
      </c>
      <c r="CM74" t="n">
        <v>45</v>
      </c>
      <c r="CN74" t="n">
        <v>27</v>
      </c>
      <c r="CO74" t="n">
        <v>36</v>
      </c>
      <c r="CP74" t="n">
        <v>229</v>
      </c>
      <c r="CQ74" t="n">
        <v>19</v>
      </c>
      <c r="CR74" t="n">
        <v>141</v>
      </c>
      <c r="CS74" t="n">
        <v>79</v>
      </c>
      <c r="CT74" t="n">
        <v>0</v>
      </c>
      <c r="CU74" t="n">
        <v>2</v>
      </c>
      <c r="CV74" t="n">
        <v>1</v>
      </c>
      <c r="CW74" t="n">
        <v>44.88</v>
      </c>
      <c r="CX74" t="n">
        <v>1.402</v>
      </c>
      <c r="CY74" t="n">
        <v>0</v>
      </c>
      <c r="DB74" t="n">
        <v>0</v>
      </c>
      <c r="DE74" t="n">
        <v>6.94</v>
      </c>
      <c r="DF74" t="n">
        <v>7</v>
      </c>
      <c r="DG74" t="n">
        <v>1</v>
      </c>
      <c r="DH74" t="n">
        <v>31</v>
      </c>
      <c r="DI74" t="n">
        <v>13</v>
      </c>
      <c r="DL74" t="n">
        <v>6</v>
      </c>
      <c r="DM74" t="n">
        <v>3</v>
      </c>
      <c r="DO74" t="n">
        <v>0.1</v>
      </c>
      <c r="DP74" t="n">
        <v>124.77</v>
      </c>
      <c r="DQ74" t="n">
        <v>60.7</v>
      </c>
      <c r="DR74" t="n">
        <v>121.4</v>
      </c>
      <c r="DS74" t="n">
        <v>3.37</v>
      </c>
      <c r="DT74" t="n">
        <v>3032</v>
      </c>
      <c r="DU74" t="n">
        <v>79.8</v>
      </c>
      <c r="DV74" t="inlineStr">
        <is>
          <t>flat</t>
        </is>
      </c>
      <c r="DW74" t="n">
        <v>95.72</v>
      </c>
      <c r="DY74" t="n">
        <v>24.15</v>
      </c>
      <c r="DZ74" t="n">
        <v>27.64</v>
      </c>
      <c r="EA74" t="n">
        <v>119.27</v>
      </c>
      <c r="EB74" t="n">
        <v>17</v>
      </c>
      <c r="EC74" t="n">
        <v>8.199999999999999</v>
      </c>
      <c r="ED74" t="n">
        <v>41.4</v>
      </c>
      <c r="EE74" t="n">
        <v>232</v>
      </c>
      <c r="EF74" t="n">
        <v>180.1</v>
      </c>
      <c r="EG74" t="n">
        <v>82.3</v>
      </c>
      <c r="EH74" t="n">
        <v>411.7</v>
      </c>
      <c r="EI74" t="n">
        <v>1865.8</v>
      </c>
      <c r="EJ74" t="n">
        <v>2390.8</v>
      </c>
      <c r="EK74" t="n">
        <v>1048</v>
      </c>
      <c r="EL74" t="n">
        <v>23.4</v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n">
        <v>4.5</v>
      </c>
      <c r="F75" t="b">
        <v>1</v>
      </c>
      <c r="G75" t="b">
        <v>1</v>
      </c>
      <c r="H75" t="n">
        <v>34.5</v>
      </c>
      <c r="I75" t="inlineStr">
        <is>
          <t>a</t>
        </is>
      </c>
      <c r="L75" t="inlineStr">
        <is>
          <t>p80201</t>
        </is>
      </c>
      <c r="M75" t="n">
        <v>250</v>
      </c>
      <c r="Q75" t="n">
        <v>3420</v>
      </c>
      <c r="R75" t="n">
        <v>38</v>
      </c>
      <c r="S75" t="n">
        <v>38</v>
      </c>
      <c r="T75" t="n">
        <v>38</v>
      </c>
      <c r="U75" t="n">
        <v>90</v>
      </c>
      <c r="V75" t="n">
        <v>122</v>
      </c>
      <c r="W75" t="n">
        <v>3.211</v>
      </c>
      <c r="X75" t="n">
        <v>0</v>
      </c>
      <c r="Y75" t="n">
        <v>0</v>
      </c>
      <c r="AA75" t="n">
        <v>9</v>
      </c>
      <c r="AB75" t="n">
        <v>51</v>
      </c>
      <c r="AC75" t="n">
        <v>8</v>
      </c>
      <c r="AD75" t="n">
        <v>10</v>
      </c>
      <c r="AE75" t="n">
        <v>2</v>
      </c>
      <c r="AF75" t="n">
        <v>556</v>
      </c>
      <c r="AG75" t="n">
        <v>546</v>
      </c>
      <c r="AH75" t="n">
        <v>-10</v>
      </c>
      <c r="AI75" t="n">
        <v>124</v>
      </c>
      <c r="AJ75" t="n">
        <v>0.066</v>
      </c>
      <c r="AK75" t="n">
        <v>0.07000000000000001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1</v>
      </c>
      <c r="AT75" t="n">
        <v>1</v>
      </c>
      <c r="AU75" t="n">
        <v>18</v>
      </c>
      <c r="AV75" t="n">
        <v>1</v>
      </c>
      <c r="AW75" t="n">
        <v>2.41</v>
      </c>
      <c r="AX75" t="n">
        <v>10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H75" t="n">
        <v>1</v>
      </c>
      <c r="BI75" t="n">
        <v>0</v>
      </c>
      <c r="BJ75" t="n">
        <v>0</v>
      </c>
      <c r="BK75" t="n">
        <v>0</v>
      </c>
      <c r="BL75" t="n">
        <v>0</v>
      </c>
      <c r="BO75" t="n">
        <v>0</v>
      </c>
      <c r="BW75" t="n">
        <v>0.02</v>
      </c>
      <c r="BX75" t="n">
        <v>0</v>
      </c>
      <c r="BY75" t="n">
        <v>0.01</v>
      </c>
      <c r="BZ75" t="n">
        <v>0</v>
      </c>
      <c r="CA75" t="n">
        <v>0.01</v>
      </c>
      <c r="CB75" t="n">
        <v>0</v>
      </c>
      <c r="CC75" t="n">
        <v>0</v>
      </c>
      <c r="CI75" t="n">
        <v>4.903</v>
      </c>
      <c r="CJ75" t="n">
        <v>4.903</v>
      </c>
      <c r="CK75" t="n">
        <v>46</v>
      </c>
      <c r="CL75" t="n">
        <v>318</v>
      </c>
      <c r="CM75" t="n">
        <v>4</v>
      </c>
      <c r="CN75" t="n">
        <v>1</v>
      </c>
      <c r="CO75" t="n">
        <v>1</v>
      </c>
      <c r="CP75" t="n">
        <v>45</v>
      </c>
      <c r="CR75" t="n">
        <v>28</v>
      </c>
      <c r="CS75" t="n">
        <v>21</v>
      </c>
      <c r="CU75" t="n">
        <v>1</v>
      </c>
      <c r="CV75" t="n">
        <v>4</v>
      </c>
      <c r="CW75" t="n">
        <v>52.73</v>
      </c>
      <c r="CX75" t="n">
        <v>1.388</v>
      </c>
      <c r="CY75" t="n">
        <v>98</v>
      </c>
      <c r="CZ75" t="n">
        <v>65.8</v>
      </c>
      <c r="DA75" t="n">
        <v>-5.8</v>
      </c>
      <c r="DB75" t="n">
        <v>0</v>
      </c>
      <c r="DC75" t="n">
        <v>30</v>
      </c>
      <c r="DD75" t="n">
        <v>30</v>
      </c>
      <c r="DE75" t="n">
        <v>6.85</v>
      </c>
      <c r="DF75" t="n">
        <v>3</v>
      </c>
      <c r="DG75" t="n">
        <v>0</v>
      </c>
      <c r="DI75" t="n">
        <v>6</v>
      </c>
      <c r="DL75" t="n">
        <v>0</v>
      </c>
      <c r="DO75" t="n">
        <v>3.3</v>
      </c>
      <c r="DP75" t="n">
        <v>120.4</v>
      </c>
      <c r="DQ75" t="n">
        <v>60.2</v>
      </c>
      <c r="DR75" t="n">
        <v>120.4</v>
      </c>
      <c r="DS75" t="n">
        <v>0</v>
      </c>
      <c r="DT75" t="n">
        <v>3420</v>
      </c>
      <c r="DU75" t="n">
        <v>89.98999999999999</v>
      </c>
      <c r="DV75" t="inlineStr">
        <is>
          <t>flat</t>
        </is>
      </c>
      <c r="DW75" t="n">
        <v>106.98</v>
      </c>
      <c r="DX75" t="n">
        <v>113.88</v>
      </c>
      <c r="DY75" t="n">
        <v>16.92</v>
      </c>
      <c r="DZ75" t="n">
        <v>32.5</v>
      </c>
      <c r="EA75" t="n">
        <v>120</v>
      </c>
      <c r="EB75" t="n">
        <v>104</v>
      </c>
      <c r="EC75" t="n">
        <v>50</v>
      </c>
      <c r="ED75" t="n">
        <v>3.7</v>
      </c>
      <c r="EE75" t="n">
        <v>393</v>
      </c>
      <c r="EJ75" t="n">
        <v>342000</v>
      </c>
      <c r="EK75" t="n">
        <v>342000</v>
      </c>
      <c r="EL75" t="n">
        <v>28</v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n">
        <v>5</v>
      </c>
      <c r="F76" t="b">
        <v>1</v>
      </c>
      <c r="G76" t="b">
        <v>1</v>
      </c>
      <c r="H76" t="n">
        <v>34</v>
      </c>
      <c r="I76" t="inlineStr">
        <is>
          <t>a</t>
        </is>
      </c>
      <c r="L76" t="inlineStr">
        <is>
          <t>p98980</t>
        </is>
      </c>
      <c r="M76" t="n">
        <v>28</v>
      </c>
      <c r="Q76" t="n">
        <v>2835</v>
      </c>
      <c r="R76" t="n">
        <v>32</v>
      </c>
      <c r="S76" t="n">
        <v>32</v>
      </c>
      <c r="T76" t="n">
        <v>31.5</v>
      </c>
      <c r="U76" t="n">
        <v>88.59999999999999</v>
      </c>
      <c r="V76" t="n">
        <v>120</v>
      </c>
      <c r="W76" t="n">
        <v>3.81</v>
      </c>
      <c r="X76" t="n">
        <v>0</v>
      </c>
      <c r="Y76" t="n">
        <v>1</v>
      </c>
      <c r="Z76" t="n">
        <v>1</v>
      </c>
      <c r="AA76" t="n">
        <v>7</v>
      </c>
      <c r="AB76" t="n">
        <v>39</v>
      </c>
      <c r="AC76" t="n">
        <v>11</v>
      </c>
      <c r="AD76" t="n">
        <v>10</v>
      </c>
      <c r="AE76" t="n">
        <v>-1</v>
      </c>
      <c r="AF76" t="n">
        <v>530</v>
      </c>
      <c r="AG76" t="n">
        <v>525</v>
      </c>
      <c r="AH76" t="n">
        <v>-5</v>
      </c>
      <c r="AI76" t="n">
        <v>119</v>
      </c>
      <c r="AJ76" t="n">
        <v>0.092</v>
      </c>
      <c r="AK76" t="n">
        <v>0.101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0.842</v>
      </c>
      <c r="AT76" t="n">
        <v>0.969</v>
      </c>
      <c r="AU76" t="n">
        <v>15</v>
      </c>
      <c r="AV76" t="n">
        <v>2</v>
      </c>
      <c r="AW76" t="n">
        <v>3.12</v>
      </c>
      <c r="AX76" t="n">
        <v>14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H76" t="n">
        <v>1</v>
      </c>
      <c r="BI76" t="n">
        <v>0</v>
      </c>
      <c r="BJ76" t="n">
        <v>0</v>
      </c>
      <c r="BK76" t="n">
        <v>0</v>
      </c>
      <c r="BL76" t="n">
        <v>0</v>
      </c>
      <c r="BO76" t="n">
        <v>0</v>
      </c>
      <c r="BW76" t="n">
        <v>0.08</v>
      </c>
      <c r="BX76" t="n">
        <v>0.354</v>
      </c>
      <c r="BY76" t="n">
        <v>0.217</v>
      </c>
      <c r="BZ76" t="n">
        <v>0.007</v>
      </c>
      <c r="CA76" t="n">
        <v>0.217</v>
      </c>
      <c r="CB76" t="n">
        <v>0.007</v>
      </c>
      <c r="CC76" t="n">
        <v>2</v>
      </c>
      <c r="CD76" t="n">
        <v>2</v>
      </c>
      <c r="CE76" t="n">
        <v>2</v>
      </c>
      <c r="CI76" t="n">
        <v>4.598</v>
      </c>
      <c r="CJ76" t="n">
        <v>4.244</v>
      </c>
      <c r="CK76" t="n">
        <v>27</v>
      </c>
      <c r="CL76" t="n">
        <v>272</v>
      </c>
      <c r="CM76" t="n">
        <v>0</v>
      </c>
      <c r="CP76" t="n">
        <v>27</v>
      </c>
      <c r="CR76" t="n">
        <v>28</v>
      </c>
      <c r="CS76" t="n">
        <v>16</v>
      </c>
      <c r="CU76" t="n">
        <v>3</v>
      </c>
      <c r="CV76" t="n">
        <v>2</v>
      </c>
      <c r="CW76" t="n">
        <v>42.92</v>
      </c>
      <c r="CX76" t="n">
        <v>1.363</v>
      </c>
      <c r="CY76" t="n">
        <v>95</v>
      </c>
      <c r="CZ76" t="n">
        <v>70.90000000000001</v>
      </c>
      <c r="DA76" t="n">
        <v>3.5</v>
      </c>
      <c r="DB76" t="n">
        <v>1</v>
      </c>
      <c r="DC76" t="n">
        <v>48</v>
      </c>
      <c r="DD76" t="n">
        <v>10</v>
      </c>
      <c r="DE76" t="n">
        <v>7.07</v>
      </c>
      <c r="DF76" t="n">
        <v>2</v>
      </c>
      <c r="DG76" t="n">
        <v>0</v>
      </c>
      <c r="DI76" t="n">
        <v>17</v>
      </c>
      <c r="DO76" t="n">
        <v>5</v>
      </c>
      <c r="DP76" t="n">
        <v>129.04</v>
      </c>
      <c r="DQ76" t="n">
        <v>64.52</v>
      </c>
      <c r="DR76" t="n">
        <v>129.04</v>
      </c>
      <c r="DS76" t="n">
        <v>0</v>
      </c>
      <c r="DT76" t="n">
        <v>3385</v>
      </c>
      <c r="DU76" t="n">
        <v>89.09</v>
      </c>
      <c r="DV76" t="inlineStr">
        <is>
          <t>flat</t>
        </is>
      </c>
      <c r="DW76" t="n">
        <v>81.33</v>
      </c>
      <c r="DX76" t="n">
        <v>92.42</v>
      </c>
      <c r="DY76" t="n">
        <v>27.04</v>
      </c>
      <c r="DZ76" t="n">
        <v>10.67</v>
      </c>
      <c r="EA76" t="n">
        <v>119</v>
      </c>
      <c r="EB76" t="n">
        <v>176</v>
      </c>
      <c r="EC76" t="n">
        <v>84.59999999999999</v>
      </c>
      <c r="ED76" t="n">
        <v>16.2</v>
      </c>
      <c r="EE76" t="n">
        <v>233</v>
      </c>
      <c r="EH76" t="n">
        <v>1417.5</v>
      </c>
      <c r="EJ76" t="n">
        <v>13069.3</v>
      </c>
      <c r="EK76" t="n">
        <v>13069.3</v>
      </c>
      <c r="EL76" t="n">
        <v>23.6</v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n">
        <v>7.5</v>
      </c>
      <c r="F77" t="b">
        <v>1</v>
      </c>
      <c r="G77" t="b">
        <v>1</v>
      </c>
      <c r="H77" t="n">
        <v>24.2</v>
      </c>
      <c r="I77" t="inlineStr">
        <is>
          <t>a</t>
        </is>
      </c>
      <c r="L77" t="inlineStr">
        <is>
          <t>p248875</t>
        </is>
      </c>
      <c r="M77" t="n">
        <v>400</v>
      </c>
      <c r="N77" t="n">
        <v>4</v>
      </c>
      <c r="Q77" t="n">
        <v>1773</v>
      </c>
      <c r="R77" t="n">
        <v>30</v>
      </c>
      <c r="S77" t="n">
        <v>19</v>
      </c>
      <c r="T77" t="n">
        <v>19.7</v>
      </c>
      <c r="U77" t="n">
        <v>59.1</v>
      </c>
      <c r="V77" t="n">
        <v>120</v>
      </c>
      <c r="W77" t="n">
        <v>6.091</v>
      </c>
      <c r="X77" t="n">
        <v>5</v>
      </c>
      <c r="Y77" t="n">
        <v>8</v>
      </c>
      <c r="Z77" t="n">
        <v>5</v>
      </c>
      <c r="AA77" t="n">
        <v>8</v>
      </c>
      <c r="AB77" t="n">
        <v>18</v>
      </c>
      <c r="AC77" t="n">
        <v>15</v>
      </c>
      <c r="AD77" t="n">
        <v>15</v>
      </c>
      <c r="AE77" t="n">
        <v>0</v>
      </c>
      <c r="AF77" t="n">
        <v>526</v>
      </c>
      <c r="AG77" t="n">
        <v>523</v>
      </c>
      <c r="AH77" t="n">
        <v>-3</v>
      </c>
      <c r="AI77" t="n">
        <v>120</v>
      </c>
      <c r="AJ77" t="n">
        <v>0.125</v>
      </c>
      <c r="AK77" t="n">
        <v>0.143</v>
      </c>
      <c r="AL77" t="n">
        <v>126</v>
      </c>
      <c r="AM77" t="n">
        <v>6.396</v>
      </c>
      <c r="AN77" t="n">
        <v>0</v>
      </c>
      <c r="AO77" t="n">
        <v>0</v>
      </c>
      <c r="AP77" t="n">
        <v>0</v>
      </c>
      <c r="AQ77" t="n">
        <v>0.105</v>
      </c>
      <c r="AR77" t="n">
        <v>0</v>
      </c>
      <c r="AS77" t="n">
        <v>0.5</v>
      </c>
      <c r="AT77" t="n">
        <v>0.6</v>
      </c>
      <c r="AU77" t="n">
        <v>18</v>
      </c>
      <c r="AV77" t="n">
        <v>5</v>
      </c>
      <c r="AW77" t="n">
        <v>3.96</v>
      </c>
      <c r="AX77" t="n">
        <v>15</v>
      </c>
      <c r="AY77" t="n">
        <v>2.87</v>
      </c>
      <c r="AZ77" t="n">
        <v>4</v>
      </c>
      <c r="BA77" t="n">
        <v>3.435</v>
      </c>
      <c r="BB77" t="n">
        <v>4</v>
      </c>
      <c r="BC77" t="n">
        <v>0.146</v>
      </c>
      <c r="BD77" t="n">
        <v>0.203</v>
      </c>
      <c r="BE77" t="n">
        <v>0.174</v>
      </c>
      <c r="BF77" t="n">
        <v>5.2</v>
      </c>
      <c r="BG77" t="n">
        <v>0.264</v>
      </c>
      <c r="BH77" t="n">
        <v>1.28</v>
      </c>
      <c r="BI77" t="n">
        <v>6.76</v>
      </c>
      <c r="BJ77" t="n">
        <v>3.675</v>
      </c>
      <c r="BK77" t="n">
        <v>0.187</v>
      </c>
      <c r="BL77" t="n">
        <v>1.565</v>
      </c>
      <c r="BM77" t="n">
        <v>2.33</v>
      </c>
      <c r="BN77" t="n">
        <v>-0.2</v>
      </c>
      <c r="BO77" t="n">
        <v>-1.13</v>
      </c>
      <c r="BP77" t="n">
        <v>39</v>
      </c>
      <c r="BQ77" t="n">
        <v>15</v>
      </c>
      <c r="BR77" t="n">
        <v>4</v>
      </c>
      <c r="BS77" t="n">
        <v>194</v>
      </c>
      <c r="BT77" t="n">
        <v>9.848000000000001</v>
      </c>
      <c r="BW77" t="n">
        <v>5.86</v>
      </c>
      <c r="BX77" t="n">
        <v>7.553</v>
      </c>
      <c r="BY77" t="n">
        <v>6.707</v>
      </c>
      <c r="BZ77" t="n">
        <v>0.34</v>
      </c>
      <c r="CA77" t="n">
        <v>10.142</v>
      </c>
      <c r="CB77" t="n">
        <v>0.515</v>
      </c>
      <c r="CC77" t="n">
        <v>59</v>
      </c>
      <c r="CD77" t="n">
        <v>13</v>
      </c>
      <c r="CE77" t="n">
        <v>59</v>
      </c>
      <c r="CF77" t="n">
        <v>16</v>
      </c>
      <c r="CG77" t="n">
        <v>10</v>
      </c>
      <c r="CH77" t="n">
        <v>1</v>
      </c>
      <c r="CI77" t="n">
        <v>18.844</v>
      </c>
      <c r="CJ77" t="n">
        <v>9.702</v>
      </c>
      <c r="CK77" t="n">
        <v>15</v>
      </c>
      <c r="CL77" t="n">
        <v>88</v>
      </c>
      <c r="CM77" t="n">
        <v>23</v>
      </c>
      <c r="CN77" t="n">
        <v>15</v>
      </c>
      <c r="CO77" t="n">
        <v>13</v>
      </c>
      <c r="CP77" t="n">
        <v>2</v>
      </c>
      <c r="CR77" t="n">
        <v>171</v>
      </c>
      <c r="CS77" t="n">
        <v>4</v>
      </c>
      <c r="CT77" t="n">
        <v>1</v>
      </c>
      <c r="CW77" t="n">
        <v>23.2</v>
      </c>
      <c r="CX77" t="n">
        <v>1.178</v>
      </c>
      <c r="CY77" t="n">
        <v>0</v>
      </c>
      <c r="DB77" t="n">
        <v>0</v>
      </c>
      <c r="DE77" t="n">
        <v>7.33</v>
      </c>
      <c r="DF77" t="n">
        <v>0</v>
      </c>
      <c r="DG77" t="n">
        <v>0</v>
      </c>
      <c r="DH77" t="n">
        <v>23</v>
      </c>
      <c r="DI77" t="n">
        <v>61</v>
      </c>
      <c r="DJ77" t="n">
        <v>2</v>
      </c>
      <c r="DL77" t="n">
        <v>84</v>
      </c>
      <c r="DM77" t="n">
        <v>49</v>
      </c>
      <c r="DN77" t="n">
        <v>3</v>
      </c>
      <c r="DO77" t="n">
        <v>6.4</v>
      </c>
      <c r="DP77" t="n">
        <v>140.01</v>
      </c>
      <c r="DQ77" t="n">
        <v>70.03</v>
      </c>
      <c r="DR77" t="n">
        <v>140.06</v>
      </c>
      <c r="DS77" t="n">
        <v>-0.05</v>
      </c>
      <c r="DT77" t="n">
        <v>2502</v>
      </c>
      <c r="DU77" t="n">
        <v>65.84999999999999</v>
      </c>
      <c r="DV77" t="inlineStr">
        <is>
          <t>flat</t>
        </is>
      </c>
      <c r="DW77" t="n">
        <v>30.58</v>
      </c>
      <c r="DX77" t="n">
        <v>28.67</v>
      </c>
      <c r="DY77" t="n">
        <v>18.35</v>
      </c>
      <c r="DZ77" t="n">
        <v>7.5</v>
      </c>
      <c r="EA77" t="n">
        <v>107.2</v>
      </c>
      <c r="EB77" t="n">
        <v>160</v>
      </c>
      <c r="EC77" t="n">
        <v>76.90000000000001</v>
      </c>
      <c r="ED77" t="n">
        <v>24.9</v>
      </c>
      <c r="EE77" t="n">
        <v>20</v>
      </c>
      <c r="EF77" t="n">
        <v>45.5</v>
      </c>
      <c r="EG77" t="n">
        <v>9.1</v>
      </c>
      <c r="EH77" t="n">
        <v>30.1</v>
      </c>
      <c r="EI77" t="n">
        <v>516.2</v>
      </c>
      <c r="EJ77" t="n">
        <v>264.4</v>
      </c>
      <c r="EK77" t="n">
        <v>174.8</v>
      </c>
      <c r="EL77" t="n">
        <v>14.8</v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n">
        <v>5.5</v>
      </c>
      <c r="F78" t="b">
        <v>1</v>
      </c>
      <c r="G78" t="b">
        <v>1</v>
      </c>
      <c r="H78" t="n">
        <v>28.9</v>
      </c>
      <c r="I78" t="inlineStr">
        <is>
          <t>a</t>
        </is>
      </c>
      <c r="L78" t="inlineStr">
        <is>
          <t>p227444</t>
        </is>
      </c>
      <c r="M78" t="n">
        <v>471</v>
      </c>
      <c r="Q78" t="n">
        <v>3375</v>
      </c>
      <c r="R78" t="n">
        <v>38</v>
      </c>
      <c r="S78" t="n">
        <v>37</v>
      </c>
      <c r="T78" t="n">
        <v>37.5</v>
      </c>
      <c r="U78" t="n">
        <v>88.8</v>
      </c>
      <c r="V78" t="n">
        <v>119</v>
      </c>
      <c r="W78" t="n">
        <v>3.173</v>
      </c>
      <c r="X78" t="n">
        <v>0</v>
      </c>
      <c r="Y78" t="n">
        <v>1</v>
      </c>
      <c r="AA78" t="n">
        <v>9</v>
      </c>
      <c r="AB78" t="n">
        <v>51</v>
      </c>
      <c r="AC78" t="n">
        <v>2</v>
      </c>
      <c r="AD78" t="n">
        <v>1</v>
      </c>
      <c r="AE78" t="n">
        <v>-1</v>
      </c>
      <c r="AF78" t="n">
        <v>401</v>
      </c>
      <c r="AG78" t="n">
        <v>346</v>
      </c>
      <c r="AH78" t="n">
        <v>-55</v>
      </c>
      <c r="AI78" t="n">
        <v>118</v>
      </c>
      <c r="AJ78" t="n">
        <v>0.017</v>
      </c>
      <c r="AK78" t="n">
        <v>0.017</v>
      </c>
      <c r="AL78" t="n">
        <v>311</v>
      </c>
      <c r="AM78" t="n">
        <v>8.292999999999999</v>
      </c>
      <c r="AN78" t="n">
        <v>13</v>
      </c>
      <c r="AO78" t="n">
        <v>26</v>
      </c>
      <c r="AP78" t="n">
        <v>0.351</v>
      </c>
      <c r="AQ78" t="n">
        <v>0.351</v>
      </c>
      <c r="AR78" t="n">
        <v>0.189</v>
      </c>
      <c r="AS78" t="n">
        <v>0.974</v>
      </c>
      <c r="AT78" t="n">
        <v>0.974</v>
      </c>
      <c r="AU78" t="n">
        <v>21</v>
      </c>
      <c r="AV78" t="n">
        <v>0</v>
      </c>
      <c r="AW78" t="n">
        <v>2.62</v>
      </c>
      <c r="AX78" t="n">
        <v>9</v>
      </c>
      <c r="AY78" t="n">
        <v>0.83</v>
      </c>
      <c r="AZ78" t="n">
        <v>0.509</v>
      </c>
      <c r="BA78" t="n">
        <v>0.67</v>
      </c>
      <c r="BB78" t="n">
        <v>0.509</v>
      </c>
      <c r="BC78" t="n">
        <v>0.022</v>
      </c>
      <c r="BD78" t="n">
        <v>0.014</v>
      </c>
      <c r="BE78" t="n">
        <v>0.018</v>
      </c>
      <c r="BF78" t="n">
        <v>0.1</v>
      </c>
      <c r="BG78" t="n">
        <v>0.003</v>
      </c>
      <c r="BH78" t="n">
        <v>0.994</v>
      </c>
      <c r="BI78" t="n">
        <v>4.88</v>
      </c>
      <c r="BJ78" t="n">
        <v>0.825</v>
      </c>
      <c r="BK78" t="n">
        <v>0.022</v>
      </c>
      <c r="BL78" t="n">
        <v>-0.67</v>
      </c>
      <c r="BM78" t="n">
        <v>-0.73</v>
      </c>
      <c r="BN78" t="n">
        <v>-0.1</v>
      </c>
      <c r="BO78" t="n">
        <v>0.321</v>
      </c>
      <c r="BP78" t="n">
        <v>16</v>
      </c>
      <c r="BQ78" t="n">
        <v>1</v>
      </c>
      <c r="BR78" t="n">
        <v>2</v>
      </c>
      <c r="BS78" t="n">
        <v>35</v>
      </c>
      <c r="BT78" t="n">
        <v>0.9330000000000001</v>
      </c>
      <c r="BW78" t="n">
        <v>0.68</v>
      </c>
      <c r="BX78" t="n">
        <v>0.268</v>
      </c>
      <c r="BY78" t="n">
        <v>0.474</v>
      </c>
      <c r="BZ78" t="n">
        <v>0.013</v>
      </c>
      <c r="CA78" t="n">
        <v>1.143</v>
      </c>
      <c r="CB78" t="n">
        <v>0.03</v>
      </c>
      <c r="CC78" t="n">
        <v>3</v>
      </c>
      <c r="CD78" t="n">
        <v>1</v>
      </c>
      <c r="CE78" t="n">
        <v>3</v>
      </c>
      <c r="CI78" t="n">
        <v>8.07</v>
      </c>
      <c r="CJ78" t="n">
        <v>7.998</v>
      </c>
      <c r="CK78" t="n">
        <v>281</v>
      </c>
      <c r="CL78" t="n">
        <v>107</v>
      </c>
      <c r="CM78" t="n">
        <v>30</v>
      </c>
      <c r="CN78" t="n">
        <v>17</v>
      </c>
      <c r="CO78" t="n">
        <v>29</v>
      </c>
      <c r="CP78" t="n">
        <v>218</v>
      </c>
      <c r="CQ78" t="n">
        <v>36</v>
      </c>
      <c r="CR78" t="n">
        <v>143</v>
      </c>
      <c r="CS78" t="n">
        <v>89</v>
      </c>
      <c r="CU78" t="n">
        <v>2</v>
      </c>
      <c r="CV78" t="n">
        <v>1</v>
      </c>
      <c r="CW78" t="n">
        <v>54.98</v>
      </c>
      <c r="CX78" t="n">
        <v>1.466</v>
      </c>
      <c r="CY78" t="n">
        <v>0</v>
      </c>
      <c r="DB78" t="n">
        <v>0</v>
      </c>
      <c r="DE78" t="n">
        <v>6.68</v>
      </c>
      <c r="DF78" t="n">
        <v>6</v>
      </c>
      <c r="DG78" t="n">
        <v>0</v>
      </c>
      <c r="DH78" t="n">
        <v>21</v>
      </c>
      <c r="DI78" t="n">
        <v>20</v>
      </c>
      <c r="DL78" t="n">
        <v>3</v>
      </c>
      <c r="DM78" t="n">
        <v>2</v>
      </c>
      <c r="DN78" t="n">
        <v>1</v>
      </c>
      <c r="DO78" t="n">
        <v>2.3</v>
      </c>
      <c r="DP78" t="n">
        <v>132.2</v>
      </c>
      <c r="DQ78" t="n">
        <v>66.09999999999999</v>
      </c>
      <c r="DR78" t="n">
        <v>132.2</v>
      </c>
      <c r="DS78" t="n">
        <v>0</v>
      </c>
      <c r="DT78" t="n">
        <v>3312</v>
      </c>
      <c r="DU78" t="n">
        <v>87.15000000000001</v>
      </c>
      <c r="DV78" t="inlineStr">
        <is>
          <t>flat</t>
        </is>
      </c>
      <c r="DW78" t="n">
        <v>79.23</v>
      </c>
      <c r="DX78" t="n">
        <v>83.79000000000001</v>
      </c>
      <c r="DY78" t="n">
        <v>20.3</v>
      </c>
      <c r="DZ78" t="n">
        <v>17.6</v>
      </c>
      <c r="EA78" t="n">
        <v>118.86</v>
      </c>
      <c r="EB78" t="n">
        <v>123</v>
      </c>
      <c r="EC78" t="n">
        <v>59.1</v>
      </c>
      <c r="ED78" t="n">
        <v>31.7</v>
      </c>
      <c r="EE78" t="n">
        <v>122</v>
      </c>
      <c r="EF78" t="n">
        <v>210.9</v>
      </c>
      <c r="EG78" t="n">
        <v>96.40000000000001</v>
      </c>
      <c r="EH78" t="n">
        <v>1125</v>
      </c>
      <c r="EI78" t="n">
        <v>5039.5</v>
      </c>
      <c r="EJ78" t="n">
        <v>7123.4</v>
      </c>
      <c r="EK78" t="n">
        <v>2951.5</v>
      </c>
      <c r="EL78" t="n">
        <v>28.4</v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n">
        <v>6</v>
      </c>
      <c r="F79" t="b">
        <v>1</v>
      </c>
      <c r="G79" t="b">
        <v>1</v>
      </c>
      <c r="H79" t="n">
        <v>29.3</v>
      </c>
      <c r="I79" t="inlineStr">
        <is>
          <t>a</t>
        </is>
      </c>
      <c r="L79" t="inlineStr">
        <is>
          <t>p212319</t>
        </is>
      </c>
      <c r="M79" t="n">
        <v>527</v>
      </c>
      <c r="N79" t="n">
        <v>4</v>
      </c>
      <c r="Q79" t="n">
        <v>1954</v>
      </c>
      <c r="R79" t="n">
        <v>32</v>
      </c>
      <c r="S79" t="n">
        <v>20</v>
      </c>
      <c r="T79" t="n">
        <v>21.711</v>
      </c>
      <c r="U79" t="n">
        <v>61.1</v>
      </c>
      <c r="V79" t="n">
        <v>119</v>
      </c>
      <c r="W79" t="n">
        <v>5.481</v>
      </c>
      <c r="X79" t="n">
        <v>11</v>
      </c>
      <c r="Y79" t="n">
        <v>4</v>
      </c>
      <c r="Z79" t="n">
        <v>4</v>
      </c>
      <c r="AA79" t="n">
        <v>7</v>
      </c>
      <c r="AB79" t="n">
        <v>27</v>
      </c>
      <c r="AC79" t="n">
        <v>17</v>
      </c>
      <c r="AD79" t="n">
        <v>17</v>
      </c>
      <c r="AE79" t="n">
        <v>0</v>
      </c>
      <c r="AF79" t="n">
        <v>505</v>
      </c>
      <c r="AG79" t="n">
        <v>493</v>
      </c>
      <c r="AH79" t="n">
        <v>-12</v>
      </c>
      <c r="AI79" t="n">
        <v>119</v>
      </c>
      <c r="AJ79" t="n">
        <v>0.143</v>
      </c>
      <c r="AK79" t="n">
        <v>0.167</v>
      </c>
      <c r="AL79" t="n">
        <v>147</v>
      </c>
      <c r="AM79" t="n">
        <v>6.771</v>
      </c>
      <c r="AN79" t="n">
        <v>0</v>
      </c>
      <c r="AO79" t="n">
        <v>0</v>
      </c>
      <c r="AP79" t="n">
        <v>0</v>
      </c>
      <c r="AQ79" t="n">
        <v>0.15</v>
      </c>
      <c r="AR79" t="n">
        <v>0</v>
      </c>
      <c r="AS79" t="n">
        <v>0.526</v>
      </c>
      <c r="AT79" t="n">
        <v>0.594</v>
      </c>
      <c r="AU79" t="n">
        <v>18</v>
      </c>
      <c r="AV79" t="n">
        <v>1</v>
      </c>
      <c r="AW79" t="n">
        <v>3.21</v>
      </c>
      <c r="AX79" t="n">
        <v>13</v>
      </c>
      <c r="AY79" t="n">
        <v>8.640000000000001</v>
      </c>
      <c r="AZ79" t="n">
        <v>9.866</v>
      </c>
      <c r="BA79" t="n">
        <v>9.253</v>
      </c>
      <c r="BB79" t="n">
        <v>9.866</v>
      </c>
      <c r="BC79" t="n">
        <v>0.398</v>
      </c>
      <c r="BD79" t="n">
        <v>0.454</v>
      </c>
      <c r="BE79" t="n">
        <v>0.426</v>
      </c>
      <c r="BF79" t="n">
        <v>12</v>
      </c>
      <c r="BG79" t="n">
        <v>0.553</v>
      </c>
      <c r="BH79" t="n">
        <v>1.055</v>
      </c>
      <c r="BI79" t="n">
        <v>25.27</v>
      </c>
      <c r="BJ79" t="n">
        <v>9.115</v>
      </c>
      <c r="BK79" t="n">
        <v>0.42</v>
      </c>
      <c r="BL79" t="n">
        <v>1.747</v>
      </c>
      <c r="BM79" t="n">
        <v>3.36</v>
      </c>
      <c r="BN79" t="n">
        <v>-1</v>
      </c>
      <c r="BO79" t="n">
        <v>-1.226</v>
      </c>
      <c r="BP79" t="n">
        <v>61</v>
      </c>
      <c r="BQ79" t="n">
        <v>26</v>
      </c>
      <c r="BR79" t="n">
        <v>10</v>
      </c>
      <c r="BS79" t="n">
        <v>125</v>
      </c>
      <c r="BT79" t="n">
        <v>5.757</v>
      </c>
      <c r="BV79" t="n">
        <v>3</v>
      </c>
      <c r="BW79" t="n">
        <v>1.46</v>
      </c>
      <c r="BX79" t="n">
        <v>3.408</v>
      </c>
      <c r="BY79" t="n">
        <v>2.434</v>
      </c>
      <c r="BZ79" t="n">
        <v>0.112</v>
      </c>
      <c r="CA79" t="n">
        <v>11.687</v>
      </c>
      <c r="CB79" t="n">
        <v>0.538</v>
      </c>
      <c r="CC79" t="n">
        <v>19</v>
      </c>
      <c r="CD79" t="n">
        <v>5</v>
      </c>
      <c r="CE79" t="n">
        <v>20</v>
      </c>
      <c r="CG79" t="n">
        <v>1</v>
      </c>
      <c r="CI79" t="n">
        <v>11.188</v>
      </c>
      <c r="CJ79" t="n">
        <v>2.256</v>
      </c>
      <c r="CK79" t="n">
        <v>60</v>
      </c>
      <c r="CL79" t="n">
        <v>60</v>
      </c>
      <c r="CM79" t="n">
        <v>27</v>
      </c>
      <c r="CN79" t="n">
        <v>16</v>
      </c>
      <c r="CO79" t="n">
        <v>5</v>
      </c>
      <c r="CP79" t="n">
        <v>51</v>
      </c>
      <c r="CQ79" t="n">
        <v>3</v>
      </c>
      <c r="CR79" t="n">
        <v>139</v>
      </c>
      <c r="CS79" t="n">
        <v>69</v>
      </c>
      <c r="CT79" t="n">
        <v>0.7</v>
      </c>
      <c r="CV79" t="n">
        <v>1</v>
      </c>
      <c r="CW79" t="n">
        <v>25.64</v>
      </c>
      <c r="CX79" t="n">
        <v>1.181</v>
      </c>
      <c r="CY79" t="n">
        <v>0</v>
      </c>
      <c r="DB79" t="n">
        <v>0</v>
      </c>
      <c r="DE79" t="n">
        <v>6.87</v>
      </c>
      <c r="DF79" t="n">
        <v>5</v>
      </c>
      <c r="DG79" t="n">
        <v>0</v>
      </c>
      <c r="DH79" t="n">
        <v>23</v>
      </c>
      <c r="DI79" t="n">
        <v>33</v>
      </c>
      <c r="DL79" t="n">
        <v>12</v>
      </c>
      <c r="DM79" t="n">
        <v>30</v>
      </c>
      <c r="DN79" t="n">
        <v>10</v>
      </c>
      <c r="DO79" t="n">
        <v>2</v>
      </c>
      <c r="DP79" t="n">
        <v>61.65</v>
      </c>
      <c r="DQ79" t="n">
        <v>36.63</v>
      </c>
      <c r="DR79" t="n">
        <v>73.26000000000001</v>
      </c>
      <c r="DS79" t="n">
        <v>-11.61</v>
      </c>
      <c r="DT79" t="n">
        <v>697</v>
      </c>
      <c r="DU79" t="n">
        <v>18.34</v>
      </c>
      <c r="DV79" t="inlineStr">
        <is>
          <t>fade (losing his place)</t>
        </is>
      </c>
      <c r="DW79" t="n">
        <v>61.19</v>
      </c>
      <c r="DX79" t="n">
        <v>63.25</v>
      </c>
      <c r="DY79" t="n">
        <v>25.19</v>
      </c>
      <c r="DZ79" t="n">
        <v>14</v>
      </c>
      <c r="EA79" t="n">
        <v>120</v>
      </c>
      <c r="EB79" t="n">
        <v>141</v>
      </c>
      <c r="EC79" t="n">
        <v>67.8</v>
      </c>
      <c r="ED79" t="n">
        <v>20.3</v>
      </c>
      <c r="EE79" t="n">
        <v>74</v>
      </c>
      <c r="EF79" t="n">
        <v>32</v>
      </c>
      <c r="EG79" t="n">
        <v>15.6</v>
      </c>
      <c r="EH79" t="n">
        <v>97.7</v>
      </c>
      <c r="EI79" t="n">
        <v>211.2</v>
      </c>
      <c r="EJ79" t="n">
        <v>802.8</v>
      </c>
      <c r="EK79" t="n">
        <v>167.2</v>
      </c>
      <c r="EL79" t="n">
        <v>16.4</v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n">
        <v>4.5</v>
      </c>
      <c r="F80" t="b">
        <v>1</v>
      </c>
      <c r="G80" t="b">
        <v>1</v>
      </c>
      <c r="H80" t="n">
        <v>26.9</v>
      </c>
      <c r="I80" t="inlineStr">
        <is>
          <t>a</t>
        </is>
      </c>
      <c r="L80" t="inlineStr">
        <is>
          <t>p231416</t>
        </is>
      </c>
      <c r="M80" t="n">
        <v>113</v>
      </c>
      <c r="O80" t="n">
        <v>2</v>
      </c>
      <c r="Q80" t="n">
        <v>3130</v>
      </c>
      <c r="R80" t="n">
        <v>37</v>
      </c>
      <c r="S80" t="n">
        <v>34</v>
      </c>
      <c r="T80" t="n">
        <v>34.778</v>
      </c>
      <c r="U80" t="n">
        <v>84.59999999999999</v>
      </c>
      <c r="V80" t="n">
        <v>118</v>
      </c>
      <c r="W80" t="n">
        <v>3.393</v>
      </c>
      <c r="X80" t="n">
        <v>1</v>
      </c>
      <c r="Y80" t="n">
        <v>2</v>
      </c>
      <c r="AA80" t="n">
        <v>10</v>
      </c>
      <c r="AB80" t="n">
        <v>41</v>
      </c>
      <c r="AC80" t="n">
        <v>7</v>
      </c>
      <c r="AD80" t="n">
        <v>8</v>
      </c>
      <c r="AE80" t="n">
        <v>1</v>
      </c>
      <c r="AF80" t="n">
        <v>514</v>
      </c>
      <c r="AG80" t="n">
        <v>493</v>
      </c>
      <c r="AH80" t="n">
        <v>-21</v>
      </c>
      <c r="AI80" t="n">
        <v>119</v>
      </c>
      <c r="AJ80" t="n">
        <v>0.059</v>
      </c>
      <c r="AK80" t="n">
        <v>0.063</v>
      </c>
      <c r="AL80" t="n">
        <v>170</v>
      </c>
      <c r="AM80" t="n">
        <v>4.888</v>
      </c>
      <c r="AN80" t="n">
        <v>2</v>
      </c>
      <c r="AO80" t="n">
        <v>4</v>
      </c>
      <c r="AP80" t="n">
        <v>0.059</v>
      </c>
      <c r="AQ80" t="n">
        <v>0.059</v>
      </c>
      <c r="AR80" t="n">
        <v>0</v>
      </c>
      <c r="AS80" t="n">
        <v>0.895</v>
      </c>
      <c r="AT80" t="n">
        <v>0.946</v>
      </c>
      <c r="AU80" t="n">
        <v>25</v>
      </c>
      <c r="AV80" t="n">
        <v>1</v>
      </c>
      <c r="AW80" t="n">
        <v>3.24</v>
      </c>
      <c r="AX80" t="n">
        <v>15</v>
      </c>
      <c r="AY80" t="n">
        <v>2.06</v>
      </c>
      <c r="AZ80" t="n">
        <v>2.02</v>
      </c>
      <c r="BA80" t="n">
        <v>2.04</v>
      </c>
      <c r="BB80" t="n">
        <v>2.02</v>
      </c>
      <c r="BC80" t="n">
        <v>0.059</v>
      </c>
      <c r="BD80" t="n">
        <v>0.058</v>
      </c>
      <c r="BE80" t="n">
        <v>0.059</v>
      </c>
      <c r="BF80" t="n">
        <v>3.1</v>
      </c>
      <c r="BG80" t="n">
        <v>0.089</v>
      </c>
      <c r="BH80" t="n">
        <v>1.057</v>
      </c>
      <c r="BI80" t="n">
        <v>2.5</v>
      </c>
      <c r="BJ80" t="n">
        <v>2.178</v>
      </c>
      <c r="BK80" t="n">
        <v>0.063</v>
      </c>
      <c r="BL80" t="n">
        <v>-1.04</v>
      </c>
      <c r="BM80" t="n">
        <v>1.04</v>
      </c>
      <c r="BN80" t="n">
        <v>-2.1</v>
      </c>
      <c r="BO80" t="n">
        <v>0.04</v>
      </c>
      <c r="BP80" t="n">
        <v>28</v>
      </c>
      <c r="BQ80" t="n">
        <v>13</v>
      </c>
      <c r="BR80" t="n">
        <v>3</v>
      </c>
      <c r="BS80" t="n">
        <v>58</v>
      </c>
      <c r="BT80" t="n">
        <v>1.668</v>
      </c>
      <c r="BW80" t="n">
        <v>3.31</v>
      </c>
      <c r="BX80" t="n">
        <v>2.245</v>
      </c>
      <c r="BY80" t="n">
        <v>2.777</v>
      </c>
      <c r="BZ80" t="n">
        <v>0.08</v>
      </c>
      <c r="CA80" t="n">
        <v>4.817</v>
      </c>
      <c r="CB80" t="n">
        <v>0.139</v>
      </c>
      <c r="CC80" t="n">
        <v>22</v>
      </c>
      <c r="CD80" t="n">
        <v>2</v>
      </c>
      <c r="CE80" t="n">
        <v>21</v>
      </c>
      <c r="CF80" t="n">
        <v>23</v>
      </c>
      <c r="CH80" t="n">
        <v>25</v>
      </c>
      <c r="CI80" t="n">
        <v>14.009</v>
      </c>
      <c r="CJ80" t="n">
        <v>11.696</v>
      </c>
      <c r="CK80" t="n">
        <v>113</v>
      </c>
      <c r="CL80" t="n">
        <v>130</v>
      </c>
      <c r="CM80" t="n">
        <v>57</v>
      </c>
      <c r="CN80" t="n">
        <v>39</v>
      </c>
      <c r="CO80" t="n">
        <v>26</v>
      </c>
      <c r="CP80" t="n">
        <v>81</v>
      </c>
      <c r="CQ80" t="n">
        <v>7</v>
      </c>
      <c r="CR80" t="n">
        <v>136</v>
      </c>
      <c r="CS80" t="n">
        <v>32</v>
      </c>
      <c r="CT80" t="n">
        <v>0.3</v>
      </c>
      <c r="CW80" t="n">
        <v>44.61</v>
      </c>
      <c r="CX80" t="n">
        <v>1.283</v>
      </c>
      <c r="CY80" t="n">
        <v>0</v>
      </c>
      <c r="DB80" t="n">
        <v>0</v>
      </c>
      <c r="DE80" t="n">
        <v>6.93</v>
      </c>
      <c r="DF80" t="n">
        <v>6</v>
      </c>
      <c r="DG80" t="n">
        <v>0</v>
      </c>
      <c r="DH80" t="n">
        <v>22</v>
      </c>
      <c r="DI80" t="n">
        <v>36</v>
      </c>
      <c r="DL80" t="n">
        <v>12</v>
      </c>
      <c r="DM80" t="n">
        <v>18</v>
      </c>
      <c r="DN80" t="n">
        <v>7</v>
      </c>
      <c r="DO80" t="n">
        <v>3.1</v>
      </c>
      <c r="DP80" t="n">
        <v>118.37</v>
      </c>
      <c r="DQ80" t="n">
        <v>59.43</v>
      </c>
      <c r="DR80" t="n">
        <v>118.86</v>
      </c>
      <c r="DS80" t="n">
        <v>-0.49</v>
      </c>
      <c r="DT80" t="n">
        <v>3198</v>
      </c>
      <c r="DU80" t="n">
        <v>84.15000000000001</v>
      </c>
      <c r="DV80" t="inlineStr">
        <is>
          <t>flat</t>
        </is>
      </c>
      <c r="DW80" t="n">
        <v>94.75</v>
      </c>
      <c r="DX80" t="n">
        <v>97.56</v>
      </c>
      <c r="DY80" t="n">
        <v>16.9</v>
      </c>
      <c r="DZ80" t="n">
        <v>54.67</v>
      </c>
      <c r="EA80" t="n">
        <v>120</v>
      </c>
      <c r="EB80" t="n">
        <v>59</v>
      </c>
      <c r="EC80" t="n">
        <v>28.4</v>
      </c>
      <c r="ED80" t="n">
        <v>1.7</v>
      </c>
      <c r="EE80" t="n">
        <v>394</v>
      </c>
      <c r="EF80" t="n">
        <v>111.8</v>
      </c>
      <c r="EG80" t="n">
        <v>54</v>
      </c>
      <c r="EH80" t="n">
        <v>149</v>
      </c>
      <c r="EI80" t="n">
        <v>1534.5</v>
      </c>
      <c r="EJ80" t="n">
        <v>1127</v>
      </c>
      <c r="EK80" t="n">
        <v>649.8</v>
      </c>
      <c r="EL80" t="n">
        <v>26.5</v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n">
        <v>6.5</v>
      </c>
      <c r="F81" t="b">
        <v>1</v>
      </c>
      <c r="G81" t="b">
        <v>1</v>
      </c>
      <c r="H81" t="n">
        <v>28.5</v>
      </c>
      <c r="I81" t="inlineStr">
        <is>
          <t>a</t>
        </is>
      </c>
      <c r="L81" t="inlineStr">
        <is>
          <t>p232185</t>
        </is>
      </c>
      <c r="M81" t="n">
        <v>208</v>
      </c>
      <c r="N81" t="n">
        <v>2</v>
      </c>
      <c r="Q81" t="n">
        <v>2173</v>
      </c>
      <c r="R81" t="n">
        <v>28</v>
      </c>
      <c r="S81" t="n">
        <v>24</v>
      </c>
      <c r="T81" t="n">
        <v>24.144</v>
      </c>
      <c r="U81" t="n">
        <v>77.59999999999999</v>
      </c>
      <c r="V81" t="n">
        <v>117</v>
      </c>
      <c r="W81" t="n">
        <v>4.846</v>
      </c>
      <c r="X81" t="n">
        <v>9</v>
      </c>
      <c r="Y81" t="n">
        <v>2</v>
      </c>
      <c r="Z81" t="n">
        <v>1</v>
      </c>
      <c r="AA81" t="n">
        <v>9</v>
      </c>
      <c r="AB81" t="n">
        <v>29</v>
      </c>
      <c r="AC81" t="n">
        <v>9</v>
      </c>
      <c r="AD81" t="n">
        <v>10</v>
      </c>
      <c r="AE81" t="n">
        <v>1</v>
      </c>
      <c r="AF81" t="n">
        <v>359</v>
      </c>
      <c r="AG81" t="n">
        <v>346</v>
      </c>
      <c r="AH81" t="n">
        <v>-13</v>
      </c>
      <c r="AI81" t="n">
        <v>118</v>
      </c>
      <c r="AJ81" t="n">
        <v>0.077</v>
      </c>
      <c r="AK81" t="n">
        <v>0.083</v>
      </c>
      <c r="AL81" t="n">
        <v>137</v>
      </c>
      <c r="AM81" t="n">
        <v>5.674</v>
      </c>
      <c r="AN81" t="n">
        <v>0</v>
      </c>
      <c r="AO81" t="n">
        <v>0</v>
      </c>
      <c r="AP81" t="n">
        <v>0</v>
      </c>
      <c r="AQ81" t="n">
        <v>0.083</v>
      </c>
      <c r="AR81" t="n">
        <v>0</v>
      </c>
      <c r="AS81" t="n">
        <v>0.632</v>
      </c>
      <c r="AT81" t="n">
        <v>0.786</v>
      </c>
      <c r="AU81" t="n">
        <v>13</v>
      </c>
      <c r="AV81" t="n">
        <v>2</v>
      </c>
      <c r="AW81" t="n">
        <v>3.54</v>
      </c>
      <c r="AX81" t="n">
        <v>15</v>
      </c>
      <c r="AY81" t="n">
        <v>10.93</v>
      </c>
      <c r="AZ81" t="n">
        <v>11.543</v>
      </c>
      <c r="BA81" t="n">
        <v>11.237</v>
      </c>
      <c r="BB81" t="n">
        <v>9.26</v>
      </c>
      <c r="BC81" t="n">
        <v>0.453</v>
      </c>
      <c r="BD81" t="n">
        <v>0.478</v>
      </c>
      <c r="BE81" t="n">
        <v>0.465</v>
      </c>
      <c r="BF81" t="n">
        <v>9.6</v>
      </c>
      <c r="BG81" t="n">
        <v>0.398</v>
      </c>
      <c r="BH81" t="n">
        <v>0.992</v>
      </c>
      <c r="BI81" t="n">
        <v>21.75</v>
      </c>
      <c r="BJ81" t="n">
        <v>10.838</v>
      </c>
      <c r="BK81" t="n">
        <v>0.449</v>
      </c>
      <c r="BL81" t="n">
        <v>-2.237</v>
      </c>
      <c r="BM81" t="n">
        <v>-1.33</v>
      </c>
      <c r="BN81" t="n">
        <v>-0.6</v>
      </c>
      <c r="BO81" t="n">
        <v>-0.613</v>
      </c>
      <c r="BP81" t="n">
        <v>48</v>
      </c>
      <c r="BQ81" t="n">
        <v>21</v>
      </c>
      <c r="BR81" t="n">
        <v>11</v>
      </c>
      <c r="BS81" t="n">
        <v>99</v>
      </c>
      <c r="BT81" t="n">
        <v>4.1</v>
      </c>
      <c r="BU81" t="n">
        <v>3</v>
      </c>
      <c r="BV81" t="n">
        <v>1</v>
      </c>
      <c r="BW81" t="n">
        <v>1.17</v>
      </c>
      <c r="BX81" t="n">
        <v>2.2</v>
      </c>
      <c r="BY81" t="n">
        <v>1.685</v>
      </c>
      <c r="BZ81" t="n">
        <v>0.07000000000000001</v>
      </c>
      <c r="CA81" t="n">
        <v>12.922</v>
      </c>
      <c r="CB81" t="n">
        <v>0.535</v>
      </c>
      <c r="CC81" t="n">
        <v>19</v>
      </c>
      <c r="CD81" t="n">
        <v>3</v>
      </c>
      <c r="CE81" t="n">
        <v>19</v>
      </c>
      <c r="CF81" t="n">
        <v>3</v>
      </c>
      <c r="CH81" t="n">
        <v>0</v>
      </c>
      <c r="CI81" t="n">
        <v>12.696</v>
      </c>
      <c r="CJ81" t="n">
        <v>3.183</v>
      </c>
      <c r="CK81" t="n">
        <v>40</v>
      </c>
      <c r="CL81" t="n">
        <v>79</v>
      </c>
      <c r="CM81" t="n">
        <v>18</v>
      </c>
      <c r="CN81" t="n">
        <v>9</v>
      </c>
      <c r="CO81" t="n">
        <v>8</v>
      </c>
      <c r="CP81" t="n">
        <v>28</v>
      </c>
      <c r="CQ81" t="n">
        <v>4</v>
      </c>
      <c r="CR81" t="n">
        <v>95</v>
      </c>
      <c r="CS81" t="n">
        <v>24</v>
      </c>
      <c r="CT81" t="n">
        <v>0.4</v>
      </c>
      <c r="CV81" t="n">
        <v>2</v>
      </c>
      <c r="CW81" t="n">
        <v>31.25</v>
      </c>
      <c r="CX81" t="n">
        <v>1.294</v>
      </c>
      <c r="CY81" t="n">
        <v>0</v>
      </c>
      <c r="DB81" t="n">
        <v>0</v>
      </c>
      <c r="DE81" t="n">
        <v>6.91</v>
      </c>
      <c r="DF81" t="n">
        <v>2</v>
      </c>
      <c r="DG81" t="n">
        <v>0</v>
      </c>
      <c r="DH81" t="n">
        <v>12</v>
      </c>
      <c r="DI81" t="n">
        <v>42</v>
      </c>
      <c r="DJ81" t="n">
        <v>2</v>
      </c>
      <c r="DL81" t="n">
        <v>11</v>
      </c>
      <c r="DM81" t="n">
        <v>43</v>
      </c>
      <c r="DN81" t="n">
        <v>14</v>
      </c>
      <c r="DO81" t="n">
        <v>7.6</v>
      </c>
      <c r="DP81" t="n">
        <v>159.76</v>
      </c>
      <c r="DQ81" t="n">
        <v>79.88</v>
      </c>
      <c r="DR81" t="n">
        <v>159.76</v>
      </c>
      <c r="DS81" t="n">
        <v>0</v>
      </c>
      <c r="DT81" t="n">
        <v>3135</v>
      </c>
      <c r="DU81" t="n">
        <v>82.5</v>
      </c>
      <c r="DV81" t="inlineStr">
        <is>
          <t>flat</t>
        </is>
      </c>
      <c r="DW81" t="n">
        <v>42.01</v>
      </c>
      <c r="DX81" t="n">
        <v>44.61</v>
      </c>
      <c r="DY81" t="n">
        <v>18.38</v>
      </c>
      <c r="DZ81" t="n">
        <v>8.800000000000001</v>
      </c>
      <c r="EA81" t="n">
        <v>104</v>
      </c>
      <c r="EB81" t="n">
        <v>184</v>
      </c>
      <c r="EC81" t="n">
        <v>88.5</v>
      </c>
      <c r="ED81" t="n">
        <v>10.7</v>
      </c>
      <c r="EE81" t="n">
        <v>39</v>
      </c>
      <c r="EF81" t="n">
        <v>45.3</v>
      </c>
      <c r="EG81" t="n">
        <v>21.9</v>
      </c>
      <c r="EH81" t="n">
        <v>114.4</v>
      </c>
      <c r="EI81" t="n">
        <v>193.4</v>
      </c>
      <c r="EJ81" t="n">
        <v>1289.4</v>
      </c>
      <c r="EK81" t="n">
        <v>168.2</v>
      </c>
      <c r="EL81" t="n">
        <v>18.6</v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n">
        <v>6</v>
      </c>
      <c r="F82" t="b">
        <v>1</v>
      </c>
      <c r="G82" t="b">
        <v>1</v>
      </c>
      <c r="H82" t="n">
        <v>22.1</v>
      </c>
      <c r="I82" t="inlineStr">
        <is>
          <t>i</t>
        </is>
      </c>
      <c r="J82" t="inlineStr">
        <is>
          <t>Leg injury - Expected back 28 Nov</t>
        </is>
      </c>
      <c r="K82" t="n">
        <v>0</v>
      </c>
      <c r="L82" t="inlineStr">
        <is>
          <t>p592031</t>
        </is>
      </c>
      <c r="M82" t="n">
        <v>122</v>
      </c>
      <c r="O82" t="n">
        <v>3</v>
      </c>
      <c r="Q82" t="n">
        <v>2389</v>
      </c>
      <c r="R82" t="n">
        <v>34</v>
      </c>
      <c r="S82" t="n">
        <v>26</v>
      </c>
      <c r="T82" t="n">
        <v>26.544</v>
      </c>
      <c r="U82" t="n">
        <v>70.3</v>
      </c>
      <c r="V82" t="n">
        <v>117</v>
      </c>
      <c r="W82" t="n">
        <v>4.408</v>
      </c>
      <c r="X82" t="n">
        <v>3</v>
      </c>
      <c r="Y82" t="n">
        <v>8</v>
      </c>
      <c r="Z82" t="n">
        <v>4</v>
      </c>
      <c r="AA82" t="n">
        <v>11</v>
      </c>
      <c r="AB82" t="n">
        <v>33</v>
      </c>
      <c r="AC82" t="n">
        <v>9</v>
      </c>
      <c r="AD82" t="n">
        <v>10</v>
      </c>
      <c r="AE82" t="n">
        <v>1</v>
      </c>
      <c r="AF82" t="n">
        <v>466</v>
      </c>
      <c r="AG82" t="n">
        <v>459</v>
      </c>
      <c r="AH82" t="n">
        <v>-7</v>
      </c>
      <c r="AI82" t="n">
        <v>118</v>
      </c>
      <c r="AJ82" t="n">
        <v>0.077</v>
      </c>
      <c r="AK82" t="n">
        <v>0.083</v>
      </c>
      <c r="AL82" t="n">
        <v>185</v>
      </c>
      <c r="AM82" t="n">
        <v>6.969</v>
      </c>
      <c r="AN82" t="n">
        <v>1</v>
      </c>
      <c r="AO82" t="n">
        <v>2</v>
      </c>
      <c r="AP82" t="n">
        <v>0.038</v>
      </c>
      <c r="AQ82" t="n">
        <v>0.115</v>
      </c>
      <c r="AR82" t="n">
        <v>0.038</v>
      </c>
      <c r="AS82" t="n">
        <v>0.6840000000000001</v>
      </c>
      <c r="AT82" t="n">
        <v>0.735</v>
      </c>
      <c r="AU82" t="n">
        <v>17</v>
      </c>
      <c r="AV82" t="n">
        <v>1</v>
      </c>
      <c r="AW82" t="n">
        <v>2.88</v>
      </c>
      <c r="AX82" t="n">
        <v>11</v>
      </c>
      <c r="AY82" t="n">
        <v>3.81</v>
      </c>
      <c r="AZ82" t="n">
        <v>4.752</v>
      </c>
      <c r="BA82" t="n">
        <v>4.281</v>
      </c>
      <c r="BB82" t="n">
        <v>4.752</v>
      </c>
      <c r="BC82" t="n">
        <v>0.144</v>
      </c>
      <c r="BD82" t="n">
        <v>0.179</v>
      </c>
      <c r="BE82" t="n">
        <v>0.161</v>
      </c>
      <c r="BF82" t="n">
        <v>3</v>
      </c>
      <c r="BG82" t="n">
        <v>0.113</v>
      </c>
      <c r="BH82" t="n">
        <v>1.054</v>
      </c>
      <c r="BI82" t="n">
        <v>7.94</v>
      </c>
      <c r="BJ82" t="n">
        <v>4.016</v>
      </c>
      <c r="BK82" t="n">
        <v>0.151</v>
      </c>
      <c r="BL82" t="n">
        <v>-1.281</v>
      </c>
      <c r="BM82" t="n">
        <v>-0.8100000000000001</v>
      </c>
      <c r="BN82" t="n">
        <v>0</v>
      </c>
      <c r="BO82" t="n">
        <v>-0.9419999999999999</v>
      </c>
      <c r="BP82" t="n">
        <v>41</v>
      </c>
      <c r="BQ82" t="n">
        <v>11</v>
      </c>
      <c r="BR82" t="n">
        <v>4</v>
      </c>
      <c r="BS82" t="n">
        <v>185</v>
      </c>
      <c r="BT82" t="n">
        <v>6.969</v>
      </c>
      <c r="BW82" t="n">
        <v>5.06</v>
      </c>
      <c r="BX82" t="n">
        <v>5.842</v>
      </c>
      <c r="BY82" t="n">
        <v>5.451</v>
      </c>
      <c r="BZ82" t="n">
        <v>0.205</v>
      </c>
      <c r="CA82" t="n">
        <v>9.731999999999999</v>
      </c>
      <c r="CB82" t="n">
        <v>0.367</v>
      </c>
      <c r="CC82" t="n">
        <v>44</v>
      </c>
      <c r="CD82" t="n">
        <v>11</v>
      </c>
      <c r="CE82" t="n">
        <v>44</v>
      </c>
      <c r="CF82" t="n">
        <v>37</v>
      </c>
      <c r="CG82" t="n">
        <v>1</v>
      </c>
      <c r="CH82" t="n">
        <v>32</v>
      </c>
      <c r="CI82" t="n">
        <v>16.411</v>
      </c>
      <c r="CJ82" t="n">
        <v>8.574</v>
      </c>
      <c r="CK82" t="n">
        <v>33</v>
      </c>
      <c r="CL82" t="n">
        <v>96</v>
      </c>
      <c r="CM82" t="n">
        <v>56</v>
      </c>
      <c r="CN82" t="n">
        <v>37</v>
      </c>
      <c r="CO82" t="n">
        <v>17</v>
      </c>
      <c r="CP82" t="n">
        <v>16</v>
      </c>
      <c r="CR82" t="n">
        <v>162</v>
      </c>
      <c r="CS82" t="n">
        <v>19</v>
      </c>
      <c r="CT82" t="n">
        <v>0.7</v>
      </c>
      <c r="CV82" t="n">
        <v>1</v>
      </c>
      <c r="CW82" t="n">
        <v>34.09</v>
      </c>
      <c r="CX82" t="n">
        <v>1.284</v>
      </c>
      <c r="CY82" t="n">
        <v>0</v>
      </c>
      <c r="DB82" t="n">
        <v>0</v>
      </c>
      <c r="DE82" t="n">
        <v>7.07</v>
      </c>
      <c r="DF82" t="n">
        <v>3</v>
      </c>
      <c r="DG82" t="n">
        <v>0</v>
      </c>
      <c r="DH82" t="n">
        <v>32</v>
      </c>
      <c r="DI82" t="n">
        <v>22</v>
      </c>
      <c r="DJ82" t="n">
        <v>1</v>
      </c>
      <c r="DL82" t="n">
        <v>65</v>
      </c>
      <c r="DM82" t="n">
        <v>34</v>
      </c>
      <c r="DN82" t="n">
        <v>10</v>
      </c>
      <c r="DO82" t="n">
        <v>0.7</v>
      </c>
      <c r="DP82" t="n">
        <v>106.7</v>
      </c>
      <c r="DQ82" t="n">
        <v>41.37</v>
      </c>
      <c r="DR82" t="n">
        <v>82.73999999999999</v>
      </c>
      <c r="DS82" t="n">
        <v>23.96</v>
      </c>
      <c r="DT82" t="n">
        <v>2713</v>
      </c>
      <c r="DU82" t="n">
        <v>71.40000000000001</v>
      </c>
      <c r="DV82" t="inlineStr">
        <is>
          <t>ramp-up (injury / late WC return)</t>
        </is>
      </c>
      <c r="DW82" t="n">
        <v>76.54000000000001</v>
      </c>
      <c r="DX82" t="n">
        <v>89.2</v>
      </c>
      <c r="DY82" t="n">
        <v>20.35</v>
      </c>
      <c r="DZ82" t="n">
        <v>25.5</v>
      </c>
      <c r="EA82" t="n">
        <v>117</v>
      </c>
      <c r="EB82" t="n">
        <v>72</v>
      </c>
      <c r="EC82" t="n">
        <v>34.6</v>
      </c>
      <c r="ED82" t="n">
        <v>6.5</v>
      </c>
      <c r="EE82" t="n">
        <v>75</v>
      </c>
      <c r="EF82" t="n">
        <v>58.3</v>
      </c>
      <c r="EG82" t="n">
        <v>12.9</v>
      </c>
      <c r="EH82" t="n">
        <v>54.3</v>
      </c>
      <c r="EI82" t="n">
        <v>558</v>
      </c>
      <c r="EJ82" t="n">
        <v>438.3</v>
      </c>
      <c r="EK82" t="n">
        <v>245.5</v>
      </c>
      <c r="EL82" t="n">
        <v>20.4</v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n">
        <v>5.5</v>
      </c>
      <c r="F83" t="b">
        <v>1</v>
      </c>
      <c r="G83" t="b">
        <v>1</v>
      </c>
      <c r="H83" t="n">
        <v>26.9</v>
      </c>
      <c r="I83" t="inlineStr">
        <is>
          <t>a</t>
        </is>
      </c>
      <c r="L83" t="inlineStr">
        <is>
          <t>p441164</t>
        </is>
      </c>
      <c r="M83" t="n">
        <v>499</v>
      </c>
      <c r="O83" t="n">
        <v>1</v>
      </c>
      <c r="P83" t="n">
        <v>1</v>
      </c>
      <c r="Q83" t="n">
        <v>2793</v>
      </c>
      <c r="R83" t="n">
        <v>34</v>
      </c>
      <c r="S83" t="n">
        <v>32</v>
      </c>
      <c r="T83" t="n">
        <v>31.033</v>
      </c>
      <c r="U83" t="n">
        <v>82.09999999999999</v>
      </c>
      <c r="V83" t="n">
        <v>117</v>
      </c>
      <c r="W83" t="n">
        <v>3.77</v>
      </c>
      <c r="X83" t="n">
        <v>1</v>
      </c>
      <c r="Y83" t="n">
        <v>3</v>
      </c>
      <c r="Z83" t="n">
        <v>2</v>
      </c>
      <c r="AA83" t="n">
        <v>9</v>
      </c>
      <c r="AB83" t="n">
        <v>40</v>
      </c>
      <c r="AC83" t="n">
        <v>8</v>
      </c>
      <c r="AD83" t="n">
        <v>9</v>
      </c>
      <c r="AE83" t="n">
        <v>1</v>
      </c>
      <c r="AF83" t="n">
        <v>502</v>
      </c>
      <c r="AG83" t="n">
        <v>475</v>
      </c>
      <c r="AH83" t="n">
        <v>-27</v>
      </c>
      <c r="AI83" t="n">
        <v>118</v>
      </c>
      <c r="AJ83" t="n">
        <v>0.068</v>
      </c>
      <c r="AK83" t="n">
        <v>0.073</v>
      </c>
      <c r="AL83" t="n">
        <v>218</v>
      </c>
      <c r="AM83" t="n">
        <v>7.025</v>
      </c>
      <c r="AN83" t="n">
        <v>8</v>
      </c>
      <c r="AO83" t="n">
        <v>16</v>
      </c>
      <c r="AP83" t="n">
        <v>0.25</v>
      </c>
      <c r="AQ83" t="n">
        <v>0.25</v>
      </c>
      <c r="AR83" t="n">
        <v>0.062</v>
      </c>
      <c r="AS83" t="n">
        <v>0.842</v>
      </c>
      <c r="AT83" t="n">
        <v>0.912</v>
      </c>
      <c r="AU83" t="n">
        <v>19</v>
      </c>
      <c r="AV83" t="n">
        <v>4</v>
      </c>
      <c r="AW83" t="n">
        <v>3.36</v>
      </c>
      <c r="AX83" t="n">
        <v>11</v>
      </c>
      <c r="AY83" t="n">
        <v>1.05</v>
      </c>
      <c r="AZ83" t="n">
        <v>1.403</v>
      </c>
      <c r="BA83" t="n">
        <v>1.226</v>
      </c>
      <c r="BB83" t="n">
        <v>1.403</v>
      </c>
      <c r="BC83" t="n">
        <v>0.034</v>
      </c>
      <c r="BD83" t="n">
        <v>0.045</v>
      </c>
      <c r="BE83" t="n">
        <v>0.04</v>
      </c>
      <c r="BF83" t="n">
        <v>1.4</v>
      </c>
      <c r="BG83" t="n">
        <v>0.045</v>
      </c>
      <c r="BH83" t="n">
        <v>0.999</v>
      </c>
      <c r="BI83" t="n">
        <v>7.41</v>
      </c>
      <c r="BJ83" t="n">
        <v>1.049</v>
      </c>
      <c r="BK83" t="n">
        <v>0.034</v>
      </c>
      <c r="BL83" t="n">
        <v>-0.226</v>
      </c>
      <c r="BM83" t="n">
        <v>0.35</v>
      </c>
      <c r="BN83" t="n">
        <v>-0.4</v>
      </c>
      <c r="BO83" t="n">
        <v>-0.353</v>
      </c>
      <c r="BP83" t="n">
        <v>32</v>
      </c>
      <c r="BQ83" t="n">
        <v>8</v>
      </c>
      <c r="BS83" t="n">
        <v>39</v>
      </c>
      <c r="BT83" t="n">
        <v>1.257</v>
      </c>
      <c r="BV83" t="n">
        <v>1</v>
      </c>
      <c r="BW83" t="n">
        <v>4.37</v>
      </c>
      <c r="BX83" t="n">
        <v>4.248</v>
      </c>
      <c r="BY83" t="n">
        <v>4.309</v>
      </c>
      <c r="BZ83" t="n">
        <v>0.139</v>
      </c>
      <c r="CA83" t="n">
        <v>5.535</v>
      </c>
      <c r="CB83" t="n">
        <v>0.178</v>
      </c>
      <c r="CC83" t="n">
        <v>53</v>
      </c>
      <c r="CD83" t="n">
        <v>8</v>
      </c>
      <c r="CE83" t="n">
        <v>53</v>
      </c>
      <c r="CF83" t="n">
        <v>61</v>
      </c>
      <c r="CG83" t="n">
        <v>2</v>
      </c>
      <c r="CH83" t="n">
        <v>73</v>
      </c>
      <c r="CI83" t="n">
        <v>10.605</v>
      </c>
      <c r="CJ83" t="n">
        <v>8.792</v>
      </c>
      <c r="CK83" t="n">
        <v>142</v>
      </c>
      <c r="CL83" t="n">
        <v>132</v>
      </c>
      <c r="CM83" t="n">
        <v>76</v>
      </c>
      <c r="CN83" t="n">
        <v>50</v>
      </c>
      <c r="CO83" t="n">
        <v>31</v>
      </c>
      <c r="CP83" t="n">
        <v>102</v>
      </c>
      <c r="CQ83" t="n">
        <v>10</v>
      </c>
      <c r="CR83" t="n">
        <v>140</v>
      </c>
      <c r="CS83" t="n">
        <v>19</v>
      </c>
      <c r="CT83" t="n">
        <v>0.3</v>
      </c>
      <c r="CV83" t="n">
        <v>5</v>
      </c>
      <c r="CW83" t="n">
        <v>37.75</v>
      </c>
      <c r="CX83" t="n">
        <v>1.216</v>
      </c>
      <c r="CY83" t="n">
        <v>0</v>
      </c>
      <c r="DB83" t="n">
        <v>0</v>
      </c>
      <c r="DE83" t="n">
        <v>7.14</v>
      </c>
      <c r="DF83" t="n">
        <v>10</v>
      </c>
      <c r="DG83" t="n">
        <v>0</v>
      </c>
      <c r="DH83" t="n">
        <v>32</v>
      </c>
      <c r="DI83" t="n">
        <v>26</v>
      </c>
      <c r="DL83" t="n">
        <v>19</v>
      </c>
      <c r="DM83" t="n">
        <v>9</v>
      </c>
      <c r="DN83" t="n">
        <v>1</v>
      </c>
      <c r="DO83" t="n">
        <v>23.3</v>
      </c>
      <c r="DP83" t="n">
        <v>143.81</v>
      </c>
      <c r="DQ83" t="n">
        <v>71.95</v>
      </c>
      <c r="DR83" t="n">
        <v>143.9</v>
      </c>
      <c r="DS83" t="n">
        <v>-0.09</v>
      </c>
      <c r="DT83" t="n">
        <v>3084</v>
      </c>
      <c r="DU83" t="n">
        <v>81.15000000000001</v>
      </c>
      <c r="DV83" t="inlineStr">
        <is>
          <t>flat</t>
        </is>
      </c>
      <c r="DW83" t="n">
        <v>46.82</v>
      </c>
      <c r="DX83" t="n">
        <v>53.43</v>
      </c>
      <c r="DY83" t="n">
        <v>15.63</v>
      </c>
      <c r="DZ83" t="n">
        <v>16.57</v>
      </c>
      <c r="EA83" t="n">
        <v>110.4</v>
      </c>
      <c r="EB83" t="n">
        <v>197</v>
      </c>
      <c r="EC83" t="n">
        <v>94.7</v>
      </c>
      <c r="ED83" t="n">
        <v>7.5</v>
      </c>
      <c r="EE83" t="n">
        <v>123</v>
      </c>
      <c r="EF83" t="n">
        <v>87.3</v>
      </c>
      <c r="EG83" t="n">
        <v>71.59999999999999</v>
      </c>
      <c r="EH83" t="n">
        <v>52.7</v>
      </c>
      <c r="EI83" t="n">
        <v>2277.3</v>
      </c>
      <c r="EJ83" t="n">
        <v>648.2</v>
      </c>
      <c r="EK83" t="n">
        <v>504.6</v>
      </c>
      <c r="EL83" t="n">
        <v>23.9</v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n">
        <v>4.5</v>
      </c>
      <c r="F84" t="b">
        <v>1</v>
      </c>
      <c r="G84" t="b">
        <v>1</v>
      </c>
      <c r="H84" t="n">
        <v>29</v>
      </c>
      <c r="I84" t="inlineStr">
        <is>
          <t>a</t>
        </is>
      </c>
      <c r="L84" t="inlineStr">
        <is>
          <t>p199796</t>
        </is>
      </c>
      <c r="M84" t="n">
        <v>32</v>
      </c>
      <c r="O84" t="n">
        <v>1</v>
      </c>
      <c r="Q84" t="n">
        <v>3016</v>
      </c>
      <c r="R84" t="n">
        <v>35</v>
      </c>
      <c r="S84" t="n">
        <v>34</v>
      </c>
      <c r="T84" t="n">
        <v>33.511</v>
      </c>
      <c r="U84" t="n">
        <v>86.2</v>
      </c>
      <c r="V84" t="n">
        <v>117</v>
      </c>
      <c r="W84" t="n">
        <v>3.491</v>
      </c>
      <c r="X84" t="n">
        <v>3</v>
      </c>
      <c r="Y84" t="n">
        <v>3</v>
      </c>
      <c r="Z84" t="n">
        <v>3</v>
      </c>
      <c r="AA84" t="n">
        <v>8</v>
      </c>
      <c r="AB84" t="n">
        <v>38</v>
      </c>
      <c r="AC84" t="n">
        <v>7</v>
      </c>
      <c r="AD84" t="n">
        <v>7</v>
      </c>
      <c r="AE84" t="n">
        <v>0</v>
      </c>
      <c r="AF84" t="n">
        <v>450</v>
      </c>
      <c r="AG84" t="n">
        <v>431</v>
      </c>
      <c r="AH84" t="n">
        <v>-19</v>
      </c>
      <c r="AI84" t="n">
        <v>117</v>
      </c>
      <c r="AJ84" t="n">
        <v>0.06</v>
      </c>
      <c r="AK84" t="n">
        <v>0.064</v>
      </c>
      <c r="AL84" t="n">
        <v>186</v>
      </c>
      <c r="AM84" t="n">
        <v>5.55</v>
      </c>
      <c r="AN84" t="n">
        <v>1</v>
      </c>
      <c r="AO84" t="n">
        <v>2</v>
      </c>
      <c r="AP84" t="n">
        <v>0.029</v>
      </c>
      <c r="AQ84" t="n">
        <v>0.029</v>
      </c>
      <c r="AR84" t="n">
        <v>0</v>
      </c>
      <c r="AS84" t="n">
        <v>0.895</v>
      </c>
      <c r="AT84" t="n">
        <v>0.9429999999999999</v>
      </c>
      <c r="AU84" t="n">
        <v>22</v>
      </c>
      <c r="AV84" t="n">
        <v>2</v>
      </c>
      <c r="AW84" t="n">
        <v>3.41</v>
      </c>
      <c r="AX84" t="n">
        <v>15</v>
      </c>
      <c r="AY84" t="n">
        <v>1.14</v>
      </c>
      <c r="AZ84" t="n">
        <v>1.218</v>
      </c>
      <c r="BA84" t="n">
        <v>1.179</v>
      </c>
      <c r="BB84" t="n">
        <v>1.218</v>
      </c>
      <c r="BC84" t="n">
        <v>0.034</v>
      </c>
      <c r="BD84" t="n">
        <v>0.036</v>
      </c>
      <c r="BE84" t="n">
        <v>0.035</v>
      </c>
      <c r="BF84" t="n">
        <v>1.6</v>
      </c>
      <c r="BG84" t="n">
        <v>0.048</v>
      </c>
      <c r="BH84" t="n">
        <v>1.04</v>
      </c>
      <c r="BI84" t="n">
        <v>6.23</v>
      </c>
      <c r="BJ84" t="n">
        <v>1.186</v>
      </c>
      <c r="BK84" t="n">
        <v>0.035</v>
      </c>
      <c r="BL84" t="n">
        <v>1.821</v>
      </c>
      <c r="BM84" t="n">
        <v>0.46</v>
      </c>
      <c r="BN84" t="n">
        <v>1.4</v>
      </c>
      <c r="BO84" t="n">
        <v>-0.078</v>
      </c>
      <c r="BP84" t="n">
        <v>30</v>
      </c>
      <c r="BQ84" t="n">
        <v>10</v>
      </c>
      <c r="BS84" t="n">
        <v>41</v>
      </c>
      <c r="BT84" t="n">
        <v>1.223</v>
      </c>
      <c r="BW84" t="n">
        <v>2.94</v>
      </c>
      <c r="BX84" t="n">
        <v>3.215</v>
      </c>
      <c r="BY84" t="n">
        <v>3.077</v>
      </c>
      <c r="BZ84" t="n">
        <v>0.092</v>
      </c>
      <c r="CA84" t="n">
        <v>4.256</v>
      </c>
      <c r="CB84" t="n">
        <v>0.127</v>
      </c>
      <c r="CC84" t="n">
        <v>31</v>
      </c>
      <c r="CD84" t="n">
        <v>4</v>
      </c>
      <c r="CE84" t="n">
        <v>30</v>
      </c>
      <c r="CF84" t="n">
        <v>26</v>
      </c>
      <c r="CG84" t="n">
        <v>1</v>
      </c>
      <c r="CH84" t="n">
        <v>47</v>
      </c>
      <c r="CI84" t="n">
        <v>10.301</v>
      </c>
      <c r="CJ84" t="n">
        <v>8.073</v>
      </c>
      <c r="CK84" t="n">
        <v>120</v>
      </c>
      <c r="CL84" t="n">
        <v>88</v>
      </c>
      <c r="CM84" t="n">
        <v>66</v>
      </c>
      <c r="CN84" t="n">
        <v>32</v>
      </c>
      <c r="CO84" t="n">
        <v>22</v>
      </c>
      <c r="CP84" t="n">
        <v>84</v>
      </c>
      <c r="CQ84" t="n">
        <v>14</v>
      </c>
      <c r="CR84" t="n">
        <v>137</v>
      </c>
      <c r="CS84" t="n">
        <v>32</v>
      </c>
      <c r="CT84" t="n">
        <v>0.1</v>
      </c>
      <c r="CU84" t="n">
        <v>2</v>
      </c>
      <c r="CV84" t="n">
        <v>2</v>
      </c>
      <c r="CW84" t="n">
        <v>45.45</v>
      </c>
      <c r="CX84" t="n">
        <v>1.356</v>
      </c>
      <c r="CY84" t="n">
        <v>0</v>
      </c>
      <c r="DB84" t="n">
        <v>0</v>
      </c>
      <c r="DE84" t="n">
        <v>6.93</v>
      </c>
      <c r="DF84" t="n">
        <v>9</v>
      </c>
      <c r="DG84" t="n">
        <v>0</v>
      </c>
      <c r="DH84" t="n">
        <v>41</v>
      </c>
      <c r="DI84" t="n">
        <v>30</v>
      </c>
      <c r="DL84" t="n">
        <v>11</v>
      </c>
      <c r="DM84" t="n">
        <v>17</v>
      </c>
      <c r="DN84" t="n">
        <v>4</v>
      </c>
      <c r="DO84" t="n">
        <v>8.4</v>
      </c>
      <c r="DP84" t="n">
        <v>127.1</v>
      </c>
      <c r="DQ84" t="n">
        <v>63.55</v>
      </c>
      <c r="DR84" t="n">
        <v>127.1</v>
      </c>
      <c r="DS84" t="n">
        <v>0</v>
      </c>
      <c r="DT84" t="n">
        <v>3342</v>
      </c>
      <c r="DU84" t="n">
        <v>87.95999999999999</v>
      </c>
      <c r="DV84" t="inlineStr">
        <is>
          <t>flat</t>
        </is>
      </c>
      <c r="DW84" t="n">
        <v>90.54000000000001</v>
      </c>
      <c r="DX84" t="n">
        <v>105.5</v>
      </c>
      <c r="DY84" t="n">
        <v>19.42</v>
      </c>
      <c r="DZ84" t="n">
        <v>47.11</v>
      </c>
      <c r="EA84" t="n">
        <v>120</v>
      </c>
      <c r="EB84" t="n">
        <v>83</v>
      </c>
      <c r="EC84" t="n">
        <v>39.9</v>
      </c>
      <c r="ED84" t="n">
        <v>6.7</v>
      </c>
      <c r="EE84" t="n">
        <v>395</v>
      </c>
      <c r="EF84" t="n">
        <v>100.5</v>
      </c>
      <c r="EG84" t="n">
        <v>73.59999999999999</v>
      </c>
      <c r="EH84" t="n">
        <v>100.5</v>
      </c>
      <c r="EI84" t="n">
        <v>2558.2</v>
      </c>
      <c r="EJ84" t="n">
        <v>980</v>
      </c>
      <c r="EK84" t="n">
        <v>708.6</v>
      </c>
      <c r="EL84" t="n">
        <v>25.8</v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n">
        <v>5</v>
      </c>
      <c r="F85" t="b">
        <v>1</v>
      </c>
      <c r="G85" t="b">
        <v>1</v>
      </c>
      <c r="H85" t="n">
        <v>26.9</v>
      </c>
      <c r="I85" t="inlineStr">
        <is>
          <t>a</t>
        </is>
      </c>
      <c r="L85" t="inlineStr">
        <is>
          <t>p223827</t>
        </is>
      </c>
      <c r="M85" t="n">
        <v>532</v>
      </c>
      <c r="Q85" t="n">
        <v>2144</v>
      </c>
      <c r="R85" t="n">
        <v>29</v>
      </c>
      <c r="S85" t="n">
        <v>24</v>
      </c>
      <c r="T85" t="n">
        <v>23.822</v>
      </c>
      <c r="U85" t="n">
        <v>73.90000000000001</v>
      </c>
      <c r="V85" t="n">
        <v>116</v>
      </c>
      <c r="W85" t="n">
        <v>4.869</v>
      </c>
      <c r="X85" t="n">
        <v>2</v>
      </c>
      <c r="Y85" t="n">
        <v>2</v>
      </c>
      <c r="Z85" t="n">
        <v>0</v>
      </c>
      <c r="AA85" t="n">
        <v>6</v>
      </c>
      <c r="AB85" t="n">
        <v>35</v>
      </c>
      <c r="AC85" t="n">
        <v>9</v>
      </c>
      <c r="AD85" t="n">
        <v>8</v>
      </c>
      <c r="AE85" t="n">
        <v>-1</v>
      </c>
      <c r="AF85" t="n">
        <v>340</v>
      </c>
      <c r="AG85" t="n">
        <v>300</v>
      </c>
      <c r="AH85" t="n">
        <v>-40</v>
      </c>
      <c r="AI85" t="n">
        <v>115</v>
      </c>
      <c r="AJ85" t="n">
        <v>0.078</v>
      </c>
      <c r="AK85" t="n">
        <v>0.08400000000000001</v>
      </c>
      <c r="AL85" t="n">
        <v>264</v>
      </c>
      <c r="AM85" t="n">
        <v>11.082</v>
      </c>
      <c r="AN85" t="n">
        <v>15</v>
      </c>
      <c r="AO85" t="n">
        <v>30</v>
      </c>
      <c r="AP85" t="n">
        <v>0.625</v>
      </c>
      <c r="AQ85" t="n">
        <v>0.625</v>
      </c>
      <c r="AR85" t="n">
        <v>0.333</v>
      </c>
      <c r="AS85" t="n">
        <v>0.632</v>
      </c>
      <c r="AT85" t="n">
        <v>0.759</v>
      </c>
      <c r="AU85" t="n">
        <v>13</v>
      </c>
      <c r="AV85" t="n">
        <v>3</v>
      </c>
      <c r="AW85" t="n">
        <v>4</v>
      </c>
      <c r="AX85" t="n">
        <v>17</v>
      </c>
      <c r="AY85" t="n">
        <v>2.46</v>
      </c>
      <c r="AZ85" t="n">
        <v>3.695</v>
      </c>
      <c r="BA85" t="n">
        <v>3.078</v>
      </c>
      <c r="BB85" t="n">
        <v>3.695</v>
      </c>
      <c r="BC85" t="n">
        <v>0.103</v>
      </c>
      <c r="BD85" t="n">
        <v>0.155</v>
      </c>
      <c r="BE85" t="n">
        <v>0.129</v>
      </c>
      <c r="BF85" t="n">
        <v>2.3</v>
      </c>
      <c r="BG85" t="n">
        <v>0.097</v>
      </c>
      <c r="BH85" t="n">
        <v>0.985</v>
      </c>
      <c r="BI85" t="n">
        <v>2.46</v>
      </c>
      <c r="BJ85" t="n">
        <v>2.422</v>
      </c>
      <c r="BK85" t="n">
        <v>0.102</v>
      </c>
      <c r="BL85" t="n">
        <v>-1.078</v>
      </c>
      <c r="BM85" t="n">
        <v>-0.16</v>
      </c>
      <c r="BN85" t="n">
        <v>-0.3</v>
      </c>
      <c r="BO85" t="n">
        <v>-1.235</v>
      </c>
      <c r="BP85" t="n">
        <v>26</v>
      </c>
      <c r="BQ85" t="n">
        <v>9</v>
      </c>
      <c r="BR85" t="n">
        <v>7</v>
      </c>
      <c r="BS85" t="n">
        <v>72</v>
      </c>
      <c r="BT85" t="n">
        <v>3.022</v>
      </c>
      <c r="BV85" t="n">
        <v>1</v>
      </c>
      <c r="BW85" t="n">
        <v>0.63</v>
      </c>
      <c r="BX85" t="n">
        <v>1.581</v>
      </c>
      <c r="BY85" t="n">
        <v>1.105</v>
      </c>
      <c r="BZ85" t="n">
        <v>0.046</v>
      </c>
      <c r="CA85" t="n">
        <v>4.183</v>
      </c>
      <c r="CB85" t="n">
        <v>0.176</v>
      </c>
      <c r="CC85" t="n">
        <v>14</v>
      </c>
      <c r="CD85" t="n">
        <v>3</v>
      </c>
      <c r="CE85" t="n">
        <v>15</v>
      </c>
      <c r="CF85" t="n">
        <v>0</v>
      </c>
      <c r="CI85" t="n">
        <v>4.753</v>
      </c>
      <c r="CJ85" t="n">
        <v>2.609</v>
      </c>
      <c r="CK85" t="n">
        <v>231</v>
      </c>
      <c r="CL85" t="n">
        <v>69</v>
      </c>
      <c r="CM85" t="n">
        <v>33</v>
      </c>
      <c r="CN85" t="n">
        <v>18</v>
      </c>
      <c r="CO85" t="n">
        <v>20</v>
      </c>
      <c r="CP85" t="n">
        <v>185</v>
      </c>
      <c r="CQ85" t="n">
        <v>24</v>
      </c>
      <c r="CR85" t="n">
        <v>168</v>
      </c>
      <c r="CS85" t="n">
        <v>106</v>
      </c>
      <c r="CT85" t="n">
        <v>0</v>
      </c>
      <c r="CV85" t="n">
        <v>3</v>
      </c>
      <c r="CW85" t="n">
        <v>33.2</v>
      </c>
      <c r="CX85" t="n">
        <v>1.394</v>
      </c>
      <c r="CY85" t="n">
        <v>0</v>
      </c>
      <c r="DB85" t="n">
        <v>0</v>
      </c>
      <c r="DE85" t="n">
        <v>6.85</v>
      </c>
      <c r="DF85" t="n">
        <v>4</v>
      </c>
      <c r="DG85" t="n">
        <v>1</v>
      </c>
      <c r="DH85" t="n">
        <v>29</v>
      </c>
      <c r="DI85" t="n">
        <v>30</v>
      </c>
      <c r="DJ85" t="n">
        <v>1</v>
      </c>
      <c r="DL85" t="n">
        <v>3</v>
      </c>
      <c r="DM85" t="n">
        <v>6</v>
      </c>
      <c r="DN85" t="n">
        <v>3</v>
      </c>
      <c r="DO85" t="n">
        <v>4.5</v>
      </c>
      <c r="DP85" t="n">
        <v>135.56</v>
      </c>
      <c r="DQ85" t="n">
        <v>67.88</v>
      </c>
      <c r="DR85" t="n">
        <v>135.76</v>
      </c>
      <c r="DS85" t="n">
        <v>-0.2</v>
      </c>
      <c r="DT85" t="n">
        <v>2867</v>
      </c>
      <c r="DU85" t="n">
        <v>75.45</v>
      </c>
      <c r="DV85" t="inlineStr">
        <is>
          <t>flat</t>
        </is>
      </c>
      <c r="DW85" t="n">
        <v>89.56</v>
      </c>
      <c r="DX85" t="n">
        <v>95.04000000000001</v>
      </c>
      <c r="DY85" t="n">
        <v>18.07</v>
      </c>
      <c r="DZ85" t="n">
        <v>39</v>
      </c>
      <c r="EA85" t="n">
        <v>120</v>
      </c>
      <c r="EB85" t="n">
        <v>104</v>
      </c>
      <c r="EC85" t="n">
        <v>50</v>
      </c>
      <c r="ED85" t="n">
        <v>4.6</v>
      </c>
      <c r="EE85" t="n">
        <v>236</v>
      </c>
      <c r="EF85" t="n">
        <v>82.5</v>
      </c>
      <c r="EG85" t="n">
        <v>29.8</v>
      </c>
      <c r="EH85" t="n">
        <v>142.9</v>
      </c>
      <c r="EI85" t="n">
        <v>696.6</v>
      </c>
      <c r="EJ85" t="n">
        <v>1939.8</v>
      </c>
      <c r="EK85" t="n">
        <v>512.5</v>
      </c>
      <c r="EL85" t="n">
        <v>18.5</v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n">
        <v>5</v>
      </c>
      <c r="F86" t="b">
        <v>1</v>
      </c>
      <c r="G86" t="b">
        <v>1</v>
      </c>
      <c r="H86" t="n">
        <v>25.3</v>
      </c>
      <c r="I86" t="inlineStr">
        <is>
          <t>a</t>
        </is>
      </c>
      <c r="L86" t="inlineStr">
        <is>
          <t>p512462</t>
        </is>
      </c>
      <c r="M86" t="n">
        <v>232</v>
      </c>
      <c r="Q86" t="n">
        <v>3118</v>
      </c>
      <c r="R86" t="n">
        <v>37</v>
      </c>
      <c r="S86" t="n">
        <v>35</v>
      </c>
      <c r="T86" t="n">
        <v>34.644</v>
      </c>
      <c r="U86" t="n">
        <v>84.3</v>
      </c>
      <c r="V86" t="n">
        <v>116</v>
      </c>
      <c r="W86" t="n">
        <v>3.348</v>
      </c>
      <c r="X86" t="n">
        <v>1</v>
      </c>
      <c r="Y86" t="n">
        <v>3</v>
      </c>
      <c r="Z86" t="n">
        <v>1</v>
      </c>
      <c r="AA86" t="n">
        <v>10</v>
      </c>
      <c r="AB86" t="n">
        <v>46</v>
      </c>
      <c r="AC86" t="n">
        <v>2</v>
      </c>
      <c r="AD86" t="n">
        <v>4</v>
      </c>
      <c r="AE86" t="n">
        <v>2</v>
      </c>
      <c r="AF86" t="n">
        <v>368</v>
      </c>
      <c r="AG86" t="n">
        <v>336</v>
      </c>
      <c r="AH86" t="n">
        <v>-32</v>
      </c>
      <c r="AI86" t="n">
        <v>118</v>
      </c>
      <c r="AJ86" t="n">
        <v>0.017</v>
      </c>
      <c r="AK86" t="n">
        <v>0.018</v>
      </c>
      <c r="AL86" t="n">
        <v>231</v>
      </c>
      <c r="AM86" t="n">
        <v>6.668</v>
      </c>
      <c r="AN86" t="n">
        <v>6</v>
      </c>
      <c r="AO86" t="n">
        <v>12</v>
      </c>
      <c r="AP86" t="n">
        <v>0.171</v>
      </c>
      <c r="AQ86" t="n">
        <v>0.171</v>
      </c>
      <c r="AR86" t="n">
        <v>0.08599999999999999</v>
      </c>
      <c r="AS86" t="n">
        <v>0.921</v>
      </c>
      <c r="AT86" t="n">
        <v>0.973</v>
      </c>
      <c r="AU86" t="n">
        <v>20</v>
      </c>
      <c r="AV86" t="n">
        <v>0</v>
      </c>
      <c r="AW86" t="n">
        <v>2.74</v>
      </c>
      <c r="AX86" t="n">
        <v>9</v>
      </c>
      <c r="AY86" t="n">
        <v>1.67</v>
      </c>
      <c r="AZ86" t="n">
        <v>1.307</v>
      </c>
      <c r="BA86" t="n">
        <v>1.488</v>
      </c>
      <c r="BB86" t="n">
        <v>1.307</v>
      </c>
      <c r="BC86" t="n">
        <v>0.048</v>
      </c>
      <c r="BD86" t="n">
        <v>0.038</v>
      </c>
      <c r="BE86" t="n">
        <v>0.043</v>
      </c>
      <c r="BF86" t="n">
        <v>2.3</v>
      </c>
      <c r="BG86" t="n">
        <v>0.066</v>
      </c>
      <c r="BH86" t="n">
        <v>1.149</v>
      </c>
      <c r="BI86" t="n">
        <v>2.44</v>
      </c>
      <c r="BJ86" t="n">
        <v>1.92</v>
      </c>
      <c r="BK86" t="n">
        <v>0.055</v>
      </c>
      <c r="BL86" t="n">
        <v>-0.488</v>
      </c>
      <c r="BM86" t="n">
        <v>0.63</v>
      </c>
      <c r="BN86" t="n">
        <v>-1.3</v>
      </c>
      <c r="BO86" t="n">
        <v>0.363</v>
      </c>
      <c r="BP86" t="n">
        <v>13</v>
      </c>
      <c r="BQ86" t="n">
        <v>6</v>
      </c>
      <c r="BR86" t="n">
        <v>1</v>
      </c>
      <c r="BS86" t="n">
        <v>37</v>
      </c>
      <c r="BT86" t="n">
        <v>1.068</v>
      </c>
      <c r="BV86" t="n">
        <v>1</v>
      </c>
      <c r="BW86" t="n">
        <v>1</v>
      </c>
      <c r="BX86" t="n">
        <v>0.724</v>
      </c>
      <c r="BY86" t="n">
        <v>0.862</v>
      </c>
      <c r="BZ86" t="n">
        <v>0.025</v>
      </c>
      <c r="CA86" t="n">
        <v>2.351</v>
      </c>
      <c r="CB86" t="n">
        <v>0.068</v>
      </c>
      <c r="CC86" t="n">
        <v>17</v>
      </c>
      <c r="CD86" t="n">
        <v>0</v>
      </c>
      <c r="CE86" t="n">
        <v>17</v>
      </c>
      <c r="CF86" t="n">
        <v>13</v>
      </c>
      <c r="CI86" t="n">
        <v>6.487</v>
      </c>
      <c r="CJ86" t="n">
        <v>5.053</v>
      </c>
      <c r="CK86" t="n">
        <v>174</v>
      </c>
      <c r="CL86" t="n">
        <v>114</v>
      </c>
      <c r="CM86" t="n">
        <v>57</v>
      </c>
      <c r="CN86" t="n">
        <v>32</v>
      </c>
      <c r="CO86" t="n">
        <v>15</v>
      </c>
      <c r="CP86" t="n">
        <v>144</v>
      </c>
      <c r="CQ86" t="n">
        <v>16</v>
      </c>
      <c r="CR86" t="n">
        <v>195</v>
      </c>
      <c r="CS86" t="n">
        <v>116</v>
      </c>
      <c r="CT86" t="n">
        <v>0.2</v>
      </c>
      <c r="CU86" t="n">
        <v>1</v>
      </c>
      <c r="CV86" t="n">
        <v>2</v>
      </c>
      <c r="CW86" t="n">
        <v>53.49</v>
      </c>
      <c r="CX86" t="n">
        <v>1.544</v>
      </c>
      <c r="CY86" t="n">
        <v>0</v>
      </c>
      <c r="DB86" t="n">
        <v>0</v>
      </c>
      <c r="DE86" t="n">
        <v>6.72</v>
      </c>
      <c r="DF86" t="n">
        <v>6</v>
      </c>
      <c r="DG86" t="n">
        <v>1</v>
      </c>
      <c r="DH86" t="n">
        <v>23</v>
      </c>
      <c r="DI86" t="n">
        <v>17</v>
      </c>
      <c r="DK86" t="n">
        <v>1</v>
      </c>
      <c r="DL86" t="n">
        <v>6</v>
      </c>
      <c r="DM86" t="n">
        <v>21</v>
      </c>
      <c r="DN86" t="n">
        <v>4</v>
      </c>
      <c r="DO86" t="n">
        <v>0.5</v>
      </c>
      <c r="DP86" t="n">
        <v>114.1</v>
      </c>
      <c r="DQ86" t="n">
        <v>57.07</v>
      </c>
      <c r="DR86" t="n">
        <v>114.14</v>
      </c>
      <c r="DS86" t="n">
        <v>-0.04</v>
      </c>
      <c r="DT86" t="n">
        <v>3164</v>
      </c>
      <c r="DU86" t="n">
        <v>83.25</v>
      </c>
      <c r="DV86" t="inlineStr">
        <is>
          <t>flat</t>
        </is>
      </c>
      <c r="DW86" t="n">
        <v>97.91</v>
      </c>
      <c r="DX86" t="n">
        <v>107</v>
      </c>
      <c r="DY86" t="n">
        <v>10.96</v>
      </c>
      <c r="DZ86" t="n">
        <v>65</v>
      </c>
      <c r="EA86" t="n">
        <v>115.33</v>
      </c>
      <c r="EB86" t="n">
        <v>42</v>
      </c>
      <c r="EC86" t="n">
        <v>20.2</v>
      </c>
      <c r="ED86" t="n">
        <v>12.5</v>
      </c>
      <c r="EE86" t="n">
        <v>234</v>
      </c>
      <c r="EF86" t="n">
        <v>239.8</v>
      </c>
      <c r="EG86" t="n">
        <v>84.3</v>
      </c>
      <c r="EH86" t="n">
        <v>183.4</v>
      </c>
      <c r="EI86" t="n">
        <v>2094.8</v>
      </c>
      <c r="EJ86" t="n">
        <v>3616.3</v>
      </c>
      <c r="EK86" t="n">
        <v>1326.4</v>
      </c>
      <c r="EL86" t="n">
        <v>26.9</v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n">
        <v>5</v>
      </c>
      <c r="F87" t="b">
        <v>1</v>
      </c>
      <c r="G87" t="b">
        <v>1</v>
      </c>
      <c r="H87" t="n">
        <v>25.3</v>
      </c>
      <c r="I87" t="inlineStr">
        <is>
          <t>a</t>
        </is>
      </c>
      <c r="L87" t="inlineStr">
        <is>
          <t>p491279</t>
        </is>
      </c>
      <c r="M87" t="n">
        <v>503</v>
      </c>
      <c r="Q87" t="n">
        <v>3041</v>
      </c>
      <c r="R87" t="n">
        <v>35</v>
      </c>
      <c r="S87" t="n">
        <v>35</v>
      </c>
      <c r="T87" t="n">
        <v>33.789</v>
      </c>
      <c r="U87" t="n">
        <v>86.90000000000001</v>
      </c>
      <c r="V87" t="n">
        <v>116</v>
      </c>
      <c r="W87" t="n">
        <v>3.433</v>
      </c>
      <c r="X87" t="n">
        <v>4</v>
      </c>
      <c r="Y87" t="n">
        <v>1</v>
      </c>
      <c r="Z87" t="n">
        <v>1</v>
      </c>
      <c r="AA87" t="n">
        <v>9</v>
      </c>
      <c r="AB87" t="n">
        <v>50</v>
      </c>
      <c r="AC87" t="n">
        <v>10</v>
      </c>
      <c r="AD87" t="n">
        <v>9</v>
      </c>
      <c r="AE87" t="n">
        <v>-1</v>
      </c>
      <c r="AF87" t="n">
        <v>431</v>
      </c>
      <c r="AG87" t="n">
        <v>401</v>
      </c>
      <c r="AH87" t="n">
        <v>-30</v>
      </c>
      <c r="AI87" t="n">
        <v>115</v>
      </c>
      <c r="AJ87" t="n">
        <v>0.08599999999999999</v>
      </c>
      <c r="AK87" t="n">
        <v>0.094</v>
      </c>
      <c r="AL87" t="n">
        <v>212</v>
      </c>
      <c r="AM87" t="n">
        <v>6.274</v>
      </c>
      <c r="AN87" t="n">
        <v>3</v>
      </c>
      <c r="AO87" t="n">
        <v>6</v>
      </c>
      <c r="AP87" t="n">
        <v>0.08599999999999999</v>
      </c>
      <c r="AQ87" t="n">
        <v>0.08599999999999999</v>
      </c>
      <c r="AR87" t="n">
        <v>0.057</v>
      </c>
      <c r="AS87" t="n">
        <v>0.921</v>
      </c>
      <c r="AT87" t="n">
        <v>0.9429999999999999</v>
      </c>
      <c r="AU87" t="n">
        <v>23</v>
      </c>
      <c r="AV87" t="n">
        <v>3</v>
      </c>
      <c r="AW87" t="n">
        <v>4.8</v>
      </c>
      <c r="AX87" t="n">
        <v>23</v>
      </c>
      <c r="AY87" t="n">
        <v>2.82</v>
      </c>
      <c r="AZ87" t="n">
        <v>2.453</v>
      </c>
      <c r="BA87" t="n">
        <v>2.636</v>
      </c>
      <c r="BB87" t="n">
        <v>2.453</v>
      </c>
      <c r="BC87" t="n">
        <v>0.083</v>
      </c>
      <c r="BD87" t="n">
        <v>0.073</v>
      </c>
      <c r="BE87" t="n">
        <v>0.078</v>
      </c>
      <c r="BF87" t="n">
        <v>4.1</v>
      </c>
      <c r="BG87" t="n">
        <v>0.121</v>
      </c>
      <c r="BH87" t="n">
        <v>1.17</v>
      </c>
      <c r="BI87" t="n">
        <v>3.97</v>
      </c>
      <c r="BJ87" t="n">
        <v>3.298</v>
      </c>
      <c r="BK87" t="n">
        <v>0.098</v>
      </c>
      <c r="BL87" t="n">
        <v>1.364</v>
      </c>
      <c r="BM87" t="n">
        <v>1.28</v>
      </c>
      <c r="BN87" t="n">
        <v>-0.1</v>
      </c>
      <c r="BO87" t="n">
        <v>0.367</v>
      </c>
      <c r="BP87" t="n">
        <v>16</v>
      </c>
      <c r="BQ87" t="n">
        <v>6</v>
      </c>
      <c r="BR87" t="n">
        <v>1</v>
      </c>
      <c r="BS87" t="n">
        <v>33</v>
      </c>
      <c r="BT87" t="n">
        <v>0.977</v>
      </c>
      <c r="BV87" t="n">
        <v>2</v>
      </c>
      <c r="BW87" t="n">
        <v>0.38</v>
      </c>
      <c r="BX87" t="n">
        <v>1.014</v>
      </c>
      <c r="BY87" t="n">
        <v>0.697</v>
      </c>
      <c r="BZ87" t="n">
        <v>0.021</v>
      </c>
      <c r="CA87" t="n">
        <v>3.333</v>
      </c>
      <c r="CB87" t="n">
        <v>0.099</v>
      </c>
      <c r="CC87" t="n">
        <v>5</v>
      </c>
      <c r="CD87" t="n">
        <v>1</v>
      </c>
      <c r="CE87" t="n">
        <v>6</v>
      </c>
      <c r="CI87" t="n">
        <v>5.582</v>
      </c>
      <c r="CJ87" t="n">
        <v>5.244</v>
      </c>
      <c r="CK87" t="n">
        <v>174</v>
      </c>
      <c r="CL87" t="n">
        <v>121</v>
      </c>
      <c r="CM87" t="n">
        <v>38</v>
      </c>
      <c r="CN87" t="n">
        <v>19</v>
      </c>
      <c r="CO87" t="n">
        <v>22</v>
      </c>
      <c r="CP87" t="n">
        <v>131</v>
      </c>
      <c r="CQ87" t="n">
        <v>22</v>
      </c>
      <c r="CR87" t="n">
        <v>119</v>
      </c>
      <c r="CS87" t="n">
        <v>47</v>
      </c>
      <c r="CU87" t="n">
        <v>1</v>
      </c>
      <c r="CV87" t="n">
        <v>2</v>
      </c>
      <c r="CW87" t="n">
        <v>42.99</v>
      </c>
      <c r="CX87" t="n">
        <v>1.272</v>
      </c>
      <c r="CY87" t="n">
        <v>0</v>
      </c>
      <c r="DB87" t="n">
        <v>0</v>
      </c>
      <c r="DE87" t="n">
        <v>6.69</v>
      </c>
      <c r="DF87" t="n">
        <v>9</v>
      </c>
      <c r="DG87" t="n">
        <v>1</v>
      </c>
      <c r="DH87" t="n">
        <v>28</v>
      </c>
      <c r="DI87" t="n">
        <v>22</v>
      </c>
      <c r="DJ87" t="n">
        <v>0</v>
      </c>
      <c r="DK87" t="n">
        <v>1</v>
      </c>
      <c r="DL87" t="n">
        <v>11</v>
      </c>
      <c r="DM87" t="n">
        <v>5</v>
      </c>
      <c r="DN87" t="n">
        <v>2</v>
      </c>
      <c r="DO87" t="n">
        <v>7.4</v>
      </c>
      <c r="DP87" t="n">
        <v>113.04</v>
      </c>
      <c r="DQ87" t="n">
        <v>56.52</v>
      </c>
      <c r="DR87" t="n">
        <v>113.04</v>
      </c>
      <c r="DS87" t="n">
        <v>0</v>
      </c>
      <c r="DT87" t="n">
        <v>3089</v>
      </c>
      <c r="DU87" t="n">
        <v>81.3</v>
      </c>
      <c r="DV87" t="inlineStr">
        <is>
          <t>flat</t>
        </is>
      </c>
      <c r="DW87" t="n">
        <v>73.59999999999999</v>
      </c>
      <c r="DX87" t="n">
        <v>85.33</v>
      </c>
      <c r="DY87" t="n">
        <v>22.64</v>
      </c>
      <c r="DZ87" t="n">
        <v>18.29</v>
      </c>
      <c r="EA87" t="n">
        <v>120</v>
      </c>
      <c r="EB87" t="n">
        <v>170</v>
      </c>
      <c r="EC87" t="n">
        <v>81.7</v>
      </c>
      <c r="ED87" t="n">
        <v>5</v>
      </c>
      <c r="EE87" t="n">
        <v>235</v>
      </c>
      <c r="EF87" t="n">
        <v>190.1</v>
      </c>
      <c r="EG87" t="n">
        <v>92.2</v>
      </c>
      <c r="EH87" t="n">
        <v>506.8</v>
      </c>
      <c r="EI87" t="n">
        <v>1153.5</v>
      </c>
      <c r="EJ87" t="n">
        <v>4362.1</v>
      </c>
      <c r="EK87" t="n">
        <v>912.3</v>
      </c>
      <c r="EL87" t="n">
        <v>26.2</v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n">
        <v>5.5</v>
      </c>
      <c r="F88" t="b">
        <v>1</v>
      </c>
      <c r="G88" t="b">
        <v>1</v>
      </c>
      <c r="H88" t="n">
        <v>26.7</v>
      </c>
      <c r="I88" t="inlineStr">
        <is>
          <t>a</t>
        </is>
      </c>
      <c r="L88" t="inlineStr">
        <is>
          <t>p225796</t>
        </is>
      </c>
      <c r="M88" t="n">
        <v>142</v>
      </c>
      <c r="O88" t="n">
        <v>1</v>
      </c>
      <c r="P88" t="n">
        <v>1</v>
      </c>
      <c r="Q88" t="n">
        <v>1957</v>
      </c>
      <c r="R88" t="n">
        <v>29</v>
      </c>
      <c r="S88" t="n">
        <v>20</v>
      </c>
      <c r="T88" t="n">
        <v>21.744</v>
      </c>
      <c r="U88" t="n">
        <v>67.5</v>
      </c>
      <c r="V88" t="n">
        <v>115</v>
      </c>
      <c r="W88" t="n">
        <v>5.289</v>
      </c>
      <c r="X88" t="n">
        <v>2</v>
      </c>
      <c r="Y88" t="n">
        <v>6</v>
      </c>
      <c r="Z88" t="n">
        <v>4</v>
      </c>
      <c r="AA88" t="n">
        <v>8</v>
      </c>
      <c r="AB88" t="n">
        <v>20</v>
      </c>
      <c r="AC88" t="n">
        <v>11</v>
      </c>
      <c r="AD88" t="n">
        <v>12</v>
      </c>
      <c r="AE88" t="n">
        <v>1</v>
      </c>
      <c r="AF88" t="n">
        <v>493</v>
      </c>
      <c r="AG88" t="n">
        <v>479</v>
      </c>
      <c r="AH88" t="n">
        <v>-14</v>
      </c>
      <c r="AI88" t="n">
        <v>116</v>
      </c>
      <c r="AJ88" t="n">
        <v>0.096</v>
      </c>
      <c r="AK88" t="n">
        <v>0.106</v>
      </c>
      <c r="AL88" t="n">
        <v>128</v>
      </c>
      <c r="AM88" t="n">
        <v>5.887</v>
      </c>
      <c r="AN88" t="n">
        <v>2</v>
      </c>
      <c r="AO88" t="n">
        <v>4</v>
      </c>
      <c r="AP88" t="n">
        <v>0.1</v>
      </c>
      <c r="AQ88" t="n">
        <v>0.1</v>
      </c>
      <c r="AR88" t="n">
        <v>0</v>
      </c>
      <c r="AS88" t="n">
        <v>0.526</v>
      </c>
      <c r="AT88" t="n">
        <v>0.655</v>
      </c>
      <c r="AU88" t="n">
        <v>14</v>
      </c>
      <c r="AV88" t="n">
        <v>1</v>
      </c>
      <c r="AW88" t="n">
        <v>3.64</v>
      </c>
      <c r="AX88" t="n">
        <v>18</v>
      </c>
      <c r="AY88" t="n">
        <v>1.04</v>
      </c>
      <c r="AZ88" t="n">
        <v>1.228</v>
      </c>
      <c r="BA88" t="n">
        <v>1.134</v>
      </c>
      <c r="BB88" t="n">
        <v>1.228</v>
      </c>
      <c r="BC88" t="n">
        <v>0.048</v>
      </c>
      <c r="BD88" t="n">
        <v>0.056</v>
      </c>
      <c r="BE88" t="n">
        <v>0.052</v>
      </c>
      <c r="BF88" t="n">
        <v>2.1</v>
      </c>
      <c r="BG88" t="n">
        <v>0.097</v>
      </c>
      <c r="BH88" t="n">
        <v>1.124</v>
      </c>
      <c r="BI88" t="n">
        <v>2.85</v>
      </c>
      <c r="BJ88" t="n">
        <v>1.169</v>
      </c>
      <c r="BK88" t="n">
        <v>0.054</v>
      </c>
      <c r="BL88" t="n">
        <v>0.866</v>
      </c>
      <c r="BM88" t="n">
        <v>1.06</v>
      </c>
      <c r="BN88" t="n">
        <v>-0.1</v>
      </c>
      <c r="BO88" t="n">
        <v>-0.188</v>
      </c>
      <c r="BP88" t="n">
        <v>22</v>
      </c>
      <c r="BQ88" t="n">
        <v>7</v>
      </c>
      <c r="BS88" t="n">
        <v>16</v>
      </c>
      <c r="BT88" t="n">
        <v>0.736</v>
      </c>
      <c r="BW88" t="n">
        <v>3.2</v>
      </c>
      <c r="BX88" t="n">
        <v>3.993</v>
      </c>
      <c r="BY88" t="n">
        <v>3.597</v>
      </c>
      <c r="BZ88" t="n">
        <v>0.165</v>
      </c>
      <c r="CA88" t="n">
        <v>4.731</v>
      </c>
      <c r="CB88" t="n">
        <v>0.218</v>
      </c>
      <c r="CC88" t="n">
        <v>27</v>
      </c>
      <c r="CD88" t="n">
        <v>8</v>
      </c>
      <c r="CE88" t="n">
        <v>27</v>
      </c>
      <c r="CF88" t="n">
        <v>30</v>
      </c>
      <c r="CG88" t="n">
        <v>1</v>
      </c>
      <c r="CH88" t="n">
        <v>81</v>
      </c>
      <c r="CI88" t="n">
        <v>11.532</v>
      </c>
      <c r="CJ88" t="n">
        <v>9.755000000000001</v>
      </c>
      <c r="CK88" t="n">
        <v>80</v>
      </c>
      <c r="CL88" t="n">
        <v>101</v>
      </c>
      <c r="CM88" t="n">
        <v>48</v>
      </c>
      <c r="CN88" t="n">
        <v>33</v>
      </c>
      <c r="CO88" t="n">
        <v>33</v>
      </c>
      <c r="CP88" t="n">
        <v>41</v>
      </c>
      <c r="CQ88" t="n">
        <v>6</v>
      </c>
      <c r="CR88" t="n">
        <v>112</v>
      </c>
      <c r="CS88" t="n">
        <v>31</v>
      </c>
      <c r="CT88" t="n">
        <v>0.3</v>
      </c>
      <c r="CU88" t="n">
        <v>1</v>
      </c>
      <c r="CV88" t="n">
        <v>3</v>
      </c>
      <c r="CW88" t="n">
        <v>28.75</v>
      </c>
      <c r="CX88" t="n">
        <v>1.322</v>
      </c>
      <c r="CY88" t="n">
        <v>0</v>
      </c>
      <c r="DB88" t="n">
        <v>0</v>
      </c>
      <c r="DE88" t="n">
        <v>7.23</v>
      </c>
      <c r="DF88" t="n">
        <v>4</v>
      </c>
      <c r="DG88" t="n">
        <v>0</v>
      </c>
      <c r="DH88" t="n">
        <v>27</v>
      </c>
      <c r="DI88" t="n">
        <v>22</v>
      </c>
      <c r="DL88" t="n">
        <v>11</v>
      </c>
      <c r="DM88" t="n">
        <v>13</v>
      </c>
      <c r="DN88" t="n">
        <v>1</v>
      </c>
      <c r="DO88" t="n">
        <v>8.1</v>
      </c>
      <c r="DP88" t="n">
        <v>111.71</v>
      </c>
      <c r="DQ88" t="n">
        <v>56.28</v>
      </c>
      <c r="DR88" t="n">
        <v>112.56</v>
      </c>
      <c r="DS88" t="n">
        <v>-0.85</v>
      </c>
      <c r="DT88" t="n">
        <v>2400</v>
      </c>
      <c r="DU88" t="n">
        <v>63.15</v>
      </c>
      <c r="DV88" t="inlineStr">
        <is>
          <t>flat</t>
        </is>
      </c>
      <c r="DW88" t="n">
        <v>63.59</v>
      </c>
      <c r="DX88" t="n">
        <v>66.33</v>
      </c>
      <c r="DY88" t="n">
        <v>19.06</v>
      </c>
      <c r="DZ88" t="n">
        <v>19</v>
      </c>
      <c r="EA88" t="n">
        <v>114.67</v>
      </c>
      <c r="EB88" t="n">
        <v>171</v>
      </c>
      <c r="EC88" t="n">
        <v>82.2</v>
      </c>
      <c r="ED88" t="n">
        <v>17.8</v>
      </c>
      <c r="EE88" t="n">
        <v>125</v>
      </c>
      <c r="EF88" t="n">
        <v>89</v>
      </c>
      <c r="EG88" t="n">
        <v>122.3</v>
      </c>
      <c r="EH88" t="n">
        <v>72.5</v>
      </c>
      <c r="EI88" t="n">
        <v>1725.7</v>
      </c>
      <c r="EJ88" t="n">
        <v>544.1</v>
      </c>
      <c r="EK88" t="n">
        <v>413.7</v>
      </c>
      <c r="EL88" t="n">
        <v>17</v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n">
        <v>6</v>
      </c>
      <c r="F89" t="b">
        <v>1</v>
      </c>
      <c r="G89" t="b">
        <v>1</v>
      </c>
      <c r="H89" t="n">
        <v>26.9</v>
      </c>
      <c r="I89" t="inlineStr">
        <is>
          <t>a</t>
        </is>
      </c>
      <c r="L89" t="inlineStr">
        <is>
          <t>p444102</t>
        </is>
      </c>
      <c r="M89" t="n">
        <v>79</v>
      </c>
      <c r="Q89" t="n">
        <v>2741</v>
      </c>
      <c r="R89" t="n">
        <v>36</v>
      </c>
      <c r="S89" t="n">
        <v>32</v>
      </c>
      <c r="T89" t="n">
        <v>30.456</v>
      </c>
      <c r="U89" t="n">
        <v>76.09999999999999</v>
      </c>
      <c r="V89" t="n">
        <v>115</v>
      </c>
      <c r="W89" t="n">
        <v>3.776</v>
      </c>
      <c r="X89" t="n">
        <v>6</v>
      </c>
      <c r="Y89" t="n">
        <v>7</v>
      </c>
      <c r="Z89" t="n">
        <v>1</v>
      </c>
      <c r="AA89" t="n">
        <v>11</v>
      </c>
      <c r="AB89" t="n">
        <v>40</v>
      </c>
      <c r="AC89" t="n">
        <v>6</v>
      </c>
      <c r="AD89" t="n">
        <v>6</v>
      </c>
      <c r="AE89" t="n">
        <v>0</v>
      </c>
      <c r="AF89" t="n">
        <v>412</v>
      </c>
      <c r="AG89" t="n">
        <v>404</v>
      </c>
      <c r="AH89" t="n">
        <v>-8</v>
      </c>
      <c r="AI89" t="n">
        <v>115</v>
      </c>
      <c r="AJ89" t="n">
        <v>0.052</v>
      </c>
      <c r="AK89" t="n">
        <v>0.055</v>
      </c>
      <c r="AL89" t="n">
        <v>135</v>
      </c>
      <c r="AM89" t="n">
        <v>4.433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0.842</v>
      </c>
      <c r="AT89" t="n">
        <v>0.833</v>
      </c>
      <c r="AU89" t="n">
        <v>23</v>
      </c>
      <c r="AV89" t="n">
        <v>0</v>
      </c>
      <c r="AW89" t="n">
        <v>2.22</v>
      </c>
      <c r="AX89" t="n">
        <v>8</v>
      </c>
      <c r="AY89" t="n">
        <v>10.64</v>
      </c>
      <c r="AZ89" t="n">
        <v>11.83</v>
      </c>
      <c r="BA89" t="n">
        <v>11.235</v>
      </c>
      <c r="BB89" t="n">
        <v>11.83</v>
      </c>
      <c r="BC89" t="n">
        <v>0.349</v>
      </c>
      <c r="BD89" t="n">
        <v>0.388</v>
      </c>
      <c r="BE89" t="n">
        <v>0.369</v>
      </c>
      <c r="BF89" t="n">
        <v>6.9</v>
      </c>
      <c r="BG89" t="n">
        <v>0.227</v>
      </c>
      <c r="BH89" t="n">
        <v>0.842</v>
      </c>
      <c r="BI89" t="n">
        <v>23.11</v>
      </c>
      <c r="BJ89" t="n">
        <v>8.961</v>
      </c>
      <c r="BK89" t="n">
        <v>0.294</v>
      </c>
      <c r="BL89" t="n">
        <v>-5.235</v>
      </c>
      <c r="BM89" t="n">
        <v>-3.74</v>
      </c>
      <c r="BN89" t="n">
        <v>-0.9</v>
      </c>
      <c r="BO89" t="n">
        <v>-1.19</v>
      </c>
      <c r="BP89" t="n">
        <v>70</v>
      </c>
      <c r="BQ89" t="n">
        <v>22</v>
      </c>
      <c r="BR89" t="n">
        <v>10</v>
      </c>
      <c r="BS89" t="n">
        <v>140</v>
      </c>
      <c r="BT89" t="n">
        <v>4.597</v>
      </c>
      <c r="BV89" t="n">
        <v>2</v>
      </c>
      <c r="BW89" t="n">
        <v>1.48</v>
      </c>
      <c r="BX89" t="n">
        <v>3.069</v>
      </c>
      <c r="BY89" t="n">
        <v>2.275</v>
      </c>
      <c r="BZ89" t="n">
        <v>0.075</v>
      </c>
      <c r="CA89" t="n">
        <v>13.51</v>
      </c>
      <c r="CB89" t="n">
        <v>0.444</v>
      </c>
      <c r="CC89" t="n">
        <v>30</v>
      </c>
      <c r="CD89" t="n">
        <v>3</v>
      </c>
      <c r="CE89" t="n">
        <v>31</v>
      </c>
      <c r="CG89" t="n">
        <v>1</v>
      </c>
      <c r="CI89" t="n">
        <v>15.95</v>
      </c>
      <c r="CJ89" t="n">
        <v>3.486</v>
      </c>
      <c r="CK89" t="n">
        <v>42</v>
      </c>
      <c r="CL89" t="n">
        <v>80</v>
      </c>
      <c r="CM89" t="n">
        <v>13</v>
      </c>
      <c r="CN89" t="n">
        <v>5</v>
      </c>
      <c r="CO89" t="n">
        <v>8</v>
      </c>
      <c r="CP89" t="n">
        <v>29</v>
      </c>
      <c r="CQ89" t="n">
        <v>6</v>
      </c>
      <c r="CR89" t="n">
        <v>113</v>
      </c>
      <c r="CS89" t="n">
        <v>47</v>
      </c>
      <c r="CT89" t="n">
        <v>0.6</v>
      </c>
      <c r="CV89" t="n">
        <v>1</v>
      </c>
      <c r="CW89" t="n">
        <v>39.02</v>
      </c>
      <c r="CX89" t="n">
        <v>1.281</v>
      </c>
      <c r="CY89" t="n">
        <v>0</v>
      </c>
      <c r="DB89" t="n">
        <v>0</v>
      </c>
      <c r="DE89" t="n">
        <v>6.77</v>
      </c>
      <c r="DF89" t="n">
        <v>2</v>
      </c>
      <c r="DG89" t="n">
        <v>0</v>
      </c>
      <c r="DH89" t="n">
        <v>26</v>
      </c>
      <c r="DI89" t="n">
        <v>37</v>
      </c>
      <c r="DJ89" t="n">
        <v>2</v>
      </c>
      <c r="DL89" t="n">
        <v>16</v>
      </c>
      <c r="DM89" t="n">
        <v>39</v>
      </c>
      <c r="DN89" t="n">
        <v>30</v>
      </c>
      <c r="DO89" t="n">
        <v>2.1</v>
      </c>
      <c r="DP89" t="n">
        <v>141.07</v>
      </c>
      <c r="DQ89" t="n">
        <v>71.06999999999999</v>
      </c>
      <c r="DR89" t="n">
        <v>142.14</v>
      </c>
      <c r="DS89" t="n">
        <v>-1.07</v>
      </c>
      <c r="DT89" t="n">
        <v>2662</v>
      </c>
      <c r="DU89" t="n">
        <v>70.05</v>
      </c>
      <c r="DV89" t="inlineStr">
        <is>
          <t>flat</t>
        </is>
      </c>
      <c r="DW89" t="n">
        <v>44.72</v>
      </c>
      <c r="DX89" t="n">
        <v>51.49</v>
      </c>
      <c r="DY89" t="n">
        <v>25.24</v>
      </c>
      <c r="DZ89" t="n">
        <v>8.67</v>
      </c>
      <c r="EA89" t="n">
        <v>116</v>
      </c>
      <c r="EB89" t="n">
        <v>179</v>
      </c>
      <c r="EC89" t="n">
        <v>86.09999999999999</v>
      </c>
      <c r="ED89" t="n">
        <v>13.9</v>
      </c>
      <c r="EE89" t="n">
        <v>76</v>
      </c>
      <c r="EF89" t="n">
        <v>39.2</v>
      </c>
      <c r="EG89" t="n">
        <v>19.6</v>
      </c>
      <c r="EH89" t="n">
        <v>88.40000000000001</v>
      </c>
      <c r="EI89" t="n">
        <v>244</v>
      </c>
      <c r="EJ89" t="n">
        <v>1205.1</v>
      </c>
      <c r="EK89" t="n">
        <v>202.9</v>
      </c>
      <c r="EL89" t="n">
        <v>23.8</v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n">
        <v>5.5</v>
      </c>
      <c r="F90" t="b">
        <v>1</v>
      </c>
      <c r="G90" t="b">
        <v>1</v>
      </c>
      <c r="H90" t="n">
        <v>25.5</v>
      </c>
      <c r="I90" t="inlineStr">
        <is>
          <t>a</t>
        </is>
      </c>
      <c r="L90" t="inlineStr">
        <is>
          <t>p249231</t>
        </is>
      </c>
      <c r="M90" t="n">
        <v>86</v>
      </c>
      <c r="P90" t="n">
        <v>1</v>
      </c>
      <c r="Q90" t="n">
        <v>1960</v>
      </c>
      <c r="R90" t="n">
        <v>36</v>
      </c>
      <c r="S90" t="n">
        <v>22</v>
      </c>
      <c r="T90" t="n">
        <v>21.778</v>
      </c>
      <c r="U90" t="n">
        <v>54.4</v>
      </c>
      <c r="V90" t="n">
        <v>115</v>
      </c>
      <c r="W90" t="n">
        <v>5.281</v>
      </c>
      <c r="X90" t="n">
        <v>3</v>
      </c>
      <c r="Y90" t="n">
        <v>4</v>
      </c>
      <c r="Z90" t="n">
        <v>3</v>
      </c>
      <c r="AA90" t="n">
        <v>9</v>
      </c>
      <c r="AB90" t="n">
        <v>32</v>
      </c>
      <c r="AC90" t="n">
        <v>5</v>
      </c>
      <c r="AD90" t="n">
        <v>6</v>
      </c>
      <c r="AE90" t="n">
        <v>1</v>
      </c>
      <c r="AF90" t="n">
        <v>356</v>
      </c>
      <c r="AG90" t="n">
        <v>346</v>
      </c>
      <c r="AH90" t="n">
        <v>-10</v>
      </c>
      <c r="AI90" t="n">
        <v>116</v>
      </c>
      <c r="AJ90" t="n">
        <v>0.043</v>
      </c>
      <c r="AK90" t="n">
        <v>0.045</v>
      </c>
      <c r="AL90" t="n">
        <v>74</v>
      </c>
      <c r="AM90" t="n">
        <v>3.398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0.579</v>
      </c>
      <c r="AT90" t="n">
        <v>0.583</v>
      </c>
      <c r="AU90" t="n">
        <v>23</v>
      </c>
      <c r="AV90" t="n">
        <v>2</v>
      </c>
      <c r="AW90" t="n">
        <v>4.06</v>
      </c>
      <c r="AX90" t="n">
        <v>21</v>
      </c>
      <c r="AY90" t="n">
        <v>3.01</v>
      </c>
      <c r="AZ90" t="n">
        <v>3.215</v>
      </c>
      <c r="BA90" t="n">
        <v>3.112</v>
      </c>
      <c r="BB90" t="n">
        <v>3.215</v>
      </c>
      <c r="BC90" t="n">
        <v>0.138</v>
      </c>
      <c r="BD90" t="n">
        <v>0.148</v>
      </c>
      <c r="BE90" t="n">
        <v>0.143</v>
      </c>
      <c r="BF90" t="n">
        <v>2.3</v>
      </c>
      <c r="BG90" t="n">
        <v>0.106</v>
      </c>
      <c r="BH90" t="n">
        <v>0.982</v>
      </c>
      <c r="BI90" t="n">
        <v>12.88</v>
      </c>
      <c r="BJ90" t="n">
        <v>2.955</v>
      </c>
      <c r="BK90" t="n">
        <v>0.136</v>
      </c>
      <c r="BL90" t="n">
        <v>-0.112</v>
      </c>
      <c r="BM90" t="n">
        <v>-0.71</v>
      </c>
      <c r="BN90" t="n">
        <v>0.7</v>
      </c>
      <c r="BO90" t="n">
        <v>-0.205</v>
      </c>
      <c r="BP90" t="n">
        <v>31</v>
      </c>
      <c r="BQ90" t="n">
        <v>9</v>
      </c>
      <c r="BR90" t="n">
        <v>2</v>
      </c>
      <c r="BS90" t="n">
        <v>74</v>
      </c>
      <c r="BT90" t="n">
        <v>3.398</v>
      </c>
      <c r="BV90" t="n">
        <v>1</v>
      </c>
      <c r="BW90" t="n">
        <v>2.51</v>
      </c>
      <c r="BX90" t="n">
        <v>2.714</v>
      </c>
      <c r="BY90" t="n">
        <v>2.612</v>
      </c>
      <c r="BZ90" t="n">
        <v>0.12</v>
      </c>
      <c r="CA90" t="n">
        <v>5.725</v>
      </c>
      <c r="CB90" t="n">
        <v>0.263</v>
      </c>
      <c r="CC90" t="n">
        <v>19</v>
      </c>
      <c r="CD90" t="n">
        <v>6</v>
      </c>
      <c r="CE90" t="n">
        <v>19</v>
      </c>
      <c r="CF90" t="n">
        <v>22</v>
      </c>
      <c r="CH90" t="n">
        <v>2</v>
      </c>
      <c r="CI90" t="n">
        <v>7.843</v>
      </c>
      <c r="CJ90" t="n">
        <v>3.192</v>
      </c>
      <c r="CK90" t="n">
        <v>51</v>
      </c>
      <c r="CL90" t="n">
        <v>96</v>
      </c>
      <c r="CM90" t="n">
        <v>23</v>
      </c>
      <c r="CN90" t="n">
        <v>14</v>
      </c>
      <c r="CO90" t="n">
        <v>12</v>
      </c>
      <c r="CP90" t="n">
        <v>37</v>
      </c>
      <c r="CQ90" t="n">
        <v>2</v>
      </c>
      <c r="CR90" t="n">
        <v>86</v>
      </c>
      <c r="CS90" t="n">
        <v>11</v>
      </c>
      <c r="CT90" t="n">
        <v>0.3</v>
      </c>
      <c r="CU90" t="n">
        <v>1</v>
      </c>
      <c r="CW90" t="n">
        <v>33.74</v>
      </c>
      <c r="CX90" t="n">
        <v>1.549</v>
      </c>
      <c r="CY90" t="n">
        <v>0</v>
      </c>
      <c r="DB90" t="n">
        <v>0</v>
      </c>
      <c r="DE90" t="n">
        <v>6.67</v>
      </c>
      <c r="DF90" t="n">
        <v>1</v>
      </c>
      <c r="DG90" t="n">
        <v>0</v>
      </c>
      <c r="DH90" t="n">
        <v>15</v>
      </c>
      <c r="DI90" t="n">
        <v>36</v>
      </c>
      <c r="DL90" t="n">
        <v>16</v>
      </c>
      <c r="DM90" t="n">
        <v>15</v>
      </c>
      <c r="DN90" t="n">
        <v>3</v>
      </c>
      <c r="DO90" t="n">
        <v>0.5</v>
      </c>
      <c r="DP90" t="n">
        <v>66.66</v>
      </c>
      <c r="DQ90" t="n">
        <v>33.73</v>
      </c>
      <c r="DR90" t="n">
        <v>67.45999999999999</v>
      </c>
      <c r="DS90" t="n">
        <v>-0.8</v>
      </c>
      <c r="DT90" t="n">
        <v>1659</v>
      </c>
      <c r="DU90" t="n">
        <v>43.65</v>
      </c>
      <c r="DV90" t="inlineStr">
        <is>
          <t>flat</t>
        </is>
      </c>
      <c r="DW90" t="n">
        <v>91.45</v>
      </c>
      <c r="DX90" t="n">
        <v>109</v>
      </c>
      <c r="DY90" t="n">
        <v>19.82</v>
      </c>
      <c r="DZ90" t="n">
        <v>42.5</v>
      </c>
      <c r="EA90" t="n">
        <v>109</v>
      </c>
      <c r="EB90" t="n">
        <v>12</v>
      </c>
      <c r="EC90" t="n">
        <v>5.8</v>
      </c>
      <c r="ED90" t="n">
        <v>0</v>
      </c>
      <c r="EE90" t="n">
        <v>124</v>
      </c>
      <c r="EF90" t="n">
        <v>63.2</v>
      </c>
      <c r="EG90" t="n">
        <v>26.5</v>
      </c>
      <c r="EH90" t="n">
        <v>103.2</v>
      </c>
      <c r="EI90" t="n">
        <v>629.7</v>
      </c>
      <c r="EJ90" t="n">
        <v>750.3</v>
      </c>
      <c r="EK90" t="n">
        <v>342.4</v>
      </c>
      <c r="EL90" t="n">
        <v>17</v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n">
        <v>9.5</v>
      </c>
      <c r="F91" t="b">
        <v>1</v>
      </c>
      <c r="G91" t="b">
        <v>1</v>
      </c>
      <c r="H91" t="n">
        <v>24.3</v>
      </c>
      <c r="I91" t="inlineStr">
        <is>
          <t>a</t>
        </is>
      </c>
      <c r="L91" t="inlineStr">
        <is>
          <t>p244851</t>
        </is>
      </c>
      <c r="M91" t="n">
        <v>154</v>
      </c>
      <c r="N91" t="n">
        <v>1</v>
      </c>
      <c r="P91" t="n">
        <v>3</v>
      </c>
      <c r="Q91" t="n">
        <v>1954</v>
      </c>
      <c r="R91" t="n">
        <v>26</v>
      </c>
      <c r="S91" t="n">
        <v>24</v>
      </c>
      <c r="T91" t="n">
        <v>21.711</v>
      </c>
      <c r="U91" t="n">
        <v>75.2</v>
      </c>
      <c r="V91" t="n">
        <v>114</v>
      </c>
      <c r="W91" t="n">
        <v>5.251</v>
      </c>
      <c r="X91" t="n">
        <v>10</v>
      </c>
      <c r="Y91" t="n">
        <v>2</v>
      </c>
      <c r="Z91" t="n">
        <v>1</v>
      </c>
      <c r="AA91" t="n">
        <v>3</v>
      </c>
      <c r="AB91" t="n">
        <v>33</v>
      </c>
      <c r="AC91" t="n">
        <v>11</v>
      </c>
      <c r="AD91" t="n">
        <v>11</v>
      </c>
      <c r="AE91" t="n">
        <v>0</v>
      </c>
      <c r="AF91" t="n">
        <v>430</v>
      </c>
      <c r="AG91" t="n">
        <v>425</v>
      </c>
      <c r="AH91" t="n">
        <v>-5</v>
      </c>
      <c r="AI91" t="n">
        <v>114</v>
      </c>
      <c r="AJ91" t="n">
        <v>0.096</v>
      </c>
      <c r="AK91" t="n">
        <v>0.107</v>
      </c>
      <c r="AL91" t="n">
        <v>135</v>
      </c>
      <c r="AM91" t="n">
        <v>6.218</v>
      </c>
      <c r="AN91" t="n">
        <v>2</v>
      </c>
      <c r="AO91" t="n">
        <v>4</v>
      </c>
      <c r="AP91" t="n">
        <v>0.083</v>
      </c>
      <c r="AQ91" t="n">
        <v>0.167</v>
      </c>
      <c r="AR91" t="n">
        <v>0.083</v>
      </c>
      <c r="AS91" t="n">
        <v>0.632</v>
      </c>
      <c r="AT91" t="n">
        <v>0.8080000000000001</v>
      </c>
      <c r="AU91" t="n">
        <v>14</v>
      </c>
      <c r="AV91" t="n">
        <v>2</v>
      </c>
      <c r="AW91" t="n">
        <v>4.22</v>
      </c>
      <c r="AX91" t="n">
        <v>20</v>
      </c>
      <c r="AY91" t="n">
        <v>10.55</v>
      </c>
      <c r="AZ91" t="n">
        <v>10.258</v>
      </c>
      <c r="BA91" t="n">
        <v>10.404</v>
      </c>
      <c r="BB91" t="n">
        <v>5.691</v>
      </c>
      <c r="BC91" t="n">
        <v>0.486</v>
      </c>
      <c r="BD91" t="n">
        <v>0.472</v>
      </c>
      <c r="BE91" t="n">
        <v>0.479</v>
      </c>
      <c r="BF91" t="n">
        <v>10.1</v>
      </c>
      <c r="BG91" t="n">
        <v>0.465</v>
      </c>
      <c r="BH91" t="n">
        <v>1.039</v>
      </c>
      <c r="BI91" t="n">
        <v>45.05</v>
      </c>
      <c r="BJ91" t="n">
        <v>10.958</v>
      </c>
      <c r="BK91" t="n">
        <v>0.505</v>
      </c>
      <c r="BL91" t="n">
        <v>-0.404</v>
      </c>
      <c r="BM91" t="n">
        <v>-0.45</v>
      </c>
      <c r="BN91" t="n">
        <v>-0.1</v>
      </c>
      <c r="BO91" t="n">
        <v>0.292</v>
      </c>
      <c r="BP91" t="n">
        <v>64</v>
      </c>
      <c r="BQ91" t="n">
        <v>25</v>
      </c>
      <c r="BR91" t="n">
        <v>6</v>
      </c>
      <c r="BS91" t="n">
        <v>93</v>
      </c>
      <c r="BT91" t="n">
        <v>4.284</v>
      </c>
      <c r="BU91" t="n">
        <v>5</v>
      </c>
      <c r="BW91" t="n">
        <v>2.49</v>
      </c>
      <c r="BX91" t="n">
        <v>2.123</v>
      </c>
      <c r="BY91" t="n">
        <v>2.307</v>
      </c>
      <c r="BZ91" t="n">
        <v>0.106</v>
      </c>
      <c r="CA91" t="n">
        <v>12.71</v>
      </c>
      <c r="CB91" t="n">
        <v>0.585</v>
      </c>
      <c r="CC91" t="n">
        <v>24</v>
      </c>
      <c r="CD91" t="n">
        <v>3</v>
      </c>
      <c r="CE91" t="n">
        <v>24</v>
      </c>
      <c r="CF91" t="n">
        <v>5</v>
      </c>
      <c r="CG91" t="n">
        <v>3</v>
      </c>
      <c r="CH91" t="n">
        <v>4</v>
      </c>
      <c r="CI91" t="n">
        <v>16.862</v>
      </c>
      <c r="CJ91" t="n">
        <v>10.538</v>
      </c>
      <c r="CK91" t="n">
        <v>27</v>
      </c>
      <c r="CL91" t="n">
        <v>83</v>
      </c>
      <c r="CM91" t="n">
        <v>25</v>
      </c>
      <c r="CN91" t="n">
        <v>12</v>
      </c>
      <c r="CO91" t="n">
        <v>15</v>
      </c>
      <c r="CP91" t="n">
        <v>12</v>
      </c>
      <c r="CR91" t="n">
        <v>84</v>
      </c>
      <c r="CT91" t="n">
        <v>1</v>
      </c>
      <c r="CV91" t="n">
        <v>1</v>
      </c>
      <c r="CW91" t="n">
        <v>31.13</v>
      </c>
      <c r="CX91" t="n">
        <v>1.434</v>
      </c>
      <c r="CY91" t="n">
        <v>0</v>
      </c>
      <c r="DB91" t="n">
        <v>0</v>
      </c>
      <c r="DE91" t="n">
        <v>7.04</v>
      </c>
      <c r="DF91" t="n">
        <v>5</v>
      </c>
      <c r="DG91" t="n">
        <v>0</v>
      </c>
      <c r="DH91" t="n">
        <v>13</v>
      </c>
      <c r="DI91" t="n">
        <v>37</v>
      </c>
      <c r="DL91" t="n">
        <v>22</v>
      </c>
      <c r="DM91" t="n">
        <v>35</v>
      </c>
      <c r="DN91" t="n">
        <v>2</v>
      </c>
      <c r="DO91" t="n">
        <v>11.2</v>
      </c>
      <c r="DP91" t="n">
        <v>191.31</v>
      </c>
      <c r="DQ91" t="n">
        <v>95.75</v>
      </c>
      <c r="DR91" t="n">
        <v>191.5</v>
      </c>
      <c r="DS91" t="n">
        <v>-0.19</v>
      </c>
      <c r="DT91" t="n">
        <v>2884</v>
      </c>
      <c r="DU91" t="n">
        <v>75.90000000000001</v>
      </c>
      <c r="DV91" t="inlineStr">
        <is>
          <t>flat</t>
        </is>
      </c>
      <c r="DW91" t="n">
        <v>6.65</v>
      </c>
      <c r="DX91" t="n">
        <v>5.31</v>
      </c>
      <c r="DY91" t="n">
        <v>7.43</v>
      </c>
      <c r="DZ91" t="n">
        <v>1</v>
      </c>
      <c r="EA91" t="n">
        <v>61.33</v>
      </c>
      <c r="EB91" t="n">
        <v>176</v>
      </c>
      <c r="EC91" t="n">
        <v>84.59999999999999</v>
      </c>
      <c r="ED91" t="n">
        <v>18.1</v>
      </c>
      <c r="EE91" t="n">
        <v>4</v>
      </c>
      <c r="EF91" t="n">
        <v>30.5</v>
      </c>
      <c r="EG91" t="n">
        <v>21</v>
      </c>
      <c r="EH91" t="n">
        <v>81.40000000000001</v>
      </c>
      <c r="EI91" t="n">
        <v>187.8</v>
      </c>
      <c r="EJ91" t="n">
        <v>847.1</v>
      </c>
      <c r="EK91" t="n">
        <v>153.7</v>
      </c>
      <c r="EL91" t="n">
        <v>17.1</v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n">
        <v>6.5</v>
      </c>
      <c r="F92" t="b">
        <v>1</v>
      </c>
      <c r="G92" t="b">
        <v>1</v>
      </c>
      <c r="H92" t="n">
        <v>29.1</v>
      </c>
      <c r="I92" t="inlineStr">
        <is>
          <t>a</t>
        </is>
      </c>
      <c r="L92" t="inlineStr">
        <is>
          <t>p231747</t>
        </is>
      </c>
      <c r="M92" t="n">
        <v>223</v>
      </c>
      <c r="N92" t="n">
        <v>1</v>
      </c>
      <c r="Q92" t="n">
        <v>2210</v>
      </c>
      <c r="R92" t="n">
        <v>32</v>
      </c>
      <c r="S92" t="n">
        <v>25</v>
      </c>
      <c r="T92" t="n">
        <v>24.556</v>
      </c>
      <c r="U92" t="n">
        <v>69.09999999999999</v>
      </c>
      <c r="V92" t="n">
        <v>114</v>
      </c>
      <c r="W92" t="n">
        <v>4.643</v>
      </c>
      <c r="X92" t="n">
        <v>12</v>
      </c>
      <c r="Y92" t="n">
        <v>0</v>
      </c>
      <c r="AA92" t="n">
        <v>8</v>
      </c>
      <c r="AB92" t="n">
        <v>29</v>
      </c>
      <c r="AC92" t="n">
        <v>13</v>
      </c>
      <c r="AD92" t="n">
        <v>14</v>
      </c>
      <c r="AE92" t="n">
        <v>1</v>
      </c>
      <c r="AF92" t="n">
        <v>397</v>
      </c>
      <c r="AG92" t="n">
        <v>384</v>
      </c>
      <c r="AH92" t="n">
        <v>-13</v>
      </c>
      <c r="AI92" t="n">
        <v>115</v>
      </c>
      <c r="AJ92" t="n">
        <v>0.114</v>
      </c>
      <c r="AK92" t="n">
        <v>0.129</v>
      </c>
      <c r="AL92" t="n">
        <v>125</v>
      </c>
      <c r="AM92" t="n">
        <v>5.09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0.658</v>
      </c>
      <c r="AT92" t="n">
        <v>0.719</v>
      </c>
      <c r="AU92" t="n">
        <v>23</v>
      </c>
      <c r="AV92" t="n">
        <v>2</v>
      </c>
      <c r="AW92" t="n">
        <v>3.61</v>
      </c>
      <c r="AX92" t="n">
        <v>17</v>
      </c>
      <c r="AY92" t="n">
        <v>14.42</v>
      </c>
      <c r="AZ92" t="n">
        <v>15.977</v>
      </c>
      <c r="BA92" t="n">
        <v>15.199</v>
      </c>
      <c r="BB92" t="n">
        <v>12.933</v>
      </c>
      <c r="BC92" t="n">
        <v>0.587</v>
      </c>
      <c r="BD92" t="n">
        <v>0.651</v>
      </c>
      <c r="BE92" t="n">
        <v>0.619</v>
      </c>
      <c r="BF92" t="n">
        <v>13.2</v>
      </c>
      <c r="BG92" t="n">
        <v>0.538</v>
      </c>
      <c r="BH92" t="n">
        <v>0.977</v>
      </c>
      <c r="BI92" t="n">
        <v>42.47</v>
      </c>
      <c r="BJ92" t="n">
        <v>14.086</v>
      </c>
      <c r="BK92" t="n">
        <v>0.574</v>
      </c>
      <c r="BL92" t="n">
        <v>-3.199</v>
      </c>
      <c r="BM92" t="n">
        <v>-1.22</v>
      </c>
      <c r="BN92" t="n">
        <v>-1.2</v>
      </c>
      <c r="BO92" t="n">
        <v>-1.557</v>
      </c>
      <c r="BP92" t="n">
        <v>63</v>
      </c>
      <c r="BQ92" t="n">
        <v>32</v>
      </c>
      <c r="BR92" t="n">
        <v>20</v>
      </c>
      <c r="BS92" t="n">
        <v>88</v>
      </c>
      <c r="BT92" t="n">
        <v>3.584</v>
      </c>
      <c r="BU92" t="n">
        <v>4</v>
      </c>
      <c r="BV92" t="n">
        <v>5</v>
      </c>
      <c r="BW92" t="n">
        <v>1.32</v>
      </c>
      <c r="BX92" t="n">
        <v>1.25</v>
      </c>
      <c r="BY92" t="n">
        <v>1.285</v>
      </c>
      <c r="BZ92" t="n">
        <v>0.052</v>
      </c>
      <c r="CA92" t="n">
        <v>16.484</v>
      </c>
      <c r="CB92" t="n">
        <v>0.671</v>
      </c>
      <c r="CC92" t="n">
        <v>9</v>
      </c>
      <c r="CD92" t="n">
        <v>2</v>
      </c>
      <c r="CE92" t="n">
        <v>9</v>
      </c>
      <c r="CF92" t="n">
        <v>5</v>
      </c>
      <c r="CG92" t="n">
        <v>2</v>
      </c>
      <c r="CI92" t="n">
        <v>15.171</v>
      </c>
      <c r="CJ92" t="n">
        <v>2.394</v>
      </c>
      <c r="CK92" t="n">
        <v>58</v>
      </c>
      <c r="CL92" t="n">
        <v>57</v>
      </c>
      <c r="CM92" t="n">
        <v>10</v>
      </c>
      <c r="CN92" t="n">
        <v>5</v>
      </c>
      <c r="CO92" t="n">
        <v>6</v>
      </c>
      <c r="CP92" t="n">
        <v>46</v>
      </c>
      <c r="CQ92" t="n">
        <v>6</v>
      </c>
      <c r="CR92" t="n">
        <v>110</v>
      </c>
      <c r="CS92" t="n">
        <v>67</v>
      </c>
      <c r="CT92" t="n">
        <v>0.5</v>
      </c>
      <c r="CV92" t="n">
        <v>1</v>
      </c>
      <c r="CW92" t="n">
        <v>31.77</v>
      </c>
      <c r="CX92" t="n">
        <v>1.294</v>
      </c>
      <c r="CY92" t="n">
        <v>0</v>
      </c>
      <c r="DB92" t="n">
        <v>0</v>
      </c>
      <c r="DE92" t="n">
        <v>6.68</v>
      </c>
      <c r="DF92" t="n">
        <v>2</v>
      </c>
      <c r="DG92" t="n">
        <v>0</v>
      </c>
      <c r="DH92" t="n">
        <v>21</v>
      </c>
      <c r="DI92" t="n">
        <v>19</v>
      </c>
      <c r="DJ92" t="n">
        <v>1</v>
      </c>
      <c r="DL92" t="n">
        <v>14</v>
      </c>
      <c r="DM92" t="n">
        <v>41</v>
      </c>
      <c r="DN92" t="n">
        <v>18</v>
      </c>
      <c r="DO92" t="n">
        <v>6.5</v>
      </c>
      <c r="DP92" t="n">
        <v>132.34</v>
      </c>
      <c r="DQ92" t="n">
        <v>66.17</v>
      </c>
      <c r="DR92" t="n">
        <v>132.34</v>
      </c>
      <c r="DS92" t="n">
        <v>0</v>
      </c>
      <c r="DT92" t="n">
        <v>2422</v>
      </c>
      <c r="DU92" t="n">
        <v>63.75</v>
      </c>
      <c r="DV92" t="inlineStr">
        <is>
          <t>flat</t>
        </is>
      </c>
      <c r="DW92" t="n">
        <v>31.94</v>
      </c>
      <c r="DX92" t="n">
        <v>32.89</v>
      </c>
      <c r="DY92" t="n">
        <v>17.86</v>
      </c>
      <c r="DZ92" t="n">
        <v>6.29</v>
      </c>
      <c r="EA92" t="n">
        <v>108</v>
      </c>
      <c r="EB92" t="n">
        <v>185</v>
      </c>
      <c r="EC92" t="n">
        <v>88.90000000000001</v>
      </c>
      <c r="ED92" t="n">
        <v>12.7</v>
      </c>
      <c r="EE92" t="n">
        <v>40</v>
      </c>
      <c r="EF92" t="n">
        <v>35.1</v>
      </c>
      <c r="EG92" t="n">
        <v>25.1</v>
      </c>
      <c r="EH92" t="n">
        <v>245.6</v>
      </c>
      <c r="EI92" t="n">
        <v>145.4</v>
      </c>
      <c r="EJ92" t="n">
        <v>1720.1</v>
      </c>
      <c r="EK92" t="n">
        <v>134.1</v>
      </c>
      <c r="EL92" t="n">
        <v>19.4</v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n">
        <v>6</v>
      </c>
      <c r="F93" t="b">
        <v>1</v>
      </c>
      <c r="G93" t="b">
        <v>1</v>
      </c>
      <c r="H93" t="n">
        <v>25.5</v>
      </c>
      <c r="I93" t="inlineStr">
        <is>
          <t>a</t>
        </is>
      </c>
      <c r="L93" t="inlineStr">
        <is>
          <t>p482973</t>
        </is>
      </c>
      <c r="M93" t="n">
        <v>491</v>
      </c>
      <c r="N93" t="n">
        <v>3</v>
      </c>
      <c r="Q93" t="n">
        <v>2293</v>
      </c>
      <c r="R93" t="n">
        <v>37</v>
      </c>
      <c r="S93" t="n">
        <v>28</v>
      </c>
      <c r="T93" t="n">
        <v>25.478</v>
      </c>
      <c r="U93" t="n">
        <v>62</v>
      </c>
      <c r="V93" t="n">
        <v>114</v>
      </c>
      <c r="W93" t="n">
        <v>4.474</v>
      </c>
      <c r="X93" t="n">
        <v>6</v>
      </c>
      <c r="Y93" t="n">
        <v>6</v>
      </c>
      <c r="Z93" t="n">
        <v>4</v>
      </c>
      <c r="AA93" t="n">
        <v>9</v>
      </c>
      <c r="AB93" t="n">
        <v>37</v>
      </c>
      <c r="AC93" t="n">
        <v>13</v>
      </c>
      <c r="AD93" t="n">
        <v>13</v>
      </c>
      <c r="AE93" t="n">
        <v>0</v>
      </c>
      <c r="AF93" t="n">
        <v>407</v>
      </c>
      <c r="AG93" t="n">
        <v>398</v>
      </c>
      <c r="AH93" t="n">
        <v>-9</v>
      </c>
      <c r="AI93" t="n">
        <v>114</v>
      </c>
      <c r="AJ93" t="n">
        <v>0.114</v>
      </c>
      <c r="AK93" t="n">
        <v>0.129</v>
      </c>
      <c r="AL93" t="n">
        <v>123</v>
      </c>
      <c r="AM93" t="n">
        <v>4.828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0.737</v>
      </c>
      <c r="AT93" t="n">
        <v>0.649</v>
      </c>
      <c r="AU93" t="n">
        <v>27</v>
      </c>
      <c r="AV93" t="n">
        <v>1</v>
      </c>
      <c r="AW93" t="n">
        <v>2.97</v>
      </c>
      <c r="AX93" t="n">
        <v>14</v>
      </c>
      <c r="AY93" t="n">
        <v>6.48</v>
      </c>
      <c r="AZ93" t="n">
        <v>7.199</v>
      </c>
      <c r="BA93" t="n">
        <v>6.84</v>
      </c>
      <c r="BB93" t="n">
        <v>6.438</v>
      </c>
      <c r="BC93" t="n">
        <v>0.254</v>
      </c>
      <c r="BD93" t="n">
        <v>0.283</v>
      </c>
      <c r="BE93" t="n">
        <v>0.268</v>
      </c>
      <c r="BF93" t="n">
        <v>5</v>
      </c>
      <c r="BG93" t="n">
        <v>0.196</v>
      </c>
      <c r="BH93" t="n">
        <v>0.898</v>
      </c>
      <c r="BI93" t="n">
        <v>6.48</v>
      </c>
      <c r="BJ93" t="n">
        <v>5.818</v>
      </c>
      <c r="BK93" t="n">
        <v>0.228</v>
      </c>
      <c r="BL93" t="n">
        <v>-0.84</v>
      </c>
      <c r="BM93" t="n">
        <v>-1.48</v>
      </c>
      <c r="BN93" t="n">
        <v>1</v>
      </c>
      <c r="BO93" t="n">
        <v>-0.719</v>
      </c>
      <c r="BP93" t="n">
        <v>70</v>
      </c>
      <c r="BQ93" t="n">
        <v>21</v>
      </c>
      <c r="BR93" t="n">
        <v>3</v>
      </c>
      <c r="BS93" t="n">
        <v>124</v>
      </c>
      <c r="BT93" t="n">
        <v>4.867</v>
      </c>
      <c r="BU93" t="n">
        <v>1</v>
      </c>
      <c r="BV93" t="n">
        <v>2</v>
      </c>
      <c r="BW93" t="n">
        <v>1.26</v>
      </c>
      <c r="BX93" t="n">
        <v>2.28</v>
      </c>
      <c r="BY93" t="n">
        <v>1.77</v>
      </c>
      <c r="BZ93" t="n">
        <v>0.06900000000000001</v>
      </c>
      <c r="CA93" t="n">
        <v>8.609999999999999</v>
      </c>
      <c r="CB93" t="n">
        <v>0.338</v>
      </c>
      <c r="CC93" t="n">
        <v>15</v>
      </c>
      <c r="CD93" t="n">
        <v>5</v>
      </c>
      <c r="CE93" t="n">
        <v>15</v>
      </c>
      <c r="CF93" t="n">
        <v>3</v>
      </c>
      <c r="CI93" t="n">
        <v>8.535</v>
      </c>
      <c r="CJ93" t="n">
        <v>1.848</v>
      </c>
      <c r="CK93" t="n">
        <v>38</v>
      </c>
      <c r="CL93" t="n">
        <v>61</v>
      </c>
      <c r="CM93" t="n">
        <v>24</v>
      </c>
      <c r="CN93" t="n">
        <v>16</v>
      </c>
      <c r="CO93" t="n">
        <v>3</v>
      </c>
      <c r="CP93" t="n">
        <v>30</v>
      </c>
      <c r="CQ93" t="n">
        <v>5</v>
      </c>
      <c r="CR93" t="n">
        <v>155</v>
      </c>
      <c r="CS93" t="n">
        <v>81</v>
      </c>
      <c r="CT93" t="n">
        <v>0.7</v>
      </c>
      <c r="CV93" t="n">
        <v>1</v>
      </c>
      <c r="CW93" t="n">
        <v>38.77</v>
      </c>
      <c r="CX93" t="n">
        <v>1.522</v>
      </c>
      <c r="CY93" t="n">
        <v>0</v>
      </c>
      <c r="DB93" t="n">
        <v>0</v>
      </c>
      <c r="DE93" t="n">
        <v>6.53</v>
      </c>
      <c r="DF93" t="n">
        <v>2</v>
      </c>
      <c r="DG93" t="n">
        <v>0</v>
      </c>
      <c r="DH93" t="n">
        <v>42</v>
      </c>
      <c r="DI93" t="n">
        <v>40</v>
      </c>
      <c r="DL93" t="n">
        <v>11</v>
      </c>
      <c r="DM93" t="n">
        <v>43</v>
      </c>
      <c r="DN93" t="n">
        <v>11</v>
      </c>
      <c r="DO93" t="n">
        <v>5.4</v>
      </c>
      <c r="DP93" t="n">
        <v>133.48</v>
      </c>
      <c r="DQ93" t="n">
        <v>66.73999999999999</v>
      </c>
      <c r="DR93" t="n">
        <v>133.48</v>
      </c>
      <c r="DS93" t="n">
        <v>0</v>
      </c>
      <c r="DT93" t="n">
        <v>2764</v>
      </c>
      <c r="DU93" t="n">
        <v>72.75</v>
      </c>
      <c r="DV93" t="inlineStr">
        <is>
          <t>flat</t>
        </is>
      </c>
      <c r="DW93" t="n">
        <v>40.83</v>
      </c>
      <c r="DX93" t="n">
        <v>49.49</v>
      </c>
      <c r="DY93" t="n">
        <v>24.44</v>
      </c>
      <c r="DZ93" t="n">
        <v>5</v>
      </c>
      <c r="EA93" t="n">
        <v>114.67</v>
      </c>
      <c r="EB93" t="n">
        <v>180</v>
      </c>
      <c r="EC93" t="n">
        <v>86.5</v>
      </c>
      <c r="ED93" t="n">
        <v>12.2</v>
      </c>
      <c r="EE93" t="n">
        <v>77</v>
      </c>
      <c r="EF93" t="n">
        <v>32.8</v>
      </c>
      <c r="EG93" t="n">
        <v>18.5</v>
      </c>
      <c r="EH93" t="n">
        <v>152.9</v>
      </c>
      <c r="EI93" t="n">
        <v>335.3</v>
      </c>
      <c r="EJ93" t="n">
        <v>1295.4</v>
      </c>
      <c r="EK93" t="n">
        <v>266.3</v>
      </c>
      <c r="EL93" t="n">
        <v>20.1</v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n">
        <v>7.5</v>
      </c>
      <c r="F94" t="b">
        <v>1</v>
      </c>
      <c r="G94" t="b">
        <v>1</v>
      </c>
      <c r="H94" t="n">
        <v>20.2</v>
      </c>
      <c r="I94" t="inlineStr">
        <is>
          <t>i</t>
        </is>
      </c>
      <c r="J94" t="inlineStr">
        <is>
          <t>Foot injury - Unknown return date</t>
        </is>
      </c>
      <c r="K94" t="n">
        <v>0</v>
      </c>
      <c r="L94" t="inlineStr">
        <is>
          <t>p560262</t>
        </is>
      </c>
      <c r="M94" t="n">
        <v>78</v>
      </c>
      <c r="N94" t="n">
        <v>1</v>
      </c>
      <c r="Q94" t="n">
        <v>1663</v>
      </c>
      <c r="R94" t="n">
        <v>33</v>
      </c>
      <c r="S94" t="n">
        <v>21</v>
      </c>
      <c r="T94" t="n">
        <v>18.478</v>
      </c>
      <c r="U94" t="n">
        <v>50.4</v>
      </c>
      <c r="V94" t="n">
        <v>113</v>
      </c>
      <c r="W94" t="n">
        <v>6.115</v>
      </c>
      <c r="X94" t="n">
        <v>13</v>
      </c>
      <c r="Y94" t="n">
        <v>0</v>
      </c>
      <c r="AA94" t="n">
        <v>10</v>
      </c>
      <c r="AB94" t="n">
        <v>21</v>
      </c>
      <c r="AC94" t="n">
        <v>13</v>
      </c>
      <c r="AD94" t="n">
        <v>14</v>
      </c>
      <c r="AE94" t="n">
        <v>1</v>
      </c>
      <c r="AF94" t="n">
        <v>480</v>
      </c>
      <c r="AG94" t="n">
        <v>472</v>
      </c>
      <c r="AH94" t="n">
        <v>-8</v>
      </c>
      <c r="AI94" t="n">
        <v>114</v>
      </c>
      <c r="AJ94" t="n">
        <v>0.115</v>
      </c>
      <c r="AK94" t="n">
        <v>0.13</v>
      </c>
      <c r="AL94" t="n">
        <v>112</v>
      </c>
      <c r="AM94" t="n">
        <v>6.061</v>
      </c>
      <c r="AN94" t="n">
        <v>0</v>
      </c>
      <c r="AO94" t="n">
        <v>0</v>
      </c>
      <c r="AP94" t="n">
        <v>0</v>
      </c>
      <c r="AQ94" t="n">
        <v>0.048</v>
      </c>
      <c r="AR94" t="n">
        <v>0</v>
      </c>
      <c r="AS94" t="n">
        <v>0.553</v>
      </c>
      <c r="AT94" t="n">
        <v>0.606</v>
      </c>
      <c r="AU94" t="n">
        <v>21</v>
      </c>
      <c r="AV94" t="n">
        <v>1</v>
      </c>
      <c r="AW94" t="n">
        <v>2.88</v>
      </c>
      <c r="AX94" t="n">
        <v>12</v>
      </c>
      <c r="AY94" t="n">
        <v>8.31</v>
      </c>
      <c r="AZ94" t="n">
        <v>8.849</v>
      </c>
      <c r="BA94" t="n">
        <v>8.58</v>
      </c>
      <c r="BB94" t="n">
        <v>7.327</v>
      </c>
      <c r="BC94" t="n">
        <v>0.45</v>
      </c>
      <c r="BD94" t="n">
        <v>0.479</v>
      </c>
      <c r="BE94" t="n">
        <v>0.464</v>
      </c>
      <c r="BF94" t="n">
        <v>9.800000000000001</v>
      </c>
      <c r="BG94" t="n">
        <v>0.53</v>
      </c>
      <c r="BH94" t="n">
        <v>1.091</v>
      </c>
      <c r="BI94" t="n">
        <v>8.31</v>
      </c>
      <c r="BJ94" t="n">
        <v>9.069000000000001</v>
      </c>
      <c r="BK94" t="n">
        <v>0.491</v>
      </c>
      <c r="BL94" t="n">
        <v>4.42</v>
      </c>
      <c r="BM94" t="n">
        <v>1.49</v>
      </c>
      <c r="BN94" t="n">
        <v>3.2</v>
      </c>
      <c r="BO94" t="n">
        <v>-0.539</v>
      </c>
      <c r="BP94" t="n">
        <v>52</v>
      </c>
      <c r="BQ94" t="n">
        <v>22</v>
      </c>
      <c r="BR94" t="n">
        <v>3</v>
      </c>
      <c r="BS94" t="n">
        <v>84</v>
      </c>
      <c r="BT94" t="n">
        <v>4.546</v>
      </c>
      <c r="BU94" t="n">
        <v>2</v>
      </c>
      <c r="BV94" t="n">
        <v>1</v>
      </c>
      <c r="BW94" t="n">
        <v>1.51</v>
      </c>
      <c r="BX94" t="n">
        <v>1.816</v>
      </c>
      <c r="BY94" t="n">
        <v>1.663</v>
      </c>
      <c r="BZ94" t="n">
        <v>0.09</v>
      </c>
      <c r="CA94" t="n">
        <v>10.242</v>
      </c>
      <c r="CB94" t="n">
        <v>0.554</v>
      </c>
      <c r="CC94" t="n">
        <v>22</v>
      </c>
      <c r="CD94" t="n">
        <v>3</v>
      </c>
      <c r="CE94" t="n">
        <v>22</v>
      </c>
      <c r="CF94" t="n">
        <v>1</v>
      </c>
      <c r="CG94" t="n">
        <v>4</v>
      </c>
      <c r="CH94" t="n">
        <v>1</v>
      </c>
      <c r="CI94" t="n">
        <v>11.657</v>
      </c>
      <c r="CJ94" t="n">
        <v>5.083</v>
      </c>
      <c r="CK94" t="n">
        <v>42</v>
      </c>
      <c r="CL94" t="n">
        <v>61</v>
      </c>
      <c r="CM94" t="n">
        <v>9</v>
      </c>
      <c r="CN94" t="n">
        <v>6</v>
      </c>
      <c r="CO94" t="n">
        <v>9</v>
      </c>
      <c r="CP94" t="n">
        <v>33</v>
      </c>
      <c r="CR94" t="n">
        <v>44</v>
      </c>
      <c r="CS94" t="n">
        <v>8</v>
      </c>
      <c r="CT94" t="n">
        <v>1.1</v>
      </c>
      <c r="CV94" t="n">
        <v>1</v>
      </c>
      <c r="CW94" t="n">
        <v>25.91</v>
      </c>
      <c r="CX94" t="n">
        <v>1.402</v>
      </c>
      <c r="CY94" t="n">
        <v>0</v>
      </c>
      <c r="DB94" t="n">
        <v>0</v>
      </c>
      <c r="DE94" t="n">
        <v>6.93</v>
      </c>
      <c r="DF94" t="n">
        <v>5</v>
      </c>
      <c r="DG94" t="n">
        <v>0</v>
      </c>
      <c r="DH94" t="n">
        <v>27</v>
      </c>
      <c r="DI94" t="n">
        <v>12</v>
      </c>
      <c r="DL94" t="n">
        <v>15</v>
      </c>
      <c r="DM94" t="n">
        <v>20</v>
      </c>
      <c r="DN94" t="n">
        <v>6</v>
      </c>
      <c r="DO94" t="n">
        <v>2.6</v>
      </c>
      <c r="DP94" t="n">
        <v>115.47</v>
      </c>
      <c r="DQ94" t="n">
        <v>42.34</v>
      </c>
      <c r="DR94" t="n">
        <v>84.68000000000001</v>
      </c>
      <c r="DS94" t="n">
        <v>30.79</v>
      </c>
      <c r="DT94" t="n">
        <v>2594</v>
      </c>
      <c r="DU94" t="n">
        <v>68.25</v>
      </c>
      <c r="DV94" t="inlineStr">
        <is>
          <t>ramp-up (injury / late WC return)</t>
        </is>
      </c>
      <c r="DW94" t="n">
        <v>70.52</v>
      </c>
      <c r="DX94" t="n">
        <v>74.25</v>
      </c>
      <c r="DY94" t="n">
        <v>34.68</v>
      </c>
      <c r="DZ94" t="n">
        <v>9</v>
      </c>
      <c r="EA94" t="n">
        <v>117.33</v>
      </c>
      <c r="EB94" t="n">
        <v>29</v>
      </c>
      <c r="EC94" t="n">
        <v>13.9</v>
      </c>
      <c r="ED94" t="n">
        <v>76.40000000000001</v>
      </c>
      <c r="EE94" t="n">
        <v>21</v>
      </c>
      <c r="EF94" t="n">
        <v>32</v>
      </c>
      <c r="EG94" t="n">
        <v>19.8</v>
      </c>
      <c r="EH94" t="n">
        <v>75.59999999999999</v>
      </c>
      <c r="EI94" t="n">
        <v>193.8</v>
      </c>
      <c r="EJ94" t="n">
        <v>1000.1</v>
      </c>
      <c r="EK94" t="n">
        <v>162.4</v>
      </c>
      <c r="EL94" t="n">
        <v>14.7</v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n">
        <v>5</v>
      </c>
      <c r="F95" t="b">
        <v>1</v>
      </c>
      <c r="G95" t="b">
        <v>1</v>
      </c>
      <c r="H95" t="n">
        <v>24.7</v>
      </c>
      <c r="I95" t="inlineStr">
        <is>
          <t>a</t>
        </is>
      </c>
      <c r="L95" t="inlineStr">
        <is>
          <t>p444765</t>
        </is>
      </c>
      <c r="M95" t="n">
        <v>85</v>
      </c>
      <c r="Q95" t="n">
        <v>2761</v>
      </c>
      <c r="R95" t="n">
        <v>32</v>
      </c>
      <c r="S95" t="n">
        <v>30</v>
      </c>
      <c r="T95" t="n">
        <v>30.678</v>
      </c>
      <c r="U95" t="n">
        <v>86.3</v>
      </c>
      <c r="V95" t="n">
        <v>113</v>
      </c>
      <c r="W95" t="n">
        <v>3.683</v>
      </c>
      <c r="X95" t="n">
        <v>0</v>
      </c>
      <c r="Y95" t="n">
        <v>3</v>
      </c>
      <c r="Z95" t="n">
        <v>2</v>
      </c>
      <c r="AA95" t="n">
        <v>8</v>
      </c>
      <c r="AB95" t="n">
        <v>41</v>
      </c>
      <c r="AC95" t="n">
        <v>3</v>
      </c>
      <c r="AD95" t="n">
        <v>1</v>
      </c>
      <c r="AE95" t="n">
        <v>-2</v>
      </c>
      <c r="AF95" t="n">
        <v>435</v>
      </c>
      <c r="AG95" t="n">
        <v>391</v>
      </c>
      <c r="AH95" t="n">
        <v>-44</v>
      </c>
      <c r="AI95" t="n">
        <v>111</v>
      </c>
      <c r="AJ95" t="n">
        <v>0.027</v>
      </c>
      <c r="AK95" t="n">
        <v>0.027</v>
      </c>
      <c r="AL95" t="n">
        <v>272</v>
      </c>
      <c r="AM95" t="n">
        <v>8.866</v>
      </c>
      <c r="AN95" t="n">
        <v>12</v>
      </c>
      <c r="AO95" t="n">
        <v>24</v>
      </c>
      <c r="AP95" t="n">
        <v>0.4</v>
      </c>
      <c r="AQ95" t="n">
        <v>0.4</v>
      </c>
      <c r="AR95" t="n">
        <v>0.233</v>
      </c>
      <c r="AS95" t="n">
        <v>0.789</v>
      </c>
      <c r="AT95" t="n">
        <v>0.9379999999999999</v>
      </c>
      <c r="AU95" t="n">
        <v>12</v>
      </c>
      <c r="AV95" t="n">
        <v>0</v>
      </c>
      <c r="AW95" t="n">
        <v>2.48</v>
      </c>
      <c r="AX95" t="n">
        <v>8</v>
      </c>
      <c r="AY95" t="n">
        <v>3.36</v>
      </c>
      <c r="AZ95" t="n">
        <v>3.333</v>
      </c>
      <c r="BA95" t="n">
        <v>3.346</v>
      </c>
      <c r="BB95" t="n">
        <v>3.333</v>
      </c>
      <c r="BC95" t="n">
        <v>0.11</v>
      </c>
      <c r="BD95" t="n">
        <v>0.109</v>
      </c>
      <c r="BE95" t="n">
        <v>0.109</v>
      </c>
      <c r="BF95" t="n">
        <v>2</v>
      </c>
      <c r="BG95" t="n">
        <v>0.065</v>
      </c>
      <c r="BH95" t="n">
        <v>0.796</v>
      </c>
      <c r="BI95" t="n">
        <v>5.45</v>
      </c>
      <c r="BJ95" t="n">
        <v>2.673</v>
      </c>
      <c r="BK95" t="n">
        <v>0.08699999999999999</v>
      </c>
      <c r="BL95" t="n">
        <v>-3.346</v>
      </c>
      <c r="BM95" t="n">
        <v>-1.36</v>
      </c>
      <c r="BN95" t="n">
        <v>-2</v>
      </c>
      <c r="BO95" t="n">
        <v>0.027</v>
      </c>
      <c r="BP95" t="n">
        <v>23</v>
      </c>
      <c r="BQ95" t="n">
        <v>7</v>
      </c>
      <c r="BR95" t="n">
        <v>4</v>
      </c>
      <c r="BS95" t="n">
        <v>55</v>
      </c>
      <c r="BT95" t="n">
        <v>1.793</v>
      </c>
      <c r="BW95" t="n">
        <v>1.45</v>
      </c>
      <c r="BX95" t="n">
        <v>2.197</v>
      </c>
      <c r="BY95" t="n">
        <v>1.824</v>
      </c>
      <c r="BZ95" t="n">
        <v>0.059</v>
      </c>
      <c r="CA95" t="n">
        <v>5.17</v>
      </c>
      <c r="CB95" t="n">
        <v>0.169</v>
      </c>
      <c r="CC95" t="n">
        <v>7</v>
      </c>
      <c r="CD95" t="n">
        <v>5</v>
      </c>
      <c r="CE95" t="n">
        <v>7</v>
      </c>
      <c r="CG95" t="n">
        <v>1</v>
      </c>
      <c r="CH95" t="n">
        <v>0</v>
      </c>
      <c r="CI95" t="n">
        <v>8.736000000000001</v>
      </c>
      <c r="CJ95" t="n">
        <v>6.425</v>
      </c>
      <c r="CK95" t="n">
        <v>249</v>
      </c>
      <c r="CL95" t="n">
        <v>109</v>
      </c>
      <c r="CM95" t="n">
        <v>23</v>
      </c>
      <c r="CN95" t="n">
        <v>10</v>
      </c>
      <c r="CO95" t="n">
        <v>29</v>
      </c>
      <c r="CP95" t="n">
        <v>195</v>
      </c>
      <c r="CQ95" t="n">
        <v>23</v>
      </c>
      <c r="CR95" t="n">
        <v>175</v>
      </c>
      <c r="CS95" t="n">
        <v>140</v>
      </c>
      <c r="CT95" t="n">
        <v>0</v>
      </c>
      <c r="CU95" t="n">
        <v>2</v>
      </c>
      <c r="CV95" t="n">
        <v>2</v>
      </c>
      <c r="CW95" t="n">
        <v>41.59</v>
      </c>
      <c r="CX95" t="n">
        <v>1.356</v>
      </c>
      <c r="CY95" t="n">
        <v>0</v>
      </c>
      <c r="DB95" t="n">
        <v>0</v>
      </c>
      <c r="DE95" t="n">
        <v>6.86</v>
      </c>
      <c r="DF95" t="n">
        <v>2</v>
      </c>
      <c r="DG95" t="n">
        <v>0</v>
      </c>
      <c r="DH95" t="n">
        <v>15</v>
      </c>
      <c r="DI95" t="n">
        <v>11</v>
      </c>
      <c r="DK95" t="n">
        <v>0</v>
      </c>
      <c r="DL95" t="n">
        <v>1</v>
      </c>
      <c r="DM95" t="n">
        <v>4</v>
      </c>
      <c r="DO95" t="n">
        <v>0.7</v>
      </c>
      <c r="DP95" t="n">
        <v>107.02</v>
      </c>
      <c r="DQ95" t="n">
        <v>45.04</v>
      </c>
      <c r="DR95" t="n">
        <v>90.08</v>
      </c>
      <c r="DS95" t="n">
        <v>16.94</v>
      </c>
      <c r="DT95" t="n">
        <v>2947</v>
      </c>
      <c r="DU95" t="n">
        <v>77.55</v>
      </c>
      <c r="DV95" t="inlineStr">
        <is>
          <t>ramp-up (injury / late WC return)</t>
        </is>
      </c>
      <c r="DW95" t="n">
        <v>96.66</v>
      </c>
      <c r="DX95" t="n">
        <v>86</v>
      </c>
      <c r="DY95" t="n">
        <v>13.19</v>
      </c>
      <c r="DZ95" t="n">
        <v>60</v>
      </c>
      <c r="EA95" t="n">
        <v>113.45</v>
      </c>
      <c r="EB95" t="n">
        <v>40</v>
      </c>
      <c r="EC95" t="n">
        <v>19.2</v>
      </c>
      <c r="ED95" t="n">
        <v>9.1</v>
      </c>
      <c r="EE95" t="n">
        <v>237</v>
      </c>
      <c r="EF95" t="n">
        <v>120</v>
      </c>
      <c r="EG95" t="n">
        <v>50.2</v>
      </c>
      <c r="EH95" t="n">
        <v>394.4</v>
      </c>
      <c r="EI95" t="n">
        <v>825.1</v>
      </c>
      <c r="EJ95" t="n">
        <v>1514.1</v>
      </c>
      <c r="EK95" t="n">
        <v>534</v>
      </c>
      <c r="EL95" t="n">
        <v>24.4</v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n">
        <v>4.5</v>
      </c>
      <c r="F96" t="b">
        <v>1</v>
      </c>
      <c r="G96" t="b">
        <v>1</v>
      </c>
      <c r="H96" t="n">
        <v>22.1</v>
      </c>
      <c r="I96" t="inlineStr">
        <is>
          <t>a</t>
        </is>
      </c>
      <c r="L96" t="inlineStr">
        <is>
          <t>p607464</t>
        </is>
      </c>
      <c r="M96" t="n">
        <v>88</v>
      </c>
      <c r="Q96" t="n">
        <v>3258</v>
      </c>
      <c r="R96" t="n">
        <v>37</v>
      </c>
      <c r="S96" t="n">
        <v>37</v>
      </c>
      <c r="T96" t="n">
        <v>36.2</v>
      </c>
      <c r="U96" t="n">
        <v>88.09999999999999</v>
      </c>
      <c r="V96" t="n">
        <v>113</v>
      </c>
      <c r="W96" t="n">
        <v>3.122</v>
      </c>
      <c r="X96" t="n">
        <v>1</v>
      </c>
      <c r="Y96" t="n">
        <v>2</v>
      </c>
      <c r="Z96" t="n">
        <v>1</v>
      </c>
      <c r="AA96" t="n">
        <v>10</v>
      </c>
      <c r="AB96" t="n">
        <v>49</v>
      </c>
      <c r="AC96" t="n">
        <v>9</v>
      </c>
      <c r="AD96" t="n">
        <v>9</v>
      </c>
      <c r="AE96" t="n">
        <v>0</v>
      </c>
      <c r="AF96" t="n">
        <v>494</v>
      </c>
      <c r="AG96" t="n">
        <v>464</v>
      </c>
      <c r="AH96" t="n">
        <v>-30</v>
      </c>
      <c r="AI96" t="n">
        <v>113</v>
      </c>
      <c r="AJ96" t="n">
        <v>0.08</v>
      </c>
      <c r="AK96" t="n">
        <v>0.08699999999999999</v>
      </c>
      <c r="AL96" t="n">
        <v>219</v>
      </c>
      <c r="AM96" t="n">
        <v>6.05</v>
      </c>
      <c r="AN96" t="n">
        <v>3</v>
      </c>
      <c r="AO96" t="n">
        <v>6</v>
      </c>
      <c r="AP96" t="n">
        <v>0.081</v>
      </c>
      <c r="AQ96" t="n">
        <v>0.081</v>
      </c>
      <c r="AR96" t="n">
        <v>0.027</v>
      </c>
      <c r="AS96" t="n">
        <v>0.974</v>
      </c>
      <c r="AT96" t="n">
        <v>1</v>
      </c>
      <c r="AU96" t="n">
        <v>22</v>
      </c>
      <c r="AV96" t="n">
        <v>1</v>
      </c>
      <c r="AW96" t="n">
        <v>2.82</v>
      </c>
      <c r="AX96" t="n">
        <v>10</v>
      </c>
      <c r="AY96" t="n">
        <v>1.28</v>
      </c>
      <c r="AZ96" t="n">
        <v>1.169</v>
      </c>
      <c r="BA96" t="n">
        <v>1.225</v>
      </c>
      <c r="BB96" t="n">
        <v>1.169</v>
      </c>
      <c r="BC96" t="n">
        <v>0.035</v>
      </c>
      <c r="BD96" t="n">
        <v>0.032</v>
      </c>
      <c r="BE96" t="n">
        <v>0.034</v>
      </c>
      <c r="BF96" t="n">
        <v>1.4</v>
      </c>
      <c r="BG96" t="n">
        <v>0.039</v>
      </c>
      <c r="BH96" t="n">
        <v>0.993</v>
      </c>
      <c r="BI96" t="n">
        <v>1.47</v>
      </c>
      <c r="BJ96" t="n">
        <v>1.271</v>
      </c>
      <c r="BK96" t="n">
        <v>0.035</v>
      </c>
      <c r="BL96" t="n">
        <v>-0.225</v>
      </c>
      <c r="BM96" t="n">
        <v>0.12</v>
      </c>
      <c r="BN96" t="n">
        <v>-0.4</v>
      </c>
      <c r="BO96" t="n">
        <v>0.111</v>
      </c>
      <c r="BP96" t="n">
        <v>9</v>
      </c>
      <c r="BQ96" t="n">
        <v>3</v>
      </c>
      <c r="BR96" t="n">
        <v>1</v>
      </c>
      <c r="BS96" t="n">
        <v>35</v>
      </c>
      <c r="BT96" t="n">
        <v>0.967</v>
      </c>
      <c r="BV96" t="n">
        <v>1</v>
      </c>
      <c r="BW96" t="n">
        <v>2.89</v>
      </c>
      <c r="BX96" t="n">
        <v>3.185</v>
      </c>
      <c r="BY96" t="n">
        <v>3.037</v>
      </c>
      <c r="BZ96" t="n">
        <v>0.08400000000000001</v>
      </c>
      <c r="CA96" t="n">
        <v>4.262</v>
      </c>
      <c r="CB96" t="n">
        <v>0.118</v>
      </c>
      <c r="CC96" t="n">
        <v>33</v>
      </c>
      <c r="CD96" t="n">
        <v>4</v>
      </c>
      <c r="CE96" t="n">
        <v>34</v>
      </c>
      <c r="CF96" t="n">
        <v>14</v>
      </c>
      <c r="CG96" t="n">
        <v>1</v>
      </c>
      <c r="CI96" t="n">
        <v>13.046</v>
      </c>
      <c r="CJ96" t="n">
        <v>9.569000000000001</v>
      </c>
      <c r="CK96" t="n">
        <v>151</v>
      </c>
      <c r="CL96" t="n">
        <v>163</v>
      </c>
      <c r="CM96" t="n">
        <v>68</v>
      </c>
      <c r="CN96" t="n">
        <v>45</v>
      </c>
      <c r="CO96" t="n">
        <v>38</v>
      </c>
      <c r="CP96" t="n">
        <v>99</v>
      </c>
      <c r="CQ96" t="n">
        <v>15</v>
      </c>
      <c r="CR96" t="n">
        <v>213</v>
      </c>
      <c r="CS96" t="n">
        <v>41</v>
      </c>
      <c r="CT96" t="n">
        <v>0.1</v>
      </c>
      <c r="CU96" t="n">
        <v>1</v>
      </c>
      <c r="CV96" t="n">
        <v>3</v>
      </c>
      <c r="CW96" t="n">
        <v>52.65</v>
      </c>
      <c r="CX96" t="n">
        <v>1.454</v>
      </c>
      <c r="CY96" t="n">
        <v>0</v>
      </c>
      <c r="DB96" t="n">
        <v>0</v>
      </c>
      <c r="DE96" t="n">
        <v>7.01</v>
      </c>
      <c r="DF96" t="n">
        <v>8</v>
      </c>
      <c r="DG96" t="n">
        <v>0</v>
      </c>
      <c r="DH96" t="n">
        <v>26</v>
      </c>
      <c r="DI96" t="n">
        <v>50</v>
      </c>
      <c r="DK96" t="n">
        <v>2</v>
      </c>
      <c r="DL96" t="n">
        <v>55</v>
      </c>
      <c r="DM96" t="n">
        <v>31</v>
      </c>
      <c r="DN96" t="n">
        <v>1</v>
      </c>
      <c r="DO96" t="n">
        <v>3.7</v>
      </c>
      <c r="DP96" t="n">
        <v>120.92</v>
      </c>
      <c r="DQ96" t="n">
        <v>60.64</v>
      </c>
      <c r="DR96" t="n">
        <v>121.28</v>
      </c>
      <c r="DS96" t="n">
        <v>-0.36</v>
      </c>
      <c r="DT96" t="n">
        <v>3192</v>
      </c>
      <c r="DU96" t="n">
        <v>84</v>
      </c>
      <c r="DV96" t="inlineStr">
        <is>
          <t>flat</t>
        </is>
      </c>
      <c r="DW96" t="n">
        <v>94.17</v>
      </c>
      <c r="DX96" t="n">
        <v>93.70999999999999</v>
      </c>
      <c r="DY96" t="n">
        <v>19.07</v>
      </c>
      <c r="DZ96" t="n">
        <v>19.2</v>
      </c>
      <c r="EA96" t="n">
        <v>118.67</v>
      </c>
      <c r="EB96" t="n">
        <v>58</v>
      </c>
      <c r="EC96" t="n">
        <v>27.9</v>
      </c>
      <c r="ED96" t="n">
        <v>4.9</v>
      </c>
      <c r="EE96" t="n">
        <v>396</v>
      </c>
      <c r="EF96" t="n">
        <v>362</v>
      </c>
      <c r="EG96" t="n">
        <v>93.09999999999999</v>
      </c>
      <c r="EH96" t="n">
        <v>95.8</v>
      </c>
      <c r="EI96" t="n">
        <v>2660.6</v>
      </c>
      <c r="EJ96" t="n">
        <v>1072.6</v>
      </c>
      <c r="EK96" t="n">
        <v>764.4</v>
      </c>
      <c r="EL96" t="n">
        <v>28.8</v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n">
        <v>4.5</v>
      </c>
      <c r="F97" t="b">
        <v>1</v>
      </c>
      <c r="G97" t="b">
        <v>1</v>
      </c>
      <c r="H97" t="n">
        <v>31.1</v>
      </c>
      <c r="I97" t="inlineStr">
        <is>
          <t>a</t>
        </is>
      </c>
      <c r="L97" t="inlineStr">
        <is>
          <t>p106760</t>
        </is>
      </c>
      <c r="M97" t="n">
        <v>423</v>
      </c>
      <c r="O97" t="n">
        <v>3</v>
      </c>
      <c r="Q97" t="n">
        <v>3220</v>
      </c>
      <c r="R97" t="n">
        <v>38</v>
      </c>
      <c r="S97" t="n">
        <v>38</v>
      </c>
      <c r="T97" t="n">
        <v>35.778</v>
      </c>
      <c r="U97" t="n">
        <v>84.7</v>
      </c>
      <c r="V97" t="n">
        <v>113</v>
      </c>
      <c r="W97" t="n">
        <v>3.158</v>
      </c>
      <c r="X97" t="n">
        <v>1</v>
      </c>
      <c r="Y97" t="n">
        <v>1</v>
      </c>
      <c r="Z97" t="n">
        <v>1</v>
      </c>
      <c r="AA97" t="n">
        <v>10</v>
      </c>
      <c r="AB97" t="n">
        <v>45</v>
      </c>
      <c r="AC97" t="n">
        <v>3</v>
      </c>
      <c r="AD97" t="n">
        <v>2</v>
      </c>
      <c r="AE97" t="n">
        <v>-1</v>
      </c>
      <c r="AF97" t="n">
        <v>449</v>
      </c>
      <c r="AG97" t="n">
        <v>423</v>
      </c>
      <c r="AH97" t="n">
        <v>-26</v>
      </c>
      <c r="AI97" t="n">
        <v>112</v>
      </c>
      <c r="AJ97" t="n">
        <v>0.027</v>
      </c>
      <c r="AK97" t="n">
        <v>0.027</v>
      </c>
      <c r="AL97" t="n">
        <v>224</v>
      </c>
      <c r="AM97" t="n">
        <v>6.261</v>
      </c>
      <c r="AN97" t="n">
        <v>5</v>
      </c>
      <c r="AO97" t="n">
        <v>10</v>
      </c>
      <c r="AP97" t="n">
        <v>0.132</v>
      </c>
      <c r="AQ97" t="n">
        <v>0.132</v>
      </c>
      <c r="AR97" t="n">
        <v>0.053</v>
      </c>
      <c r="AS97" t="n">
        <v>1</v>
      </c>
      <c r="AT97" t="n">
        <v>0.974</v>
      </c>
      <c r="AU97" t="n">
        <v>24</v>
      </c>
      <c r="AV97" t="n">
        <v>1</v>
      </c>
      <c r="AW97" t="n">
        <v>2.56</v>
      </c>
      <c r="AX97" t="n">
        <v>11</v>
      </c>
      <c r="AY97" t="n">
        <v>0.72</v>
      </c>
      <c r="AZ97" t="n">
        <v>0.599</v>
      </c>
      <c r="BA97" t="n">
        <v>0.659</v>
      </c>
      <c r="BB97" t="n">
        <v>0.599</v>
      </c>
      <c r="BC97" t="n">
        <v>0.02</v>
      </c>
      <c r="BD97" t="n">
        <v>0.017</v>
      </c>
      <c r="BE97" t="n">
        <v>0.018</v>
      </c>
      <c r="BF97" t="n">
        <v>0.8</v>
      </c>
      <c r="BG97" t="n">
        <v>0.022</v>
      </c>
      <c r="BH97" t="n">
        <v>1.042</v>
      </c>
      <c r="BI97" t="n">
        <v>1.89</v>
      </c>
      <c r="BJ97" t="n">
        <v>0.75</v>
      </c>
      <c r="BK97" t="n">
        <v>0.021</v>
      </c>
      <c r="BL97" t="n">
        <v>0.341</v>
      </c>
      <c r="BM97" t="n">
        <v>0.08</v>
      </c>
      <c r="BN97" t="n">
        <v>0.2</v>
      </c>
      <c r="BO97" t="n">
        <v>0.121</v>
      </c>
      <c r="BP97" t="n">
        <v>10</v>
      </c>
      <c r="BQ97" t="n">
        <v>3</v>
      </c>
      <c r="BS97" t="n">
        <v>29</v>
      </c>
      <c r="BT97" t="n">
        <v>0.8110000000000001</v>
      </c>
      <c r="BW97" t="n">
        <v>1.98</v>
      </c>
      <c r="BX97" t="n">
        <v>1.494</v>
      </c>
      <c r="BY97" t="n">
        <v>1.737</v>
      </c>
      <c r="BZ97" t="n">
        <v>0.049</v>
      </c>
      <c r="CA97" t="n">
        <v>2.396</v>
      </c>
      <c r="CB97" t="n">
        <v>0.067</v>
      </c>
      <c r="CC97" t="n">
        <v>15</v>
      </c>
      <c r="CD97" t="n">
        <v>1</v>
      </c>
      <c r="CE97" t="n">
        <v>16</v>
      </c>
      <c r="CF97" t="n">
        <v>9</v>
      </c>
      <c r="CG97" t="n">
        <v>2</v>
      </c>
      <c r="CH97" t="n">
        <v>11</v>
      </c>
      <c r="CI97" t="n">
        <v>11.457</v>
      </c>
      <c r="CJ97" t="n">
        <v>10.609</v>
      </c>
      <c r="CK97" t="n">
        <v>149</v>
      </c>
      <c r="CL97" t="n">
        <v>105</v>
      </c>
      <c r="CM97" t="n">
        <v>75</v>
      </c>
      <c r="CN97" t="n">
        <v>45</v>
      </c>
      <c r="CO97" t="n">
        <v>46</v>
      </c>
      <c r="CP97" t="n">
        <v>95</v>
      </c>
      <c r="CQ97" t="n">
        <v>9</v>
      </c>
      <c r="CR97" t="n">
        <v>168</v>
      </c>
      <c r="CS97" t="n">
        <v>64</v>
      </c>
      <c r="CT97" t="n">
        <v>0.1</v>
      </c>
      <c r="CV97" t="n">
        <v>2</v>
      </c>
      <c r="CW97" t="n">
        <v>44.9</v>
      </c>
      <c r="CX97" t="n">
        <v>1.255</v>
      </c>
      <c r="CY97" t="n">
        <v>0</v>
      </c>
      <c r="DB97" t="n">
        <v>0</v>
      </c>
      <c r="DE97" t="n">
        <v>6.95</v>
      </c>
      <c r="DF97" t="n">
        <v>9</v>
      </c>
      <c r="DG97" t="n">
        <v>0</v>
      </c>
      <c r="DH97" t="n">
        <v>49</v>
      </c>
      <c r="DI97" t="n">
        <v>20</v>
      </c>
      <c r="DL97" t="n">
        <v>10</v>
      </c>
      <c r="DM97" t="n">
        <v>6</v>
      </c>
      <c r="DO97" t="n">
        <v>24.2</v>
      </c>
      <c r="DP97" t="n">
        <v>120.72</v>
      </c>
      <c r="DQ97" t="n">
        <v>60.36</v>
      </c>
      <c r="DR97" t="n">
        <v>120.72</v>
      </c>
      <c r="DS97" t="n">
        <v>0</v>
      </c>
      <c r="DT97" t="n">
        <v>2992</v>
      </c>
      <c r="DU97" t="n">
        <v>78.75</v>
      </c>
      <c r="DV97" t="inlineStr">
        <is>
          <t>flat</t>
        </is>
      </c>
      <c r="DW97" t="n">
        <v>88.47</v>
      </c>
      <c r="DX97" t="n">
        <v>91.45</v>
      </c>
      <c r="DY97" t="n">
        <v>20.86</v>
      </c>
      <c r="DZ97" t="n">
        <v>21.54</v>
      </c>
      <c r="EA97" t="n">
        <v>118.67</v>
      </c>
      <c r="EB97" t="n">
        <v>102</v>
      </c>
      <c r="EC97" t="n">
        <v>49</v>
      </c>
      <c r="ED97" t="n">
        <v>8.1</v>
      </c>
      <c r="EE97" t="n">
        <v>397</v>
      </c>
      <c r="EF97" t="n">
        <v>322</v>
      </c>
      <c r="EG97" t="n">
        <v>111</v>
      </c>
      <c r="EH97" t="n">
        <v>201.2</v>
      </c>
      <c r="EI97" t="n">
        <v>4883</v>
      </c>
      <c r="EJ97" t="n">
        <v>1854</v>
      </c>
      <c r="EK97" t="n">
        <v>1343.8</v>
      </c>
      <c r="EL97" t="n">
        <v>28.5</v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n">
        <v>5.5</v>
      </c>
      <c r="F98" t="b">
        <v>1</v>
      </c>
      <c r="G98" t="b">
        <v>1</v>
      </c>
      <c r="H98" t="n">
        <v>29.3</v>
      </c>
      <c r="I98" t="inlineStr">
        <is>
          <t>a</t>
        </is>
      </c>
      <c r="L98" t="inlineStr">
        <is>
          <t>p171314</t>
        </is>
      </c>
      <c r="M98" t="n">
        <v>390</v>
      </c>
      <c r="Q98" t="n">
        <v>2139</v>
      </c>
      <c r="R98" t="n">
        <v>26</v>
      </c>
      <c r="S98" t="n">
        <v>24</v>
      </c>
      <c r="T98" t="n">
        <v>23.767</v>
      </c>
      <c r="U98" t="n">
        <v>82.3</v>
      </c>
      <c r="V98" t="n">
        <v>113</v>
      </c>
      <c r="W98" t="n">
        <v>4.755</v>
      </c>
      <c r="X98" t="n">
        <v>2</v>
      </c>
      <c r="Y98" t="n">
        <v>0</v>
      </c>
      <c r="AA98" t="n">
        <v>12</v>
      </c>
      <c r="AB98" t="n">
        <v>22</v>
      </c>
      <c r="AC98" t="n">
        <v>4</v>
      </c>
      <c r="AD98" t="n">
        <v>3</v>
      </c>
      <c r="AE98" t="n">
        <v>-1</v>
      </c>
      <c r="AF98" t="n">
        <v>453</v>
      </c>
      <c r="AG98" t="n">
        <v>426</v>
      </c>
      <c r="AH98" t="n">
        <v>-27</v>
      </c>
      <c r="AI98" t="n">
        <v>112</v>
      </c>
      <c r="AJ98" t="n">
        <v>0.035</v>
      </c>
      <c r="AK98" t="n">
        <v>0.037</v>
      </c>
      <c r="AL98" t="n">
        <v>167</v>
      </c>
      <c r="AM98" t="n">
        <v>7.027</v>
      </c>
      <c r="AN98" t="n">
        <v>5</v>
      </c>
      <c r="AO98" t="n">
        <v>10</v>
      </c>
      <c r="AP98" t="n">
        <v>0.208</v>
      </c>
      <c r="AQ98" t="n">
        <v>0.208</v>
      </c>
      <c r="AR98" t="n">
        <v>0.125</v>
      </c>
      <c r="AS98" t="n">
        <v>0.632</v>
      </c>
      <c r="AT98" t="n">
        <v>0.885</v>
      </c>
      <c r="AU98" t="n">
        <v>11</v>
      </c>
      <c r="AV98" t="n">
        <v>1</v>
      </c>
      <c r="AW98" t="n">
        <v>3.51</v>
      </c>
      <c r="AX98" t="n">
        <v>14</v>
      </c>
      <c r="AY98" t="n">
        <v>0.57</v>
      </c>
      <c r="AZ98" t="n">
        <v>0.437</v>
      </c>
      <c r="BA98" t="n">
        <v>0.504</v>
      </c>
      <c r="BB98" t="n">
        <v>0.437</v>
      </c>
      <c r="BC98" t="n">
        <v>0.024</v>
      </c>
      <c r="BD98" t="n">
        <v>0.018</v>
      </c>
      <c r="BE98" t="n">
        <v>0.021</v>
      </c>
      <c r="BF98" t="n">
        <v>0.9</v>
      </c>
      <c r="BG98" t="n">
        <v>0.038</v>
      </c>
      <c r="BH98" t="n">
        <v>0.887</v>
      </c>
      <c r="BI98" t="n">
        <v>4.85</v>
      </c>
      <c r="BJ98" t="n">
        <v>0.506</v>
      </c>
      <c r="BK98" t="n">
        <v>0.021</v>
      </c>
      <c r="BL98" t="n">
        <v>1.496</v>
      </c>
      <c r="BM98" t="n">
        <v>0.33</v>
      </c>
      <c r="BN98" t="n">
        <v>1.1</v>
      </c>
      <c r="BO98" t="n">
        <v>0.133</v>
      </c>
      <c r="BP98" t="n">
        <v>10</v>
      </c>
      <c r="BQ98" t="n">
        <v>4</v>
      </c>
      <c r="BR98" t="n">
        <v>1</v>
      </c>
      <c r="BS98" t="n">
        <v>8</v>
      </c>
      <c r="BT98" t="n">
        <v>0.337</v>
      </c>
      <c r="BW98" t="n">
        <v>0.65</v>
      </c>
      <c r="BX98" t="n">
        <v>0.423</v>
      </c>
      <c r="BY98" t="n">
        <v>0.536</v>
      </c>
      <c r="BZ98" t="n">
        <v>0.023</v>
      </c>
      <c r="CA98" t="n">
        <v>1.04</v>
      </c>
      <c r="CB98" t="n">
        <v>0.044</v>
      </c>
      <c r="CC98" t="n">
        <v>7</v>
      </c>
      <c r="CE98" t="n">
        <v>7</v>
      </c>
      <c r="CF98" t="n">
        <v>3</v>
      </c>
      <c r="CI98" t="n">
        <v>14.687</v>
      </c>
      <c r="CJ98" t="n">
        <v>14.249</v>
      </c>
      <c r="CK98" t="n">
        <v>154</v>
      </c>
      <c r="CL98" t="n">
        <v>74</v>
      </c>
      <c r="CM98" t="n">
        <v>13</v>
      </c>
      <c r="CN98" t="n">
        <v>6</v>
      </c>
      <c r="CO98" t="n">
        <v>23</v>
      </c>
      <c r="CP98" t="n">
        <v>117</v>
      </c>
      <c r="CQ98" t="n">
        <v>17</v>
      </c>
      <c r="CR98" t="n">
        <v>82</v>
      </c>
      <c r="CS98" t="n">
        <v>58</v>
      </c>
      <c r="CT98" t="n">
        <v>0.1</v>
      </c>
      <c r="CV98" t="n">
        <v>2</v>
      </c>
      <c r="CW98" t="n">
        <v>26.07</v>
      </c>
      <c r="CX98" t="n">
        <v>1.097</v>
      </c>
      <c r="CY98" t="n">
        <v>0</v>
      </c>
      <c r="DB98" t="n">
        <v>0</v>
      </c>
      <c r="DE98" t="n">
        <v>7.18</v>
      </c>
      <c r="DF98" t="n">
        <v>3</v>
      </c>
      <c r="DG98" t="n">
        <v>0</v>
      </c>
      <c r="DH98" t="n">
        <v>15</v>
      </c>
      <c r="DI98" t="n">
        <v>9</v>
      </c>
      <c r="DL98" t="n">
        <v>3</v>
      </c>
      <c r="DM98" t="n">
        <v>3</v>
      </c>
      <c r="DO98" t="n">
        <v>1.6</v>
      </c>
      <c r="DP98" t="n">
        <v>65.70999999999999</v>
      </c>
      <c r="DQ98" t="n">
        <v>33.31</v>
      </c>
      <c r="DR98" t="n">
        <v>66.62</v>
      </c>
      <c r="DS98" t="n">
        <v>-0.91</v>
      </c>
      <c r="DT98" t="n">
        <v>1569</v>
      </c>
      <c r="DU98" t="n">
        <v>41.28</v>
      </c>
      <c r="DV98" t="inlineStr">
        <is>
          <t>flat</t>
        </is>
      </c>
      <c r="DW98" t="n">
        <v>64.52</v>
      </c>
      <c r="DX98" t="n">
        <v>71.31999999999999</v>
      </c>
      <c r="DY98" t="n">
        <v>21.53</v>
      </c>
      <c r="DZ98" t="n">
        <v>20</v>
      </c>
      <c r="EA98" t="n">
        <v>110.4</v>
      </c>
      <c r="EB98" t="n">
        <v>153</v>
      </c>
      <c r="EC98" t="n">
        <v>73.59999999999999</v>
      </c>
      <c r="ED98" t="n">
        <v>22.7</v>
      </c>
      <c r="EE98" t="n">
        <v>127</v>
      </c>
      <c r="EF98" t="n">
        <v>213.9</v>
      </c>
      <c r="EG98" t="n">
        <v>267.4</v>
      </c>
      <c r="EH98" t="n">
        <v>305.6</v>
      </c>
      <c r="EI98" t="n">
        <v>4248</v>
      </c>
      <c r="EJ98" t="n">
        <v>3988.6</v>
      </c>
      <c r="EK98" t="n">
        <v>2057.1</v>
      </c>
      <c r="EL98" t="n">
        <v>18.9</v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n">
        <v>5</v>
      </c>
      <c r="F99" t="b">
        <v>1</v>
      </c>
      <c r="G99" t="b">
        <v>1</v>
      </c>
      <c r="H99" t="n">
        <v>28.8</v>
      </c>
      <c r="I99" t="inlineStr">
        <is>
          <t>a</t>
        </is>
      </c>
      <c r="L99" t="inlineStr">
        <is>
          <t>p215059</t>
        </is>
      </c>
      <c r="M99" t="n">
        <v>140</v>
      </c>
      <c r="Q99" t="n">
        <v>3040</v>
      </c>
      <c r="R99" t="n">
        <v>35</v>
      </c>
      <c r="S99" t="n">
        <v>35</v>
      </c>
      <c r="T99" t="n">
        <v>33.778</v>
      </c>
      <c r="U99" t="n">
        <v>86.90000000000001</v>
      </c>
      <c r="V99" t="n">
        <v>113</v>
      </c>
      <c r="W99" t="n">
        <v>3.345</v>
      </c>
      <c r="X99" t="n">
        <v>0</v>
      </c>
      <c r="Y99" t="n">
        <v>1</v>
      </c>
      <c r="Z99" t="n">
        <v>1</v>
      </c>
      <c r="AA99" t="n">
        <v>9</v>
      </c>
      <c r="AB99" t="n">
        <v>49</v>
      </c>
      <c r="AC99" t="n">
        <v>7</v>
      </c>
      <c r="AD99" t="n">
        <v>8</v>
      </c>
      <c r="AE99" t="n">
        <v>1</v>
      </c>
      <c r="AF99" t="n">
        <v>509</v>
      </c>
      <c r="AG99" t="n">
        <v>502</v>
      </c>
      <c r="AH99" t="n">
        <v>-7</v>
      </c>
      <c r="AI99" t="n">
        <v>114</v>
      </c>
      <c r="AJ99" t="n">
        <v>0.062</v>
      </c>
      <c r="AK99" t="n">
        <v>0.066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0.921</v>
      </c>
      <c r="AT99" t="n">
        <v>0.971</v>
      </c>
      <c r="AU99" t="n">
        <v>20</v>
      </c>
      <c r="AV99" t="n">
        <v>2</v>
      </c>
      <c r="AW99" t="n">
        <v>2.78</v>
      </c>
      <c r="AX99" t="n">
        <v>11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H99" t="n">
        <v>1</v>
      </c>
      <c r="BI99" t="n">
        <v>0</v>
      </c>
      <c r="BJ99" t="n">
        <v>0</v>
      </c>
      <c r="BK99" t="n">
        <v>0</v>
      </c>
      <c r="BL99" t="n">
        <v>0</v>
      </c>
      <c r="BO99" t="n">
        <v>0</v>
      </c>
      <c r="BW99" t="n">
        <v>0.04</v>
      </c>
      <c r="BX99" t="n">
        <v>0.885</v>
      </c>
      <c r="BY99" t="n">
        <v>0.462</v>
      </c>
      <c r="BZ99" t="n">
        <v>0.014</v>
      </c>
      <c r="CA99" t="n">
        <v>0.462</v>
      </c>
      <c r="CB99" t="n">
        <v>0.014</v>
      </c>
      <c r="CC99" t="n">
        <v>5</v>
      </c>
      <c r="CD99" t="n">
        <v>2</v>
      </c>
      <c r="CE99" t="n">
        <v>5</v>
      </c>
      <c r="CH99" t="n">
        <v>0</v>
      </c>
      <c r="CI99" t="n">
        <v>10.155</v>
      </c>
      <c r="CJ99" t="n">
        <v>9.27</v>
      </c>
      <c r="CK99" t="n">
        <v>27</v>
      </c>
      <c r="CL99" t="n">
        <v>302</v>
      </c>
      <c r="CM99" t="n">
        <v>2</v>
      </c>
      <c r="CN99" t="n">
        <v>0</v>
      </c>
      <c r="CO99" t="n">
        <v>1</v>
      </c>
      <c r="CP99" t="n">
        <v>26</v>
      </c>
      <c r="CR99" t="n">
        <v>26</v>
      </c>
      <c r="CS99" t="n">
        <v>14</v>
      </c>
      <c r="CU99" t="n">
        <v>1</v>
      </c>
      <c r="CV99" t="n">
        <v>3</v>
      </c>
      <c r="CW99" t="n">
        <v>48.64</v>
      </c>
      <c r="CX99" t="n">
        <v>1.44</v>
      </c>
      <c r="CY99" t="n">
        <v>98</v>
      </c>
      <c r="CZ99" t="n">
        <v>67.59999999999999</v>
      </c>
      <c r="DA99" t="n">
        <v>1.7</v>
      </c>
      <c r="DB99" t="n">
        <v>0</v>
      </c>
      <c r="DC99" t="n">
        <v>42</v>
      </c>
      <c r="DD99" t="n">
        <v>7</v>
      </c>
      <c r="DE99" t="n">
        <v>7.07</v>
      </c>
      <c r="DF99" t="n">
        <v>3</v>
      </c>
      <c r="DG99" t="n">
        <v>1</v>
      </c>
      <c r="DH99" t="n">
        <v>2</v>
      </c>
      <c r="DI99" t="n">
        <v>14</v>
      </c>
      <c r="DM99" t="n">
        <v>1</v>
      </c>
      <c r="DO99" t="n">
        <v>2.1</v>
      </c>
      <c r="DP99" t="n">
        <v>123.9</v>
      </c>
      <c r="DQ99" t="n">
        <v>61.95</v>
      </c>
      <c r="DR99" t="n">
        <v>123.9</v>
      </c>
      <c r="DS99" t="n">
        <v>0</v>
      </c>
      <c r="DT99" t="n">
        <v>3181</v>
      </c>
      <c r="DU99" t="n">
        <v>83.7</v>
      </c>
      <c r="DV99" t="inlineStr">
        <is>
          <t>flat</t>
        </is>
      </c>
      <c r="DW99" t="n">
        <v>88.3</v>
      </c>
      <c r="DX99" t="n">
        <v>96.62</v>
      </c>
      <c r="DY99" t="n">
        <v>24.66</v>
      </c>
      <c r="DZ99" t="n">
        <v>10</v>
      </c>
      <c r="EA99" t="n">
        <v>120</v>
      </c>
      <c r="EB99" t="n">
        <v>154</v>
      </c>
      <c r="EC99" t="n">
        <v>74</v>
      </c>
      <c r="ED99" t="n">
        <v>23.4</v>
      </c>
      <c r="EE99" t="n">
        <v>238</v>
      </c>
      <c r="EH99" t="n">
        <v>608</v>
      </c>
      <c r="EJ99" t="n">
        <v>6574</v>
      </c>
      <c r="EK99" t="n">
        <v>6574</v>
      </c>
      <c r="EL99" t="n">
        <v>26.9</v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n">
        <v>5.5</v>
      </c>
      <c r="F100" t="b">
        <v>1</v>
      </c>
      <c r="G100" t="b">
        <v>1</v>
      </c>
      <c r="H100" t="n">
        <v>26.1</v>
      </c>
      <c r="I100" t="inlineStr">
        <is>
          <t>a</t>
        </is>
      </c>
      <c r="L100" t="inlineStr">
        <is>
          <t>p440089</t>
        </is>
      </c>
      <c r="M100" t="n">
        <v>96</v>
      </c>
      <c r="O100" t="n">
        <v>2</v>
      </c>
      <c r="P100" t="n">
        <v>3</v>
      </c>
      <c r="Q100" t="n">
        <v>2046</v>
      </c>
      <c r="R100" t="n">
        <v>33</v>
      </c>
      <c r="S100" t="n">
        <v>24</v>
      </c>
      <c r="T100" t="n">
        <v>22.733</v>
      </c>
      <c r="U100" t="n">
        <v>62</v>
      </c>
      <c r="V100" t="n">
        <v>113</v>
      </c>
      <c r="W100" t="n">
        <v>4.971</v>
      </c>
      <c r="X100" t="n">
        <v>4</v>
      </c>
      <c r="Y100" t="n">
        <v>4</v>
      </c>
      <c r="Z100" t="n">
        <v>4</v>
      </c>
      <c r="AA100" t="n">
        <v>5</v>
      </c>
      <c r="AB100" t="n">
        <v>32</v>
      </c>
      <c r="AC100" t="n">
        <v>9</v>
      </c>
      <c r="AD100" t="n">
        <v>9</v>
      </c>
      <c r="AE100" t="n">
        <v>0</v>
      </c>
      <c r="AF100" t="n">
        <v>467</v>
      </c>
      <c r="AG100" t="n">
        <v>456</v>
      </c>
      <c r="AH100" t="n">
        <v>-11</v>
      </c>
      <c r="AI100" t="n">
        <v>113</v>
      </c>
      <c r="AJ100" t="n">
        <v>0.08</v>
      </c>
      <c r="AK100" t="n">
        <v>0.08699999999999999</v>
      </c>
      <c r="AL100" t="n">
        <v>241</v>
      </c>
      <c r="AM100" t="n">
        <v>10.601</v>
      </c>
      <c r="AN100" t="n">
        <v>6</v>
      </c>
      <c r="AO100" t="n">
        <v>12</v>
      </c>
      <c r="AP100" t="n">
        <v>0.25</v>
      </c>
      <c r="AQ100" t="n">
        <v>0.417</v>
      </c>
      <c r="AR100" t="n">
        <v>0.25</v>
      </c>
      <c r="AS100" t="n">
        <v>0.632</v>
      </c>
      <c r="AT100" t="n">
        <v>0.667</v>
      </c>
      <c r="AU100" t="n">
        <v>19</v>
      </c>
      <c r="AV100" t="n">
        <v>2</v>
      </c>
      <c r="AW100" t="n">
        <v>3.43</v>
      </c>
      <c r="AX100" t="n">
        <v>18</v>
      </c>
      <c r="AY100" t="n">
        <v>2.61</v>
      </c>
      <c r="AZ100" t="n">
        <v>2.974</v>
      </c>
      <c r="BA100" t="n">
        <v>2.792</v>
      </c>
      <c r="BB100" t="n">
        <v>2.974</v>
      </c>
      <c r="BC100" t="n">
        <v>0.115</v>
      </c>
      <c r="BD100" t="n">
        <v>0.131</v>
      </c>
      <c r="BE100" t="n">
        <v>0.123</v>
      </c>
      <c r="BF100" t="n">
        <v>3.1</v>
      </c>
      <c r="BG100" t="n">
        <v>0.136</v>
      </c>
      <c r="BH100" t="n">
        <v>1.001</v>
      </c>
      <c r="BI100" t="n">
        <v>8.59</v>
      </c>
      <c r="BJ100" t="n">
        <v>2.612</v>
      </c>
      <c r="BK100" t="n">
        <v>0.115</v>
      </c>
      <c r="BL100" t="n">
        <v>1.208</v>
      </c>
      <c r="BM100" t="n">
        <v>0.49</v>
      </c>
      <c r="BN100" t="n">
        <v>0.9</v>
      </c>
      <c r="BO100" t="n">
        <v>-0.364</v>
      </c>
      <c r="BP100" t="n">
        <v>29</v>
      </c>
      <c r="BQ100" t="n">
        <v>11</v>
      </c>
      <c r="BR100" t="n">
        <v>3</v>
      </c>
      <c r="BS100" t="n">
        <v>80</v>
      </c>
      <c r="BT100" t="n">
        <v>3.519</v>
      </c>
      <c r="BV100" t="n">
        <v>1</v>
      </c>
      <c r="BW100" t="n">
        <v>5.43</v>
      </c>
      <c r="BX100" t="n">
        <v>6.469</v>
      </c>
      <c r="BY100" t="n">
        <v>5.949</v>
      </c>
      <c r="BZ100" t="n">
        <v>0.262</v>
      </c>
      <c r="CA100" t="n">
        <v>8.742000000000001</v>
      </c>
      <c r="CB100" t="n">
        <v>0.385</v>
      </c>
      <c r="CC100" t="n">
        <v>42</v>
      </c>
      <c r="CD100" t="n">
        <v>12</v>
      </c>
      <c r="CE100" t="n">
        <v>42</v>
      </c>
      <c r="CF100" t="n">
        <v>28</v>
      </c>
      <c r="CG100" t="n">
        <v>7</v>
      </c>
      <c r="CH100" t="n">
        <v>43</v>
      </c>
      <c r="CI100" t="n">
        <v>12.347</v>
      </c>
      <c r="CJ100" t="n">
        <v>6.473</v>
      </c>
      <c r="CK100" t="n">
        <v>45</v>
      </c>
      <c r="CL100" t="n">
        <v>139</v>
      </c>
      <c r="CM100" t="n">
        <v>57</v>
      </c>
      <c r="CN100" t="n">
        <v>35</v>
      </c>
      <c r="CO100" t="n">
        <v>25</v>
      </c>
      <c r="CP100" t="n">
        <v>16</v>
      </c>
      <c r="CQ100" t="n">
        <v>4</v>
      </c>
      <c r="CR100" t="n">
        <v>116</v>
      </c>
      <c r="CS100" t="n">
        <v>19</v>
      </c>
      <c r="CT100" t="n">
        <v>1.1</v>
      </c>
      <c r="CU100" t="n">
        <v>1</v>
      </c>
      <c r="CV100" t="n">
        <v>1</v>
      </c>
      <c r="CW100" t="n">
        <v>31.55</v>
      </c>
      <c r="CX100" t="n">
        <v>1.388</v>
      </c>
      <c r="CY100" t="n">
        <v>0</v>
      </c>
      <c r="DB100" t="n">
        <v>0</v>
      </c>
      <c r="DE100" t="n">
        <v>6.99</v>
      </c>
      <c r="DF100" t="n">
        <v>0</v>
      </c>
      <c r="DG100" t="n">
        <v>0</v>
      </c>
      <c r="DH100" t="n">
        <v>19</v>
      </c>
      <c r="DI100" t="n">
        <v>23</v>
      </c>
      <c r="DL100" t="n">
        <v>18</v>
      </c>
      <c r="DM100" t="n">
        <v>33</v>
      </c>
      <c r="DN100" t="n">
        <v>4</v>
      </c>
      <c r="DO100" t="n">
        <v>0.6</v>
      </c>
      <c r="DP100" t="n">
        <v>89.93000000000001</v>
      </c>
      <c r="DQ100" t="n">
        <v>44.97</v>
      </c>
      <c r="DR100" t="n">
        <v>89.94</v>
      </c>
      <c r="DS100" t="n">
        <v>-0.01</v>
      </c>
      <c r="DT100" t="n">
        <v>1915</v>
      </c>
      <c r="DU100" t="n">
        <v>50.4</v>
      </c>
      <c r="DV100" t="inlineStr">
        <is>
          <t>flat</t>
        </is>
      </c>
      <c r="DW100" t="n">
        <v>83.51000000000001</v>
      </c>
      <c r="DY100" t="n">
        <v>25.3</v>
      </c>
      <c r="DZ100" t="n">
        <v>16</v>
      </c>
      <c r="EA100" t="n">
        <v>118.55</v>
      </c>
      <c r="EB100" t="n">
        <v>17</v>
      </c>
      <c r="EC100" t="n">
        <v>8.199999999999999</v>
      </c>
      <c r="ED100" t="n">
        <v>5.6</v>
      </c>
      <c r="EE100" t="n">
        <v>126</v>
      </c>
      <c r="EF100" t="n">
        <v>70.59999999999999</v>
      </c>
      <c r="EG100" t="n">
        <v>25.6</v>
      </c>
      <c r="EH100" t="n">
        <v>48.7</v>
      </c>
      <c r="EI100" t="n">
        <v>732.8</v>
      </c>
      <c r="EJ100" t="n">
        <v>343.9</v>
      </c>
      <c r="EK100" t="n">
        <v>234.1</v>
      </c>
      <c r="EL100" t="n">
        <v>18.1</v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n">
        <v>6.5</v>
      </c>
      <c r="F101" t="b">
        <v>1</v>
      </c>
      <c r="G101" t="b">
        <v>1</v>
      </c>
      <c r="H101" t="n">
        <v>28.1</v>
      </c>
      <c r="I101" t="inlineStr">
        <is>
          <t>a</t>
        </is>
      </c>
      <c r="L101" t="inlineStr">
        <is>
          <t>p232413</t>
        </is>
      </c>
      <c r="M101" t="n">
        <v>14</v>
      </c>
      <c r="P101" t="n">
        <v>3</v>
      </c>
      <c r="Q101" t="n">
        <v>1885</v>
      </c>
      <c r="R101" t="n">
        <v>33</v>
      </c>
      <c r="S101" t="n">
        <v>22</v>
      </c>
      <c r="T101" t="n">
        <v>20.944</v>
      </c>
      <c r="U101" t="n">
        <v>57.1</v>
      </c>
      <c r="V101" t="n">
        <v>113</v>
      </c>
      <c r="W101" t="n">
        <v>5.395</v>
      </c>
      <c r="X101" t="n">
        <v>7</v>
      </c>
      <c r="Y101" t="n">
        <v>3</v>
      </c>
      <c r="Z101" t="n">
        <v>2</v>
      </c>
      <c r="AA101" t="n">
        <v>11</v>
      </c>
      <c r="AB101" t="n">
        <v>14</v>
      </c>
      <c r="AC101" t="n">
        <v>8</v>
      </c>
      <c r="AD101" t="n">
        <v>8</v>
      </c>
      <c r="AE101" t="n">
        <v>0</v>
      </c>
      <c r="AF101" t="n">
        <v>439</v>
      </c>
      <c r="AG101" t="n">
        <v>434</v>
      </c>
      <c r="AH101" t="n">
        <v>-5</v>
      </c>
      <c r="AI101" t="n">
        <v>113</v>
      </c>
      <c r="AJ101" t="n">
        <v>0.07099999999999999</v>
      </c>
      <c r="AK101" t="n">
        <v>0.076</v>
      </c>
      <c r="AL101" t="n">
        <v>120</v>
      </c>
      <c r="AM101" t="n">
        <v>5.729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0.579</v>
      </c>
      <c r="AT101" t="n">
        <v>0.545</v>
      </c>
      <c r="AU101" t="n">
        <v>18</v>
      </c>
      <c r="AV101" t="n">
        <v>3</v>
      </c>
      <c r="AW101" t="n">
        <v>4.06</v>
      </c>
      <c r="AX101" t="n">
        <v>20</v>
      </c>
      <c r="AY101" t="n">
        <v>5.18</v>
      </c>
      <c r="AZ101" t="n">
        <v>4.807</v>
      </c>
      <c r="BA101" t="n">
        <v>4.994</v>
      </c>
      <c r="BB101" t="n">
        <v>4.807</v>
      </c>
      <c r="BC101" t="n">
        <v>0.247</v>
      </c>
      <c r="BD101" t="n">
        <v>0.23</v>
      </c>
      <c r="BE101" t="n">
        <v>0.238</v>
      </c>
      <c r="BF101" t="n">
        <v>6.8</v>
      </c>
      <c r="BG101" t="n">
        <v>0.325</v>
      </c>
      <c r="BH101" t="n">
        <v>1.114</v>
      </c>
      <c r="BI101" t="n">
        <v>31.94</v>
      </c>
      <c r="BJ101" t="n">
        <v>5.771</v>
      </c>
      <c r="BK101" t="n">
        <v>0.276</v>
      </c>
      <c r="BL101" t="n">
        <v>2.006</v>
      </c>
      <c r="BM101" t="n">
        <v>1.62</v>
      </c>
      <c r="BN101" t="n">
        <v>0.2</v>
      </c>
      <c r="BO101" t="n">
        <v>0.373</v>
      </c>
      <c r="BP101" t="n">
        <v>63</v>
      </c>
      <c r="BQ101" t="n">
        <v>20</v>
      </c>
      <c r="BR101" t="n">
        <v>2</v>
      </c>
      <c r="BS101" t="n">
        <v>65</v>
      </c>
      <c r="BT101" t="n">
        <v>3.103</v>
      </c>
      <c r="BW101" t="n">
        <v>2.66</v>
      </c>
      <c r="BX101" t="n">
        <v>2.634</v>
      </c>
      <c r="BY101" t="n">
        <v>2.647</v>
      </c>
      <c r="BZ101" t="n">
        <v>0.126</v>
      </c>
      <c r="CA101" t="n">
        <v>7.64</v>
      </c>
      <c r="CB101" t="n">
        <v>0.365</v>
      </c>
      <c r="CC101" t="n">
        <v>17</v>
      </c>
      <c r="CD101" t="n">
        <v>4</v>
      </c>
      <c r="CE101" t="n">
        <v>16</v>
      </c>
      <c r="CF101" t="n">
        <v>2</v>
      </c>
      <c r="CG101" t="n">
        <v>7</v>
      </c>
      <c r="CH101" t="n">
        <v>3</v>
      </c>
      <c r="CI101" t="n">
        <v>10.356</v>
      </c>
      <c r="CJ101" t="n">
        <v>4.074</v>
      </c>
      <c r="CK101" t="n">
        <v>22</v>
      </c>
      <c r="CL101" t="n">
        <v>79</v>
      </c>
      <c r="CM101" t="n">
        <v>19</v>
      </c>
      <c r="CN101" t="n">
        <v>14</v>
      </c>
      <c r="CO101" t="n">
        <v>11</v>
      </c>
      <c r="CP101" t="n">
        <v>10</v>
      </c>
      <c r="CQ101" t="n">
        <v>1</v>
      </c>
      <c r="CR101" t="n">
        <v>98</v>
      </c>
      <c r="CS101" t="n">
        <v>10</v>
      </c>
      <c r="CT101" t="n">
        <v>0.8</v>
      </c>
      <c r="CV101" t="n">
        <v>2</v>
      </c>
      <c r="CW101" t="n">
        <v>14.21</v>
      </c>
      <c r="CX101" t="n">
        <v>0.678</v>
      </c>
      <c r="CY101" t="n">
        <v>0</v>
      </c>
      <c r="DB101" t="n">
        <v>0</v>
      </c>
      <c r="DE101" t="n">
        <v>6.97</v>
      </c>
      <c r="DF101" t="n">
        <v>1</v>
      </c>
      <c r="DG101" t="n">
        <v>0</v>
      </c>
      <c r="DH101" t="n">
        <v>16</v>
      </c>
      <c r="DI101" t="n">
        <v>40</v>
      </c>
      <c r="DL101" t="n">
        <v>29</v>
      </c>
      <c r="DM101" t="n">
        <v>24</v>
      </c>
      <c r="DN101" t="n">
        <v>1</v>
      </c>
      <c r="DO101" t="n">
        <v>3</v>
      </c>
      <c r="DP101" t="n">
        <v>79</v>
      </c>
      <c r="DQ101" t="n">
        <v>39.32</v>
      </c>
      <c r="DR101" t="n">
        <v>78.64</v>
      </c>
      <c r="DS101" t="n">
        <v>0.36</v>
      </c>
      <c r="DT101" t="n">
        <v>1328</v>
      </c>
      <c r="DU101" t="n">
        <v>34.95</v>
      </c>
      <c r="DV101" t="inlineStr">
        <is>
          <t>flat</t>
        </is>
      </c>
      <c r="DW101" t="n">
        <v>57.12</v>
      </c>
      <c r="DX101" t="n">
        <v>60.65</v>
      </c>
      <c r="DY101" t="n">
        <v>24.83</v>
      </c>
      <c r="DZ101" t="n">
        <v>8.57</v>
      </c>
      <c r="EA101" t="n">
        <v>116</v>
      </c>
      <c r="EB101" t="n">
        <v>126</v>
      </c>
      <c r="EC101" t="n">
        <v>60.6</v>
      </c>
      <c r="ED101" t="n">
        <v>26.3</v>
      </c>
      <c r="EE101" t="n">
        <v>41</v>
      </c>
      <c r="EF101" t="n">
        <v>29.9</v>
      </c>
      <c r="EG101" t="n">
        <v>29</v>
      </c>
      <c r="EH101" t="n">
        <v>117.8</v>
      </c>
      <c r="EI101" t="n">
        <v>377.5</v>
      </c>
      <c r="EJ101" t="n">
        <v>712.2</v>
      </c>
      <c r="EK101" t="n">
        <v>246.7</v>
      </c>
      <c r="EL101" t="n">
        <v>16.7</v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n">
        <v>5.5</v>
      </c>
      <c r="F102" t="b">
        <v>1</v>
      </c>
      <c r="G102" t="b">
        <v>1</v>
      </c>
      <c r="H102" t="n">
        <v>22.5</v>
      </c>
      <c r="I102" t="inlineStr">
        <is>
          <t>a</t>
        </is>
      </c>
      <c r="K102" t="n">
        <v>100</v>
      </c>
      <c r="L102" t="inlineStr">
        <is>
          <t>p496221</t>
        </is>
      </c>
      <c r="M102" t="n">
        <v>210</v>
      </c>
      <c r="O102" t="n">
        <v>1</v>
      </c>
      <c r="Q102" t="n">
        <v>2552</v>
      </c>
      <c r="R102" t="n">
        <v>34</v>
      </c>
      <c r="S102" t="n">
        <v>29</v>
      </c>
      <c r="T102" t="n">
        <v>28.356</v>
      </c>
      <c r="U102" t="n">
        <v>75.09999999999999</v>
      </c>
      <c r="V102" t="n">
        <v>112</v>
      </c>
      <c r="W102" t="n">
        <v>3.95</v>
      </c>
      <c r="X102" t="n">
        <v>1</v>
      </c>
      <c r="Y102" t="n">
        <v>6</v>
      </c>
      <c r="Z102" t="n">
        <v>5</v>
      </c>
      <c r="AA102" t="n">
        <v>8</v>
      </c>
      <c r="AB102" t="n">
        <v>43</v>
      </c>
      <c r="AC102" t="n">
        <v>8</v>
      </c>
      <c r="AD102" t="n">
        <v>8</v>
      </c>
      <c r="AE102" t="n">
        <v>0</v>
      </c>
      <c r="AF102" t="n">
        <v>511</v>
      </c>
      <c r="AG102" t="n">
        <v>496</v>
      </c>
      <c r="AH102" t="n">
        <v>-15</v>
      </c>
      <c r="AI102" t="n">
        <v>112</v>
      </c>
      <c r="AJ102" t="n">
        <v>0.07099999999999999</v>
      </c>
      <c r="AK102" t="n">
        <v>0.077</v>
      </c>
      <c r="AL102" t="n">
        <v>303</v>
      </c>
      <c r="AM102" t="n">
        <v>10.686</v>
      </c>
      <c r="AN102" t="n">
        <v>9</v>
      </c>
      <c r="AO102" t="n">
        <v>18</v>
      </c>
      <c r="AP102" t="n">
        <v>0.31</v>
      </c>
      <c r="AQ102" t="n">
        <v>0.517</v>
      </c>
      <c r="AR102" t="n">
        <v>0.31</v>
      </c>
      <c r="AS102" t="n">
        <v>0.763</v>
      </c>
      <c r="AT102" t="n">
        <v>0.824</v>
      </c>
      <c r="AU102" t="n">
        <v>16</v>
      </c>
      <c r="AV102" t="n">
        <v>2</v>
      </c>
      <c r="AW102" t="n">
        <v>2.76</v>
      </c>
      <c r="AX102" t="n">
        <v>11</v>
      </c>
      <c r="AY102" t="n">
        <v>1.52</v>
      </c>
      <c r="AZ102" t="n">
        <v>1.152</v>
      </c>
      <c r="BA102" t="n">
        <v>1.336</v>
      </c>
      <c r="BB102" t="n">
        <v>1.152</v>
      </c>
      <c r="BC102" t="n">
        <v>0.054</v>
      </c>
      <c r="BD102" t="n">
        <v>0.041</v>
      </c>
      <c r="BE102" t="n">
        <v>0.047</v>
      </c>
      <c r="BF102" t="n">
        <v>0.4</v>
      </c>
      <c r="BG102" t="n">
        <v>0.014</v>
      </c>
      <c r="BH102" t="n">
        <v>0.885</v>
      </c>
      <c r="BI102" t="n">
        <v>2.28</v>
      </c>
      <c r="BJ102" t="n">
        <v>1.346</v>
      </c>
      <c r="BK102" t="n">
        <v>0.047</v>
      </c>
      <c r="BL102" t="n">
        <v>-0.336</v>
      </c>
      <c r="BM102" t="n">
        <v>-1.12</v>
      </c>
      <c r="BN102" t="n">
        <v>0.6</v>
      </c>
      <c r="BO102" t="n">
        <v>0.368</v>
      </c>
      <c r="BP102" t="n">
        <v>32</v>
      </c>
      <c r="BQ102" t="n">
        <v>6</v>
      </c>
      <c r="BS102" t="n">
        <v>29</v>
      </c>
      <c r="BT102" t="n">
        <v>1.023</v>
      </c>
      <c r="BW102" t="n">
        <v>7.47</v>
      </c>
      <c r="BX102" t="n">
        <v>6.625</v>
      </c>
      <c r="BY102" t="n">
        <v>7.047</v>
      </c>
      <c r="BZ102" t="n">
        <v>0.249</v>
      </c>
      <c r="CA102" t="n">
        <v>8.382999999999999</v>
      </c>
      <c r="CB102" t="n">
        <v>0.296</v>
      </c>
      <c r="CC102" t="n">
        <v>44</v>
      </c>
      <c r="CD102" t="n">
        <v>14</v>
      </c>
      <c r="CE102" t="n">
        <v>44</v>
      </c>
      <c r="CF102" t="n">
        <v>28</v>
      </c>
      <c r="CG102" t="n">
        <v>14</v>
      </c>
      <c r="CH102" t="n">
        <v>43</v>
      </c>
      <c r="CI102" t="n">
        <v>14.679</v>
      </c>
      <c r="CJ102" t="n">
        <v>10.562</v>
      </c>
      <c r="CK102" t="n">
        <v>70</v>
      </c>
      <c r="CL102" t="n">
        <v>163</v>
      </c>
      <c r="CM102" t="n">
        <v>70</v>
      </c>
      <c r="CN102" t="n">
        <v>37</v>
      </c>
      <c r="CO102" t="n">
        <v>27</v>
      </c>
      <c r="CP102" t="n">
        <v>42</v>
      </c>
      <c r="CQ102" t="n">
        <v>3</v>
      </c>
      <c r="CR102" t="n">
        <v>140</v>
      </c>
      <c r="CS102" t="n">
        <v>24</v>
      </c>
      <c r="CT102" t="n">
        <v>0.6</v>
      </c>
      <c r="CV102" t="n">
        <v>2</v>
      </c>
      <c r="CW102" t="n">
        <v>39.08</v>
      </c>
      <c r="CX102" t="n">
        <v>1.378</v>
      </c>
      <c r="CY102" t="n">
        <v>0</v>
      </c>
      <c r="DB102" t="n">
        <v>0</v>
      </c>
      <c r="DE102" t="n">
        <v>7.01</v>
      </c>
      <c r="DF102" t="n">
        <v>4</v>
      </c>
      <c r="DG102" t="n">
        <v>1</v>
      </c>
      <c r="DH102" t="n">
        <v>35</v>
      </c>
      <c r="DI102" t="n">
        <v>31</v>
      </c>
      <c r="DK102" t="n">
        <v>1</v>
      </c>
      <c r="DL102" t="n">
        <v>15</v>
      </c>
      <c r="DM102" t="n">
        <v>27</v>
      </c>
      <c r="DO102" t="n">
        <v>0.5</v>
      </c>
      <c r="DP102" t="n">
        <v>137.14</v>
      </c>
      <c r="DQ102" t="n">
        <v>68.56999999999999</v>
      </c>
      <c r="DR102" t="n">
        <v>137.14</v>
      </c>
      <c r="DS102" t="n">
        <v>0</v>
      </c>
      <c r="DT102" t="n">
        <v>3158</v>
      </c>
      <c r="DU102" t="n">
        <v>83.09999999999999</v>
      </c>
      <c r="DV102" t="inlineStr">
        <is>
          <t>flat</t>
        </is>
      </c>
      <c r="DW102" t="n">
        <v>84.81999999999999</v>
      </c>
      <c r="DY102" t="n">
        <v>20.14</v>
      </c>
      <c r="DZ102" t="n">
        <v>45.14</v>
      </c>
      <c r="EA102" t="n">
        <v>120</v>
      </c>
      <c r="EB102" t="n">
        <v>24</v>
      </c>
      <c r="EC102" t="n">
        <v>11.5</v>
      </c>
      <c r="ED102" t="n">
        <v>7.7</v>
      </c>
      <c r="EE102" t="n">
        <v>128</v>
      </c>
      <c r="EF102" t="n">
        <v>79.8</v>
      </c>
      <c r="EG102" t="n">
        <v>88</v>
      </c>
      <c r="EH102" t="n">
        <v>58</v>
      </c>
      <c r="EI102" t="n">
        <v>1910.1</v>
      </c>
      <c r="EJ102" t="n">
        <v>362.1</v>
      </c>
      <c r="EK102" t="n">
        <v>304.4</v>
      </c>
      <c r="EL102" t="n">
        <v>22.8</v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n">
        <v>7</v>
      </c>
      <c r="F103" t="b">
        <v>1</v>
      </c>
      <c r="G103" t="b">
        <v>1</v>
      </c>
      <c r="H103" t="n">
        <v>23.2</v>
      </c>
      <c r="I103" t="inlineStr">
        <is>
          <t>d</t>
        </is>
      </c>
      <c r="J103" t="inlineStr">
        <is>
          <t>Shin injury - 75% chance of playing</t>
        </is>
      </c>
      <c r="K103" t="n">
        <v>75</v>
      </c>
      <c r="L103" t="inlineStr">
        <is>
          <t>p485711</t>
        </is>
      </c>
      <c r="M103" t="n">
        <v>439</v>
      </c>
      <c r="Q103" t="n">
        <v>1630</v>
      </c>
      <c r="R103" t="n">
        <v>30</v>
      </c>
      <c r="S103" t="n">
        <v>17</v>
      </c>
      <c r="T103" t="n">
        <v>18.111</v>
      </c>
      <c r="U103" t="n">
        <v>54.3</v>
      </c>
      <c r="V103" t="n">
        <v>111</v>
      </c>
      <c r="W103" t="n">
        <v>6.129</v>
      </c>
      <c r="X103" t="n">
        <v>11</v>
      </c>
      <c r="Y103" t="n">
        <v>2</v>
      </c>
      <c r="Z103" t="n">
        <v>1</v>
      </c>
      <c r="AA103" t="n">
        <v>2</v>
      </c>
      <c r="AB103" t="n">
        <v>30</v>
      </c>
      <c r="AC103" t="n">
        <v>19</v>
      </c>
      <c r="AD103" t="n">
        <v>19</v>
      </c>
      <c r="AE103" t="n">
        <v>0</v>
      </c>
      <c r="AF103" t="n">
        <v>405</v>
      </c>
      <c r="AG103" t="n">
        <v>402</v>
      </c>
      <c r="AH103" t="n">
        <v>-3</v>
      </c>
      <c r="AI103" t="n">
        <v>111</v>
      </c>
      <c r="AJ103" t="n">
        <v>0.171</v>
      </c>
      <c r="AK103" t="n">
        <v>0.207</v>
      </c>
      <c r="AL103" t="n">
        <v>64</v>
      </c>
      <c r="AM103" t="n">
        <v>3.534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0.447</v>
      </c>
      <c r="AT103" t="n">
        <v>0.467</v>
      </c>
      <c r="AU103" t="n">
        <v>18</v>
      </c>
      <c r="AV103" t="n">
        <v>1</v>
      </c>
      <c r="AW103" t="n">
        <v>3.31</v>
      </c>
      <c r="AX103" t="n">
        <v>13</v>
      </c>
      <c r="AY103" t="n">
        <v>9.210000000000001</v>
      </c>
      <c r="AZ103" t="n">
        <v>12.504</v>
      </c>
      <c r="BA103" t="n">
        <v>10.857</v>
      </c>
      <c r="BB103" t="n">
        <v>12.504</v>
      </c>
      <c r="BC103" t="n">
        <v>0.509</v>
      </c>
      <c r="BD103" t="n">
        <v>0.6899999999999999</v>
      </c>
      <c r="BE103" t="n">
        <v>0.599</v>
      </c>
      <c r="BF103" t="n">
        <v>11.2</v>
      </c>
      <c r="BG103" t="n">
        <v>0.618</v>
      </c>
      <c r="BH103" t="n">
        <v>1.116</v>
      </c>
      <c r="BI103" t="n">
        <v>9.210000000000001</v>
      </c>
      <c r="BJ103" t="n">
        <v>10.275</v>
      </c>
      <c r="BK103" t="n">
        <v>0.5669999999999999</v>
      </c>
      <c r="BL103" t="n">
        <v>0.143</v>
      </c>
      <c r="BM103" t="n">
        <v>1.99</v>
      </c>
      <c r="BN103" t="n">
        <v>-0.2</v>
      </c>
      <c r="BO103" t="n">
        <v>-3.294</v>
      </c>
      <c r="BP103" t="n">
        <v>61</v>
      </c>
      <c r="BQ103" t="n">
        <v>34</v>
      </c>
      <c r="BR103" t="n">
        <v>12</v>
      </c>
      <c r="BS103" t="n">
        <v>95</v>
      </c>
      <c r="BT103" t="n">
        <v>5.245</v>
      </c>
      <c r="BV103" t="n">
        <v>1</v>
      </c>
      <c r="BW103" t="n">
        <v>0.28</v>
      </c>
      <c r="BX103" t="n">
        <v>0.598</v>
      </c>
      <c r="BY103" t="n">
        <v>0.439</v>
      </c>
      <c r="BZ103" t="n">
        <v>0.024</v>
      </c>
      <c r="CA103" t="n">
        <v>11.296</v>
      </c>
      <c r="CB103" t="n">
        <v>0.624</v>
      </c>
      <c r="CC103" t="n">
        <v>9</v>
      </c>
      <c r="CE103" t="n">
        <v>9</v>
      </c>
      <c r="CI103" t="n">
        <v>14.227</v>
      </c>
      <c r="CJ103" t="n">
        <v>1.63</v>
      </c>
      <c r="CK103" t="n">
        <v>20</v>
      </c>
      <c r="CL103" t="n">
        <v>39</v>
      </c>
      <c r="CM103" t="n">
        <v>5</v>
      </c>
      <c r="CN103" t="n">
        <v>3</v>
      </c>
      <c r="CO103" t="n">
        <v>3</v>
      </c>
      <c r="CP103" t="n">
        <v>15</v>
      </c>
      <c r="CQ103" t="n">
        <v>2</v>
      </c>
      <c r="CR103" t="n">
        <v>85</v>
      </c>
      <c r="CS103" t="n">
        <v>64</v>
      </c>
      <c r="CT103" t="n">
        <v>0.3</v>
      </c>
      <c r="CW103" t="n">
        <v>27.05</v>
      </c>
      <c r="CX103" t="n">
        <v>1.494</v>
      </c>
      <c r="CY103" t="n">
        <v>0</v>
      </c>
      <c r="DB103" t="n">
        <v>0</v>
      </c>
      <c r="DE103" t="n">
        <v>6.8</v>
      </c>
      <c r="DF103" t="n">
        <v>2</v>
      </c>
      <c r="DG103" t="n">
        <v>0</v>
      </c>
      <c r="DH103" t="n">
        <v>17</v>
      </c>
      <c r="DI103" t="n">
        <v>6</v>
      </c>
      <c r="DK103" t="n">
        <v>0</v>
      </c>
      <c r="DL103" t="n">
        <v>10</v>
      </c>
      <c r="DM103" t="n">
        <v>30</v>
      </c>
      <c r="DN103" t="n">
        <v>7</v>
      </c>
      <c r="DO103" t="n">
        <v>2.1</v>
      </c>
      <c r="DP103" t="n">
        <v>132.37</v>
      </c>
      <c r="DQ103" t="n">
        <v>64.18000000000001</v>
      </c>
      <c r="DR103" t="n">
        <v>128.36</v>
      </c>
      <c r="DS103" t="n">
        <v>4.01</v>
      </c>
      <c r="DT103" t="n">
        <v>2274</v>
      </c>
      <c r="DU103" t="n">
        <v>59.85</v>
      </c>
      <c r="DV103" t="inlineStr">
        <is>
          <t>flat</t>
        </is>
      </c>
      <c r="DW103" t="n">
        <v>29.26</v>
      </c>
      <c r="DX103" t="n">
        <v>28.71</v>
      </c>
      <c r="DY103" t="n">
        <v>21.65</v>
      </c>
      <c r="DZ103" t="n">
        <v>2.29</v>
      </c>
      <c r="EA103" t="n">
        <v>116</v>
      </c>
      <c r="EB103" t="n">
        <v>173</v>
      </c>
      <c r="EC103" t="n">
        <v>83.2</v>
      </c>
      <c r="ED103" t="n">
        <v>18</v>
      </c>
      <c r="EE103" t="n">
        <v>28</v>
      </c>
      <c r="EF103" t="n">
        <v>26.7</v>
      </c>
      <c r="EG103" t="n">
        <v>17.2</v>
      </c>
      <c r="EH103" t="n">
        <v>181.1</v>
      </c>
      <c r="EI103" t="n">
        <v>150.1</v>
      </c>
      <c r="EJ103" t="n">
        <v>3714.1</v>
      </c>
      <c r="EK103" t="n">
        <v>144.3</v>
      </c>
      <c r="EL103" t="n">
        <v>14.7</v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n">
        <v>5</v>
      </c>
      <c r="F104" t="b">
        <v>1</v>
      </c>
      <c r="G104" t="b">
        <v>1</v>
      </c>
      <c r="H104" t="n">
        <v>27.4</v>
      </c>
      <c r="I104" t="inlineStr">
        <is>
          <t>a</t>
        </is>
      </c>
      <c r="L104" t="inlineStr">
        <is>
          <t>p216051</t>
        </is>
      </c>
      <c r="M104" t="n">
        <v>417</v>
      </c>
      <c r="Q104" t="n">
        <v>2609</v>
      </c>
      <c r="R104" t="n">
        <v>34</v>
      </c>
      <c r="S104" t="n">
        <v>29</v>
      </c>
      <c r="T104" t="n">
        <v>28.989</v>
      </c>
      <c r="U104" t="n">
        <v>76.7</v>
      </c>
      <c r="V104" t="n">
        <v>111</v>
      </c>
      <c r="W104" t="n">
        <v>3.829</v>
      </c>
      <c r="X104" t="n">
        <v>1</v>
      </c>
      <c r="Y104" t="n">
        <v>6</v>
      </c>
      <c r="Z104" t="n">
        <v>3</v>
      </c>
      <c r="AA104" t="n">
        <v>7</v>
      </c>
      <c r="AB104" t="n">
        <v>40</v>
      </c>
      <c r="AC104" t="n">
        <v>9</v>
      </c>
      <c r="AD104" t="n">
        <v>10</v>
      </c>
      <c r="AE104" t="n">
        <v>1</v>
      </c>
      <c r="AF104" t="n">
        <v>414</v>
      </c>
      <c r="AG104" t="n">
        <v>388</v>
      </c>
      <c r="AH104" t="n">
        <v>-26</v>
      </c>
      <c r="AI104" t="n">
        <v>112</v>
      </c>
      <c r="AJ104" t="n">
        <v>0.081</v>
      </c>
      <c r="AK104" t="n">
        <v>0.08799999999999999</v>
      </c>
      <c r="AL104" t="n">
        <v>180</v>
      </c>
      <c r="AM104" t="n">
        <v>6.209</v>
      </c>
      <c r="AN104" t="n">
        <v>3</v>
      </c>
      <c r="AO104" t="n">
        <v>6</v>
      </c>
      <c r="AP104" t="n">
        <v>0.103</v>
      </c>
      <c r="AQ104" t="n">
        <v>0.103</v>
      </c>
      <c r="AR104" t="n">
        <v>0.06900000000000001</v>
      </c>
      <c r="AS104" t="n">
        <v>0.763</v>
      </c>
      <c r="AT104" t="n">
        <v>0.824</v>
      </c>
      <c r="AU104" t="n">
        <v>23</v>
      </c>
      <c r="AV104" t="n">
        <v>3</v>
      </c>
      <c r="AW104" t="n">
        <v>3.74</v>
      </c>
      <c r="AX104" t="n">
        <v>15</v>
      </c>
      <c r="AY104" t="n">
        <v>1.93</v>
      </c>
      <c r="AZ104" t="n">
        <v>2.195</v>
      </c>
      <c r="BA104" t="n">
        <v>2.062</v>
      </c>
      <c r="BB104" t="n">
        <v>2.195</v>
      </c>
      <c r="BC104" t="n">
        <v>0.067</v>
      </c>
      <c r="BD104" t="n">
        <v>0.076</v>
      </c>
      <c r="BE104" t="n">
        <v>0.07099999999999999</v>
      </c>
      <c r="BF104" t="n">
        <v>0.8</v>
      </c>
      <c r="BG104" t="n">
        <v>0.028</v>
      </c>
      <c r="BH104" t="n">
        <v>0.791</v>
      </c>
      <c r="BI104" t="n">
        <v>8.050000000000001</v>
      </c>
      <c r="BJ104" t="n">
        <v>1.527</v>
      </c>
      <c r="BK104" t="n">
        <v>0.053</v>
      </c>
      <c r="BL104" t="n">
        <v>-1.062</v>
      </c>
      <c r="BM104" t="n">
        <v>-1.13</v>
      </c>
      <c r="BN104" t="n">
        <v>0.2</v>
      </c>
      <c r="BO104" t="n">
        <v>-0.265</v>
      </c>
      <c r="BP104" t="n">
        <v>24</v>
      </c>
      <c r="BQ104" t="n">
        <v>6</v>
      </c>
      <c r="BR104" t="n">
        <v>4</v>
      </c>
      <c r="BS104" t="n">
        <v>47</v>
      </c>
      <c r="BT104" t="n">
        <v>1.621</v>
      </c>
      <c r="BW104" t="n">
        <v>2.57</v>
      </c>
      <c r="BX104" t="n">
        <v>3.506</v>
      </c>
      <c r="BY104" t="n">
        <v>3.038</v>
      </c>
      <c r="BZ104" t="n">
        <v>0.105</v>
      </c>
      <c r="CA104" t="n">
        <v>5.1</v>
      </c>
      <c r="CB104" t="n">
        <v>0.176</v>
      </c>
      <c r="CC104" t="n">
        <v>30</v>
      </c>
      <c r="CD104" t="n">
        <v>5</v>
      </c>
      <c r="CE104" t="n">
        <v>29</v>
      </c>
      <c r="CF104" t="n">
        <v>17</v>
      </c>
      <c r="CG104" t="n">
        <v>3</v>
      </c>
      <c r="CI104" t="n">
        <v>13.055</v>
      </c>
      <c r="CJ104" t="n">
        <v>9.667</v>
      </c>
      <c r="CK104" t="n">
        <v>127</v>
      </c>
      <c r="CL104" t="n">
        <v>135</v>
      </c>
      <c r="CM104" t="n">
        <v>53</v>
      </c>
      <c r="CN104" t="n">
        <v>30</v>
      </c>
      <c r="CO104" t="n">
        <v>27</v>
      </c>
      <c r="CP104" t="n">
        <v>92</v>
      </c>
      <c r="CQ104" t="n">
        <v>9</v>
      </c>
      <c r="CR104" t="n">
        <v>135</v>
      </c>
      <c r="CS104" t="n">
        <v>52</v>
      </c>
      <c r="CT104" t="n">
        <v>0.3</v>
      </c>
      <c r="CU104" t="n">
        <v>1</v>
      </c>
      <c r="CV104" t="n">
        <v>2</v>
      </c>
      <c r="CW104" t="n">
        <v>36.57</v>
      </c>
      <c r="CX104" t="n">
        <v>1.262</v>
      </c>
      <c r="CY104" t="n">
        <v>0</v>
      </c>
      <c r="DB104" t="n">
        <v>0</v>
      </c>
      <c r="DE104" t="n">
        <v>7.13</v>
      </c>
      <c r="DF104" t="n">
        <v>5</v>
      </c>
      <c r="DG104" t="n">
        <v>0</v>
      </c>
      <c r="DH104" t="n">
        <v>25</v>
      </c>
      <c r="DI104" t="n">
        <v>14</v>
      </c>
      <c r="DL104" t="n">
        <v>18</v>
      </c>
      <c r="DM104" t="n">
        <v>16</v>
      </c>
      <c r="DN104" t="n">
        <v>4</v>
      </c>
      <c r="DO104" t="n">
        <v>3.1</v>
      </c>
      <c r="DP104" t="n">
        <v>115.95</v>
      </c>
      <c r="DQ104" t="n">
        <v>58.21</v>
      </c>
      <c r="DR104" t="n">
        <v>116.42</v>
      </c>
      <c r="DS104" t="n">
        <v>-0.47</v>
      </c>
      <c r="DT104" t="n">
        <v>2594</v>
      </c>
      <c r="DU104" t="n">
        <v>68.25</v>
      </c>
      <c r="DV104" t="inlineStr">
        <is>
          <t>flat</t>
        </is>
      </c>
      <c r="DW104" t="n">
        <v>87.68000000000001</v>
      </c>
      <c r="DX104" t="n">
        <v>96.5</v>
      </c>
      <c r="DY104" t="n">
        <v>17.49</v>
      </c>
      <c r="DZ104" t="n">
        <v>35.33</v>
      </c>
      <c r="EA104" t="n">
        <v>120</v>
      </c>
      <c r="EB104" t="n">
        <v>112</v>
      </c>
      <c r="EC104" t="n">
        <v>53.8</v>
      </c>
      <c r="ED104" t="n">
        <v>3.4</v>
      </c>
      <c r="EE104" t="n">
        <v>239</v>
      </c>
      <c r="EF104" t="n">
        <v>108.7</v>
      </c>
      <c r="EG104" t="n">
        <v>55.5</v>
      </c>
      <c r="EH104" t="n">
        <v>90</v>
      </c>
      <c r="EI104" t="n">
        <v>1265.1</v>
      </c>
      <c r="EJ104" t="n">
        <v>858.8</v>
      </c>
      <c r="EK104" t="n">
        <v>511.5</v>
      </c>
      <c r="EL104" t="n">
        <v>23.5</v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n">
        <v>4.5</v>
      </c>
      <c r="F105" t="b">
        <v>1</v>
      </c>
      <c r="G105" t="b">
        <v>1</v>
      </c>
      <c r="H105" t="n">
        <v>24.4</v>
      </c>
      <c r="I105" t="inlineStr">
        <is>
          <t>a</t>
        </is>
      </c>
      <c r="L105" t="inlineStr">
        <is>
          <t>p487676</t>
        </is>
      </c>
      <c r="M105" t="n">
        <v>534</v>
      </c>
      <c r="O105" t="n">
        <v>3</v>
      </c>
      <c r="Q105" t="n">
        <v>3032</v>
      </c>
      <c r="R105" t="n">
        <v>38</v>
      </c>
      <c r="S105" t="n">
        <v>34</v>
      </c>
      <c r="T105" t="n">
        <v>33.689</v>
      </c>
      <c r="U105" t="n">
        <v>79.8</v>
      </c>
      <c r="V105" t="n">
        <v>110</v>
      </c>
      <c r="W105" t="n">
        <v>3.265</v>
      </c>
      <c r="X105" t="n">
        <v>2</v>
      </c>
      <c r="Y105" t="n">
        <v>1</v>
      </c>
      <c r="Z105" t="n">
        <v>1</v>
      </c>
      <c r="AA105" t="n">
        <v>9</v>
      </c>
      <c r="AB105" t="n">
        <v>42</v>
      </c>
      <c r="AC105" t="n">
        <v>6</v>
      </c>
      <c r="AD105" t="n">
        <v>6</v>
      </c>
      <c r="AE105" t="n">
        <v>0</v>
      </c>
      <c r="AF105" t="n">
        <v>383</v>
      </c>
      <c r="AG105" t="n">
        <v>356</v>
      </c>
      <c r="AH105" t="n">
        <v>-27</v>
      </c>
      <c r="AI105" t="n">
        <v>110</v>
      </c>
      <c r="AJ105" t="n">
        <v>0.055</v>
      </c>
      <c r="AK105" t="n">
        <v>0.058</v>
      </c>
      <c r="AL105" t="n">
        <v>203</v>
      </c>
      <c r="AM105" t="n">
        <v>6.026</v>
      </c>
      <c r="AN105" t="n">
        <v>2</v>
      </c>
      <c r="AO105" t="n">
        <v>4</v>
      </c>
      <c r="AP105" t="n">
        <v>0.059</v>
      </c>
      <c r="AQ105" t="n">
        <v>0.059</v>
      </c>
      <c r="AR105" t="n">
        <v>0.029</v>
      </c>
      <c r="AS105" t="n">
        <v>0.895</v>
      </c>
      <c r="AT105" t="n">
        <v>0.842</v>
      </c>
      <c r="AU105" t="n">
        <v>26</v>
      </c>
      <c r="AV105" t="n">
        <v>2</v>
      </c>
      <c r="AW105" t="n">
        <v>3.07</v>
      </c>
      <c r="AX105" t="n">
        <v>11</v>
      </c>
      <c r="AY105" t="n">
        <v>2.27</v>
      </c>
      <c r="AZ105" t="n">
        <v>2.708</v>
      </c>
      <c r="BA105" t="n">
        <v>2.489</v>
      </c>
      <c r="BB105" t="n">
        <v>2.708</v>
      </c>
      <c r="BC105" t="n">
        <v>0.067</v>
      </c>
      <c r="BD105" t="n">
        <v>0.08</v>
      </c>
      <c r="BE105" t="n">
        <v>0.074</v>
      </c>
      <c r="BF105" t="n">
        <v>2.2</v>
      </c>
      <c r="BG105" t="n">
        <v>0.065</v>
      </c>
      <c r="BH105" t="n">
        <v>0.993</v>
      </c>
      <c r="BI105" t="n">
        <v>2.27</v>
      </c>
      <c r="BJ105" t="n">
        <v>2.255</v>
      </c>
      <c r="BK105" t="n">
        <v>0.067</v>
      </c>
      <c r="BL105" t="n">
        <v>-0.489</v>
      </c>
      <c r="BM105" t="n">
        <v>-0.07000000000000001</v>
      </c>
      <c r="BN105" t="n">
        <v>-0.2</v>
      </c>
      <c r="BO105" t="n">
        <v>-0.438</v>
      </c>
      <c r="BP105" t="n">
        <v>34</v>
      </c>
      <c r="BQ105" t="n">
        <v>7</v>
      </c>
      <c r="BR105" t="n">
        <v>4</v>
      </c>
      <c r="BS105" t="n">
        <v>47</v>
      </c>
      <c r="BT105" t="n">
        <v>1.395</v>
      </c>
      <c r="BW105" t="n">
        <v>2.05</v>
      </c>
      <c r="BX105" t="n">
        <v>2.084</v>
      </c>
      <c r="BY105" t="n">
        <v>2.067</v>
      </c>
      <c r="BZ105" t="n">
        <v>0.061</v>
      </c>
      <c r="CA105" t="n">
        <v>4.556</v>
      </c>
      <c r="CB105" t="n">
        <v>0.135</v>
      </c>
      <c r="CC105" t="n">
        <v>27</v>
      </c>
      <c r="CD105" t="n">
        <v>1</v>
      </c>
      <c r="CE105" t="n">
        <v>29</v>
      </c>
      <c r="CF105" t="n">
        <v>13</v>
      </c>
      <c r="CH105" t="n">
        <v>22</v>
      </c>
      <c r="CI105" t="n">
        <v>8.23</v>
      </c>
      <c r="CJ105" t="n">
        <v>4.202</v>
      </c>
      <c r="CK105" t="n">
        <v>135</v>
      </c>
      <c r="CL105" t="n">
        <v>102</v>
      </c>
      <c r="CM105" t="n">
        <v>68</v>
      </c>
      <c r="CN105" t="n">
        <v>47</v>
      </c>
      <c r="CO105" t="n">
        <v>25</v>
      </c>
      <c r="CP105" t="n">
        <v>99</v>
      </c>
      <c r="CQ105" t="n">
        <v>12</v>
      </c>
      <c r="CR105" t="n">
        <v>175</v>
      </c>
      <c r="CS105" t="n">
        <v>65</v>
      </c>
      <c r="CT105" t="n">
        <v>0.4</v>
      </c>
      <c r="CV105" t="n">
        <v>3</v>
      </c>
      <c r="CW105" t="n">
        <v>47.27</v>
      </c>
      <c r="CX105" t="n">
        <v>1.403</v>
      </c>
      <c r="CY105" t="n">
        <v>0</v>
      </c>
      <c r="DB105" t="n">
        <v>0</v>
      </c>
      <c r="DE105" t="n">
        <v>6.83</v>
      </c>
      <c r="DF105" t="n">
        <v>9</v>
      </c>
      <c r="DG105" t="n">
        <v>0</v>
      </c>
      <c r="DH105" t="n">
        <v>31</v>
      </c>
      <c r="DI105" t="n">
        <v>39</v>
      </c>
      <c r="DJ105" t="n">
        <v>0</v>
      </c>
      <c r="DK105" t="n">
        <v>1</v>
      </c>
      <c r="DL105" t="n">
        <v>5</v>
      </c>
      <c r="DM105" t="n">
        <v>9</v>
      </c>
      <c r="DN105" t="n">
        <v>1</v>
      </c>
      <c r="DO105" t="n">
        <v>5.1</v>
      </c>
      <c r="DP105" t="n">
        <v>104.6</v>
      </c>
      <c r="DQ105" t="n">
        <v>52.3</v>
      </c>
      <c r="DR105" t="n">
        <v>104.6</v>
      </c>
      <c r="DS105" t="n">
        <v>0</v>
      </c>
      <c r="DT105" t="n">
        <v>2668</v>
      </c>
      <c r="DU105" t="n">
        <v>70.2</v>
      </c>
      <c r="DV105" t="inlineStr">
        <is>
          <t>flat</t>
        </is>
      </c>
      <c r="DW105" t="n">
        <v>101.76</v>
      </c>
      <c r="DX105" t="n">
        <v>77</v>
      </c>
      <c r="DY105" t="n">
        <v>16.41</v>
      </c>
      <c r="DZ105" t="n">
        <v>41</v>
      </c>
      <c r="EA105" t="n">
        <v>119.2</v>
      </c>
      <c r="EB105" t="n">
        <v>27</v>
      </c>
      <c r="EC105" t="n">
        <v>13</v>
      </c>
      <c r="ED105" t="n">
        <v>3.6</v>
      </c>
      <c r="EE105" t="n">
        <v>398</v>
      </c>
      <c r="EF105" t="n">
        <v>89.2</v>
      </c>
      <c r="EG105" t="n">
        <v>64.5</v>
      </c>
      <c r="EH105" t="n">
        <v>104.6</v>
      </c>
      <c r="EI105" t="n">
        <v>1218.2</v>
      </c>
      <c r="EJ105" t="n">
        <v>1466.8</v>
      </c>
      <c r="EK105" t="n">
        <v>665.5</v>
      </c>
      <c r="EL105" t="n">
        <v>27.6</v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n">
        <v>5.5</v>
      </c>
      <c r="F106" t="b">
        <v>1</v>
      </c>
      <c r="G106" t="b">
        <v>1</v>
      </c>
      <c r="H106" t="n">
        <v>24.6</v>
      </c>
      <c r="I106" t="inlineStr">
        <is>
          <t>a</t>
        </is>
      </c>
      <c r="L106" t="inlineStr">
        <is>
          <t>p463981</t>
        </is>
      </c>
      <c r="M106" t="n">
        <v>60</v>
      </c>
      <c r="Q106" t="n">
        <v>2102</v>
      </c>
      <c r="R106" t="n">
        <v>29</v>
      </c>
      <c r="S106" t="n">
        <v>22</v>
      </c>
      <c r="T106" t="n">
        <v>23.356</v>
      </c>
      <c r="U106" t="n">
        <v>72.5</v>
      </c>
      <c r="V106" t="n">
        <v>110</v>
      </c>
      <c r="W106" t="n">
        <v>4.71</v>
      </c>
      <c r="X106" t="n">
        <v>0</v>
      </c>
      <c r="Y106" t="n">
        <v>3</v>
      </c>
      <c r="Z106" t="n">
        <v>3</v>
      </c>
      <c r="AA106" t="n">
        <v>8</v>
      </c>
      <c r="AB106" t="n">
        <v>24</v>
      </c>
      <c r="AC106" t="n">
        <v>4</v>
      </c>
      <c r="AD106" t="n">
        <v>3</v>
      </c>
      <c r="AE106" t="n">
        <v>-1</v>
      </c>
      <c r="AF106" t="n">
        <v>386</v>
      </c>
      <c r="AG106" t="n">
        <v>346</v>
      </c>
      <c r="AH106" t="n">
        <v>-40</v>
      </c>
      <c r="AI106" t="n">
        <v>109</v>
      </c>
      <c r="AJ106" t="n">
        <v>0.036</v>
      </c>
      <c r="AK106" t="n">
        <v>0.038</v>
      </c>
      <c r="AL106" t="n">
        <v>260</v>
      </c>
      <c r="AM106" t="n">
        <v>11.132</v>
      </c>
      <c r="AN106" t="n">
        <v>14</v>
      </c>
      <c r="AO106" t="n">
        <v>28</v>
      </c>
      <c r="AP106" t="n">
        <v>0.636</v>
      </c>
      <c r="AQ106" t="n">
        <v>0.636</v>
      </c>
      <c r="AR106" t="n">
        <v>0.409</v>
      </c>
      <c r="AS106" t="n">
        <v>0.579</v>
      </c>
      <c r="AT106" t="n">
        <v>0.793</v>
      </c>
      <c r="AU106" t="n">
        <v>12</v>
      </c>
      <c r="AV106" t="n">
        <v>1</v>
      </c>
      <c r="AW106" t="n">
        <v>3.03</v>
      </c>
      <c r="AX106" t="n">
        <v>10</v>
      </c>
      <c r="AY106" t="n">
        <v>0.89</v>
      </c>
      <c r="AZ106" t="n">
        <v>0.95</v>
      </c>
      <c r="BA106" t="n">
        <v>0.92</v>
      </c>
      <c r="BB106" t="n">
        <v>0.95</v>
      </c>
      <c r="BC106" t="n">
        <v>0.038</v>
      </c>
      <c r="BD106" t="n">
        <v>0.041</v>
      </c>
      <c r="BE106" t="n">
        <v>0.039</v>
      </c>
      <c r="BF106" t="n">
        <v>0.3</v>
      </c>
      <c r="BG106" t="n">
        <v>0.013</v>
      </c>
      <c r="BH106" t="n">
        <v>0.904</v>
      </c>
      <c r="BI106" t="n">
        <v>1.18</v>
      </c>
      <c r="BJ106" t="n">
        <v>0.805</v>
      </c>
      <c r="BK106" t="n">
        <v>0.034</v>
      </c>
      <c r="BL106" t="n">
        <v>-0.92</v>
      </c>
      <c r="BM106" t="n">
        <v>-0.59</v>
      </c>
      <c r="BN106" t="n">
        <v>-0.3</v>
      </c>
      <c r="BO106" t="n">
        <v>-0.06</v>
      </c>
      <c r="BP106" t="n">
        <v>12</v>
      </c>
      <c r="BQ106" t="n">
        <v>2</v>
      </c>
      <c r="BR106" t="n">
        <v>1</v>
      </c>
      <c r="BS106" t="n">
        <v>22</v>
      </c>
      <c r="BT106" t="n">
        <v>0.9419999999999999</v>
      </c>
      <c r="BW106" t="n">
        <v>1.16</v>
      </c>
      <c r="BX106" t="n">
        <v>1.429</v>
      </c>
      <c r="BY106" t="n">
        <v>1.295</v>
      </c>
      <c r="BZ106" t="n">
        <v>0.055</v>
      </c>
      <c r="CA106" t="n">
        <v>2.215</v>
      </c>
      <c r="CB106" t="n">
        <v>0.095</v>
      </c>
      <c r="CC106" t="n">
        <v>13</v>
      </c>
      <c r="CD106" t="n">
        <v>2</v>
      </c>
      <c r="CE106" t="n">
        <v>13</v>
      </c>
      <c r="CF106" t="n">
        <v>2</v>
      </c>
      <c r="CG106" t="n">
        <v>2</v>
      </c>
      <c r="CI106" t="n">
        <v>7.56</v>
      </c>
      <c r="CJ106" t="n">
        <v>7.176</v>
      </c>
      <c r="CK106" t="n">
        <v>221</v>
      </c>
      <c r="CL106" t="n">
        <v>74</v>
      </c>
      <c r="CM106" t="n">
        <v>39</v>
      </c>
      <c r="CN106" t="n">
        <v>20</v>
      </c>
      <c r="CO106" t="n">
        <v>39</v>
      </c>
      <c r="CP106" t="n">
        <v>168</v>
      </c>
      <c r="CQ106" t="n">
        <v>15</v>
      </c>
      <c r="CR106" t="n">
        <v>166</v>
      </c>
      <c r="CS106" t="n">
        <v>114</v>
      </c>
      <c r="CT106" t="n">
        <v>0</v>
      </c>
      <c r="CV106" t="n">
        <v>2</v>
      </c>
      <c r="CW106" t="n">
        <v>33.42</v>
      </c>
      <c r="CX106" t="n">
        <v>1.431</v>
      </c>
      <c r="CY106" t="n">
        <v>0</v>
      </c>
      <c r="DB106" t="n">
        <v>0</v>
      </c>
      <c r="DE106" t="n">
        <v>7.18</v>
      </c>
      <c r="DF106" t="n">
        <v>5</v>
      </c>
      <c r="DG106" t="n">
        <v>0</v>
      </c>
      <c r="DH106" t="n">
        <v>17</v>
      </c>
      <c r="DI106" t="n">
        <v>13</v>
      </c>
      <c r="DK106" t="n">
        <v>0</v>
      </c>
      <c r="DL106" t="n">
        <v>2</v>
      </c>
      <c r="DM106" t="n">
        <v>5</v>
      </c>
      <c r="DN106" t="n">
        <v>2</v>
      </c>
      <c r="DO106" t="n">
        <v>1.2</v>
      </c>
      <c r="DP106" t="n">
        <v>161.1</v>
      </c>
      <c r="DQ106" t="n">
        <v>80.55</v>
      </c>
      <c r="DR106" t="n">
        <v>161.1</v>
      </c>
      <c r="DS106" t="n">
        <v>0</v>
      </c>
      <c r="DT106" t="n">
        <v>3340</v>
      </c>
      <c r="DU106" t="n">
        <v>87.90000000000001</v>
      </c>
      <c r="DV106" t="inlineStr">
        <is>
          <t>flat</t>
        </is>
      </c>
      <c r="DW106" t="n">
        <v>79.84999999999999</v>
      </c>
      <c r="DX106" t="n">
        <v>79.65000000000001</v>
      </c>
      <c r="DY106" t="n">
        <v>17.69</v>
      </c>
      <c r="DZ106" t="n">
        <v>31.43</v>
      </c>
      <c r="EA106" t="n">
        <v>117.71</v>
      </c>
      <c r="EB106" t="n">
        <v>111</v>
      </c>
      <c r="EC106" t="n">
        <v>53.4</v>
      </c>
      <c r="ED106" t="n">
        <v>32.7</v>
      </c>
      <c r="EE106" t="n">
        <v>129</v>
      </c>
      <c r="EF106" t="n">
        <v>175.2</v>
      </c>
      <c r="EG106" t="n">
        <v>95.5</v>
      </c>
      <c r="EH106" t="n">
        <v>161.7</v>
      </c>
      <c r="EI106" t="n">
        <v>2284.5</v>
      </c>
      <c r="EJ106" t="n">
        <v>1623.7</v>
      </c>
      <c r="EK106" t="n">
        <v>949.1</v>
      </c>
      <c r="EL106" t="n">
        <v>19.1</v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n">
        <v>5.5</v>
      </c>
      <c r="F107" t="b">
        <v>1</v>
      </c>
      <c r="G107" t="b">
        <v>1</v>
      </c>
      <c r="H107" t="n">
        <v>24.8</v>
      </c>
      <c r="I107" t="inlineStr">
        <is>
          <t>a</t>
        </is>
      </c>
      <c r="L107" t="inlineStr">
        <is>
          <t>p486672</t>
        </is>
      </c>
      <c r="M107" t="n">
        <v>159</v>
      </c>
      <c r="Q107" t="n">
        <v>2796</v>
      </c>
      <c r="R107" t="n">
        <v>33</v>
      </c>
      <c r="S107" t="n">
        <v>32</v>
      </c>
      <c r="T107" t="n">
        <v>31.067</v>
      </c>
      <c r="U107" t="n">
        <v>84.7</v>
      </c>
      <c r="V107" t="n">
        <v>110</v>
      </c>
      <c r="W107" t="n">
        <v>3.541</v>
      </c>
      <c r="X107" t="n">
        <v>3</v>
      </c>
      <c r="Y107" t="n">
        <v>1</v>
      </c>
      <c r="Z107" t="n">
        <v>1</v>
      </c>
      <c r="AA107" t="n">
        <v>6</v>
      </c>
      <c r="AB107" t="n">
        <v>47</v>
      </c>
      <c r="AC107" t="n">
        <v>10</v>
      </c>
      <c r="AD107" t="n">
        <v>10</v>
      </c>
      <c r="AE107" t="n">
        <v>0</v>
      </c>
      <c r="AF107" t="n">
        <v>580</v>
      </c>
      <c r="AG107" t="n">
        <v>558</v>
      </c>
      <c r="AH107" t="n">
        <v>-22</v>
      </c>
      <c r="AI107" t="n">
        <v>110</v>
      </c>
      <c r="AJ107" t="n">
        <v>0.091</v>
      </c>
      <c r="AK107" t="n">
        <v>0.1</v>
      </c>
      <c r="AL107" t="n">
        <v>366</v>
      </c>
      <c r="AM107" t="n">
        <v>11.781</v>
      </c>
      <c r="AN107" t="n">
        <v>13</v>
      </c>
      <c r="AO107" t="n">
        <v>26</v>
      </c>
      <c r="AP107" t="n">
        <v>0.406</v>
      </c>
      <c r="AQ107" t="n">
        <v>0.625</v>
      </c>
      <c r="AR107" t="n">
        <v>0.406</v>
      </c>
      <c r="AS107" t="n">
        <v>0.842</v>
      </c>
      <c r="AT107" t="n">
        <v>0.9389999999999999</v>
      </c>
      <c r="AU107" t="n">
        <v>18</v>
      </c>
      <c r="AV107" t="n">
        <v>3</v>
      </c>
      <c r="AW107" t="n">
        <v>2.95</v>
      </c>
      <c r="AX107" t="n">
        <v>12</v>
      </c>
      <c r="AY107" t="n">
        <v>1.45</v>
      </c>
      <c r="AZ107" t="n">
        <v>1.531</v>
      </c>
      <c r="BA107" t="n">
        <v>1.49</v>
      </c>
      <c r="BB107" t="n">
        <v>1.531</v>
      </c>
      <c r="BC107" t="n">
        <v>0.047</v>
      </c>
      <c r="BD107" t="n">
        <v>0.049</v>
      </c>
      <c r="BE107" t="n">
        <v>0.048</v>
      </c>
      <c r="BF107" t="n">
        <v>1.5</v>
      </c>
      <c r="BG107" t="n">
        <v>0.048</v>
      </c>
      <c r="BH107" t="n">
        <v>0.972</v>
      </c>
      <c r="BI107" t="n">
        <v>4.35</v>
      </c>
      <c r="BJ107" t="n">
        <v>1.409</v>
      </c>
      <c r="BK107" t="n">
        <v>0.045</v>
      </c>
      <c r="BL107" t="n">
        <v>1.51</v>
      </c>
      <c r="BM107" t="n">
        <v>0.05</v>
      </c>
      <c r="BN107" t="n">
        <v>1.5</v>
      </c>
      <c r="BO107" t="n">
        <v>-0.081</v>
      </c>
      <c r="BP107" t="n">
        <v>27</v>
      </c>
      <c r="BQ107" t="n">
        <v>7</v>
      </c>
      <c r="BR107" t="n">
        <v>1</v>
      </c>
      <c r="BS107" t="n">
        <v>16</v>
      </c>
      <c r="BT107" t="n">
        <v>0.515</v>
      </c>
      <c r="BW107" t="n">
        <v>2.38</v>
      </c>
      <c r="BX107" t="n">
        <v>2.627</v>
      </c>
      <c r="BY107" t="n">
        <v>2.503</v>
      </c>
      <c r="BZ107" t="n">
        <v>0.081</v>
      </c>
      <c r="CA107" t="n">
        <v>3.994</v>
      </c>
      <c r="CB107" t="n">
        <v>0.129</v>
      </c>
      <c r="CC107" t="n">
        <v>18</v>
      </c>
      <c r="CD107" t="n">
        <v>4</v>
      </c>
      <c r="CE107" t="n">
        <v>18</v>
      </c>
      <c r="CF107" t="n">
        <v>2</v>
      </c>
      <c r="CG107" t="n">
        <v>3</v>
      </c>
      <c r="CH107" t="n">
        <v>0</v>
      </c>
      <c r="CI107" t="n">
        <v>17.209</v>
      </c>
      <c r="CJ107" t="n">
        <v>15.36</v>
      </c>
      <c r="CK107" t="n">
        <v>102</v>
      </c>
      <c r="CL107" t="n">
        <v>177</v>
      </c>
      <c r="CM107" t="n">
        <v>87</v>
      </c>
      <c r="CN107" t="n">
        <v>46</v>
      </c>
      <c r="CO107" t="n">
        <v>59</v>
      </c>
      <c r="CP107" t="n">
        <v>28</v>
      </c>
      <c r="CQ107" t="n">
        <v>15</v>
      </c>
      <c r="CR107" t="n">
        <v>172</v>
      </c>
      <c r="CS107" t="n">
        <v>15</v>
      </c>
      <c r="CT107" t="n">
        <v>0.3</v>
      </c>
      <c r="CU107" t="n">
        <v>1</v>
      </c>
      <c r="CV107" t="n">
        <v>3</v>
      </c>
      <c r="CW107" t="n">
        <v>42.54</v>
      </c>
      <c r="CX107" t="n">
        <v>1.369</v>
      </c>
      <c r="CY107" t="n">
        <v>0</v>
      </c>
      <c r="DB107" t="n">
        <v>0</v>
      </c>
      <c r="DE107" t="n">
        <v>7.1</v>
      </c>
      <c r="DF107" t="n">
        <v>11</v>
      </c>
      <c r="DG107" t="n">
        <v>1</v>
      </c>
      <c r="DH107" t="n">
        <v>54</v>
      </c>
      <c r="DI107" t="n">
        <v>55</v>
      </c>
      <c r="DK107" t="n">
        <v>1</v>
      </c>
      <c r="DL107" t="n">
        <v>15</v>
      </c>
      <c r="DM107" t="n">
        <v>19</v>
      </c>
      <c r="DO107" t="n">
        <v>4.1</v>
      </c>
      <c r="DP107" t="n">
        <v>127.43</v>
      </c>
      <c r="DQ107" t="n">
        <v>63.73</v>
      </c>
      <c r="DR107" t="n">
        <v>127.46</v>
      </c>
      <c r="DS107" t="n">
        <v>-0.03</v>
      </c>
      <c r="DT107" t="n">
        <v>3089</v>
      </c>
      <c r="DU107" t="n">
        <v>81.3</v>
      </c>
      <c r="DV107" t="inlineStr">
        <is>
          <t>flat</t>
        </is>
      </c>
      <c r="DW107" t="n">
        <v>70.63</v>
      </c>
      <c r="DX107" t="n">
        <v>75.20999999999999</v>
      </c>
      <c r="DY107" t="n">
        <v>21.28</v>
      </c>
      <c r="DZ107" t="n">
        <v>32</v>
      </c>
      <c r="EA107" t="n">
        <v>119</v>
      </c>
      <c r="EB107" t="n">
        <v>77</v>
      </c>
      <c r="EC107" t="n">
        <v>37</v>
      </c>
      <c r="ED107" t="n">
        <v>4.9</v>
      </c>
      <c r="EE107" t="n">
        <v>130</v>
      </c>
      <c r="EF107" t="n">
        <v>103.6</v>
      </c>
      <c r="EG107" t="n">
        <v>174.8</v>
      </c>
      <c r="EH107" t="n">
        <v>155.3</v>
      </c>
      <c r="EI107" t="n">
        <v>1875.9</v>
      </c>
      <c r="EJ107" t="n">
        <v>1116.9</v>
      </c>
      <c r="EK107" t="n">
        <v>700.1</v>
      </c>
      <c r="EL107" t="n">
        <v>25.4</v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n">
        <v>5</v>
      </c>
      <c r="F108" t="b">
        <v>1</v>
      </c>
      <c r="G108" t="b">
        <v>1</v>
      </c>
      <c r="H108" t="n">
        <v>24.1</v>
      </c>
      <c r="I108" t="inlineStr">
        <is>
          <t>a</t>
        </is>
      </c>
      <c r="L108" t="inlineStr">
        <is>
          <t>p465247</t>
        </is>
      </c>
      <c r="M108" t="n">
        <v>412</v>
      </c>
      <c r="Q108" t="n">
        <v>2880</v>
      </c>
      <c r="R108" t="n">
        <v>32</v>
      </c>
      <c r="S108" t="n">
        <v>32</v>
      </c>
      <c r="T108" t="n">
        <v>32</v>
      </c>
      <c r="U108" t="n">
        <v>90</v>
      </c>
      <c r="V108" t="n">
        <v>109</v>
      </c>
      <c r="W108" t="n">
        <v>3.406</v>
      </c>
      <c r="X108" t="n">
        <v>0</v>
      </c>
      <c r="Y108" t="n">
        <v>0</v>
      </c>
      <c r="AA108" t="n">
        <v>8</v>
      </c>
      <c r="AB108" t="n">
        <v>39</v>
      </c>
      <c r="AC108" t="n">
        <v>11</v>
      </c>
      <c r="AD108" t="n">
        <v>11</v>
      </c>
      <c r="AE108" t="n">
        <v>0</v>
      </c>
      <c r="AF108" t="n">
        <v>413</v>
      </c>
      <c r="AG108" t="n">
        <v>409</v>
      </c>
      <c r="AH108" t="n">
        <v>-4</v>
      </c>
      <c r="AI108" t="n">
        <v>109</v>
      </c>
      <c r="AJ108" t="n">
        <v>0.101</v>
      </c>
      <c r="AK108" t="n">
        <v>0.112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0.842</v>
      </c>
      <c r="AT108" t="n">
        <v>1</v>
      </c>
      <c r="AU108" t="n">
        <v>21</v>
      </c>
      <c r="AV108" t="n">
        <v>1</v>
      </c>
      <c r="AW108" t="n">
        <v>2.9</v>
      </c>
      <c r="AX108" t="n">
        <v>10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H108" t="n">
        <v>1</v>
      </c>
      <c r="BI108" t="n">
        <v>0</v>
      </c>
      <c r="BJ108" t="n">
        <v>0</v>
      </c>
      <c r="BK108" t="n">
        <v>0</v>
      </c>
      <c r="BL108" t="n">
        <v>0</v>
      </c>
      <c r="BO108" t="n">
        <v>0</v>
      </c>
      <c r="BS108" t="n">
        <v>1</v>
      </c>
      <c r="BT108" t="n">
        <v>0.031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I108" t="n">
        <v>5</v>
      </c>
      <c r="CJ108" t="n">
        <v>5</v>
      </c>
      <c r="CK108" t="n">
        <v>26</v>
      </c>
      <c r="CL108" t="n">
        <v>224</v>
      </c>
      <c r="CM108" t="n">
        <v>1</v>
      </c>
      <c r="CN108" t="n">
        <v>1</v>
      </c>
      <c r="CP108" t="n">
        <v>26</v>
      </c>
      <c r="CR108" t="n">
        <v>11</v>
      </c>
      <c r="CS108" t="n">
        <v>7</v>
      </c>
      <c r="CU108" t="n">
        <v>1</v>
      </c>
      <c r="CW108" t="n">
        <v>39.25</v>
      </c>
      <c r="CX108" t="n">
        <v>1.227</v>
      </c>
      <c r="CY108" t="n">
        <v>79</v>
      </c>
      <c r="CZ108" t="n">
        <v>66.90000000000001</v>
      </c>
      <c r="DA108" t="n">
        <v>4.4</v>
      </c>
      <c r="DB108" t="n">
        <v>0</v>
      </c>
      <c r="DC108" t="n">
        <v>33</v>
      </c>
      <c r="DD108" t="n">
        <v>14</v>
      </c>
      <c r="DE108" t="n">
        <v>7.11</v>
      </c>
      <c r="DF108" t="n">
        <v>0</v>
      </c>
      <c r="DG108" t="n">
        <v>0</v>
      </c>
      <c r="DI108" t="n">
        <v>4</v>
      </c>
      <c r="DO108" t="n">
        <v>19.5</v>
      </c>
      <c r="DP108" t="n">
        <v>128.7</v>
      </c>
      <c r="DQ108" t="n">
        <v>64.34999999999999</v>
      </c>
      <c r="DR108" t="n">
        <v>128.7</v>
      </c>
      <c r="DS108" t="n">
        <v>0</v>
      </c>
      <c r="DT108" t="n">
        <v>3385</v>
      </c>
      <c r="DU108" t="n">
        <v>89.09</v>
      </c>
      <c r="DV108" t="inlineStr">
        <is>
          <t>flat</t>
        </is>
      </c>
      <c r="DW108" t="n">
        <v>66.64</v>
      </c>
      <c r="DX108" t="n">
        <v>75.84999999999999</v>
      </c>
      <c r="DY108" t="n">
        <v>26.77</v>
      </c>
      <c r="DZ108" t="n">
        <v>4</v>
      </c>
      <c r="EA108" t="n">
        <v>120</v>
      </c>
      <c r="EB108" t="n">
        <v>191</v>
      </c>
      <c r="EC108" t="n">
        <v>91.8</v>
      </c>
      <c r="ED108" t="n">
        <v>9.9</v>
      </c>
      <c r="EE108" t="n">
        <v>240</v>
      </c>
      <c r="EG108" t="n">
        <v>2880</v>
      </c>
      <c r="EL108" t="n">
        <v>26.4</v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n">
        <v>4.5</v>
      </c>
      <c r="F109" t="b">
        <v>1</v>
      </c>
      <c r="G109" t="b">
        <v>1</v>
      </c>
      <c r="H109" t="n">
        <v>28.8</v>
      </c>
      <c r="I109" t="inlineStr">
        <is>
          <t>a</t>
        </is>
      </c>
      <c r="L109" t="inlineStr">
        <is>
          <t>p214225</t>
        </is>
      </c>
      <c r="M109" t="n">
        <v>329</v>
      </c>
      <c r="Q109" t="n">
        <v>2952</v>
      </c>
      <c r="R109" t="n">
        <v>35</v>
      </c>
      <c r="S109" t="n">
        <v>33</v>
      </c>
      <c r="T109" t="n">
        <v>32.8</v>
      </c>
      <c r="U109" t="n">
        <v>84.3</v>
      </c>
      <c r="V109" t="n">
        <v>109</v>
      </c>
      <c r="W109" t="n">
        <v>3.323</v>
      </c>
      <c r="X109" t="n">
        <v>2</v>
      </c>
      <c r="Y109" t="n">
        <v>0</v>
      </c>
      <c r="AA109" t="n">
        <v>6</v>
      </c>
      <c r="AB109" t="n">
        <v>53</v>
      </c>
      <c r="AC109" t="n">
        <v>5</v>
      </c>
      <c r="AD109" t="n">
        <v>4</v>
      </c>
      <c r="AE109" t="n">
        <v>-1</v>
      </c>
      <c r="AF109" t="n">
        <v>373</v>
      </c>
      <c r="AG109" t="n">
        <v>330</v>
      </c>
      <c r="AH109" t="n">
        <v>-43</v>
      </c>
      <c r="AI109" t="n">
        <v>108</v>
      </c>
      <c r="AJ109" t="n">
        <v>0.046</v>
      </c>
      <c r="AK109" t="n">
        <v>0.048</v>
      </c>
      <c r="AL109" t="n">
        <v>274</v>
      </c>
      <c r="AM109" t="n">
        <v>8.353999999999999</v>
      </c>
      <c r="AN109" t="n">
        <v>10</v>
      </c>
      <c r="AO109" t="n">
        <v>20</v>
      </c>
      <c r="AP109" t="n">
        <v>0.303</v>
      </c>
      <c r="AQ109" t="n">
        <v>0.303</v>
      </c>
      <c r="AR109" t="n">
        <v>0.152</v>
      </c>
      <c r="AS109" t="n">
        <v>0.868</v>
      </c>
      <c r="AT109" t="n">
        <v>0.914</v>
      </c>
      <c r="AU109" t="n">
        <v>21</v>
      </c>
      <c r="AV109" t="n">
        <v>1</v>
      </c>
      <c r="AW109" t="n">
        <v>2.85</v>
      </c>
      <c r="AX109" t="n">
        <v>13</v>
      </c>
      <c r="AY109" t="n">
        <v>1.4</v>
      </c>
      <c r="AZ109" t="n">
        <v>1.846</v>
      </c>
      <c r="BA109" t="n">
        <v>1.623</v>
      </c>
      <c r="BB109" t="n">
        <v>1.846</v>
      </c>
      <c r="BC109" t="n">
        <v>0.043</v>
      </c>
      <c r="BD109" t="n">
        <v>0.056</v>
      </c>
      <c r="BE109" t="n">
        <v>0.049</v>
      </c>
      <c r="BF109" t="n">
        <v>2.5</v>
      </c>
      <c r="BG109" t="n">
        <v>0.076</v>
      </c>
      <c r="BH109" t="n">
        <v>1.117</v>
      </c>
      <c r="BI109" t="n">
        <v>1.4</v>
      </c>
      <c r="BJ109" t="n">
        <v>1.564</v>
      </c>
      <c r="BK109" t="n">
        <v>0.048</v>
      </c>
      <c r="BL109" t="n">
        <v>0.377</v>
      </c>
      <c r="BM109" t="n">
        <v>1.1</v>
      </c>
      <c r="BN109" t="n">
        <v>-0.5</v>
      </c>
      <c r="BO109" t="n">
        <v>-0.446</v>
      </c>
      <c r="BP109" t="n">
        <v>18</v>
      </c>
      <c r="BQ109" t="n">
        <v>7</v>
      </c>
      <c r="BR109" t="n">
        <v>1</v>
      </c>
      <c r="BS109" t="n">
        <v>46</v>
      </c>
      <c r="BT109" t="n">
        <v>1.402</v>
      </c>
      <c r="BV109" t="n">
        <v>2</v>
      </c>
      <c r="BW109" t="n">
        <v>0.5600000000000001</v>
      </c>
      <c r="BX109" t="n">
        <v>0.461</v>
      </c>
      <c r="BY109" t="n">
        <v>0.511</v>
      </c>
      <c r="BZ109" t="n">
        <v>0.016</v>
      </c>
      <c r="CA109" t="n">
        <v>2.134</v>
      </c>
      <c r="CB109" t="n">
        <v>0.065</v>
      </c>
      <c r="CC109" t="n">
        <v>9</v>
      </c>
      <c r="CD109" t="n">
        <v>1</v>
      </c>
      <c r="CE109" t="n">
        <v>9</v>
      </c>
      <c r="CF109" t="n">
        <v>3</v>
      </c>
      <c r="CI109" t="n">
        <v>6.243</v>
      </c>
      <c r="CJ109" t="n">
        <v>5.8</v>
      </c>
      <c r="CK109" t="n">
        <v>237</v>
      </c>
      <c r="CL109" t="n">
        <v>85</v>
      </c>
      <c r="CM109" t="n">
        <v>37</v>
      </c>
      <c r="CN109" t="n">
        <v>20</v>
      </c>
      <c r="CO109" t="n">
        <v>29</v>
      </c>
      <c r="CP109" t="n">
        <v>185</v>
      </c>
      <c r="CQ109" t="n">
        <v>22</v>
      </c>
      <c r="CR109" t="n">
        <v>140</v>
      </c>
      <c r="CS109" t="n">
        <v>85</v>
      </c>
      <c r="CT109" t="n">
        <v>0</v>
      </c>
      <c r="CU109" t="n">
        <v>1</v>
      </c>
      <c r="CV109" t="n">
        <v>2</v>
      </c>
      <c r="CW109" t="n">
        <v>48.54</v>
      </c>
      <c r="CX109" t="n">
        <v>1.48</v>
      </c>
      <c r="CY109" t="n">
        <v>0</v>
      </c>
      <c r="DB109" t="n">
        <v>0</v>
      </c>
      <c r="DE109" t="n">
        <v>6.7</v>
      </c>
      <c r="DF109" t="n">
        <v>3</v>
      </c>
      <c r="DG109" t="n">
        <v>0</v>
      </c>
      <c r="DH109" t="n">
        <v>17</v>
      </c>
      <c r="DI109" t="n">
        <v>19</v>
      </c>
      <c r="DL109" t="n">
        <v>1</v>
      </c>
      <c r="DM109" t="n">
        <v>6</v>
      </c>
      <c r="DN109" t="n">
        <v>1</v>
      </c>
      <c r="DO109" t="n">
        <v>2</v>
      </c>
      <c r="DP109" t="n">
        <v>124.62</v>
      </c>
      <c r="DQ109" t="n">
        <v>62.31</v>
      </c>
      <c r="DR109" t="n">
        <v>124.62</v>
      </c>
      <c r="DS109" t="n">
        <v>0</v>
      </c>
      <c r="DT109" t="n">
        <v>3272</v>
      </c>
      <c r="DU109" t="n">
        <v>86.09999999999999</v>
      </c>
      <c r="DV109" t="inlineStr">
        <is>
          <t>flat</t>
        </is>
      </c>
      <c r="DW109" t="n">
        <v>102.13</v>
      </c>
      <c r="DY109" t="n">
        <v>10.46</v>
      </c>
      <c r="DZ109" t="n">
        <v>86</v>
      </c>
      <c r="EA109" t="n">
        <v>117.82</v>
      </c>
      <c r="EB109" t="n">
        <v>22</v>
      </c>
      <c r="EC109" t="n">
        <v>10.6</v>
      </c>
      <c r="ED109" t="n">
        <v>4.3</v>
      </c>
      <c r="EE109" t="n">
        <v>399</v>
      </c>
      <c r="EF109" t="n">
        <v>164</v>
      </c>
      <c r="EG109" t="n">
        <v>64.2</v>
      </c>
      <c r="EH109" t="n">
        <v>328</v>
      </c>
      <c r="EI109" t="n">
        <v>1818.8</v>
      </c>
      <c r="EJ109" t="n">
        <v>5779.9</v>
      </c>
      <c r="EK109" t="n">
        <v>1383.5</v>
      </c>
      <c r="EL109" t="n">
        <v>27.1</v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n">
        <v>6</v>
      </c>
      <c r="F110" t="b">
        <v>1</v>
      </c>
      <c r="G110" t="b">
        <v>1</v>
      </c>
      <c r="H110" t="n">
        <v>26.2</v>
      </c>
      <c r="I110" t="inlineStr">
        <is>
          <t>a</t>
        </is>
      </c>
      <c r="L110" t="inlineStr">
        <is>
          <t>p435997</t>
        </is>
      </c>
      <c r="M110" t="n">
        <v>336</v>
      </c>
      <c r="Q110" t="n">
        <v>1553</v>
      </c>
      <c r="R110" t="n">
        <v>28</v>
      </c>
      <c r="S110" t="n">
        <v>19</v>
      </c>
      <c r="T110" t="n">
        <v>17.256</v>
      </c>
      <c r="U110" t="n">
        <v>55.5</v>
      </c>
      <c r="V110" t="n">
        <v>109</v>
      </c>
      <c r="W110" t="n">
        <v>6.317</v>
      </c>
      <c r="X110" t="n">
        <v>8</v>
      </c>
      <c r="Y110" t="n">
        <v>3</v>
      </c>
      <c r="Z110" t="n">
        <v>1</v>
      </c>
      <c r="AA110" t="n">
        <v>6</v>
      </c>
      <c r="AB110" t="n">
        <v>26</v>
      </c>
      <c r="AC110" t="n">
        <v>11</v>
      </c>
      <c r="AD110" t="n">
        <v>12</v>
      </c>
      <c r="AE110" t="n">
        <v>1</v>
      </c>
      <c r="AF110" t="n">
        <v>354</v>
      </c>
      <c r="AG110" t="n">
        <v>352</v>
      </c>
      <c r="AH110" t="n">
        <v>-2</v>
      </c>
      <c r="AI110" t="n">
        <v>110</v>
      </c>
      <c r="AJ110" t="n">
        <v>0.101</v>
      </c>
      <c r="AK110" t="n">
        <v>0.112</v>
      </c>
      <c r="AL110" t="n">
        <v>113</v>
      </c>
      <c r="AM110" t="n">
        <v>6.549</v>
      </c>
      <c r="AN110" t="n">
        <v>0</v>
      </c>
      <c r="AO110" t="n">
        <v>0</v>
      </c>
      <c r="AP110" t="n">
        <v>0</v>
      </c>
      <c r="AQ110" t="n">
        <v>0.105</v>
      </c>
      <c r="AR110" t="n">
        <v>0</v>
      </c>
      <c r="AS110" t="n">
        <v>0.5</v>
      </c>
      <c r="AT110" t="n">
        <v>0.643</v>
      </c>
      <c r="AU110" t="n">
        <v>17</v>
      </c>
      <c r="AV110" t="n">
        <v>3</v>
      </c>
      <c r="AW110" t="n">
        <v>3.76</v>
      </c>
      <c r="AX110" t="n">
        <v>15</v>
      </c>
      <c r="AY110" t="n">
        <v>5.25</v>
      </c>
      <c r="AZ110" t="n">
        <v>6.297</v>
      </c>
      <c r="BA110" t="n">
        <v>5.773</v>
      </c>
      <c r="BB110" t="n">
        <v>6.297</v>
      </c>
      <c r="BC110" t="n">
        <v>0.304</v>
      </c>
      <c r="BD110" t="n">
        <v>0.365</v>
      </c>
      <c r="BE110" t="n">
        <v>0.335</v>
      </c>
      <c r="BF110" t="n">
        <v>7</v>
      </c>
      <c r="BG110" t="n">
        <v>0.406</v>
      </c>
      <c r="BH110" t="n">
        <v>1.132</v>
      </c>
      <c r="BI110" t="n">
        <v>5.25</v>
      </c>
      <c r="BJ110" t="n">
        <v>5.943</v>
      </c>
      <c r="BK110" t="n">
        <v>0.344</v>
      </c>
      <c r="BL110" t="n">
        <v>2.227</v>
      </c>
      <c r="BM110" t="n">
        <v>1.75</v>
      </c>
      <c r="BN110" t="n">
        <v>1</v>
      </c>
      <c r="BO110" t="n">
        <v>-1.047</v>
      </c>
      <c r="BP110" t="n">
        <v>35</v>
      </c>
      <c r="BQ110" t="n">
        <v>15</v>
      </c>
      <c r="BR110" t="n">
        <v>4</v>
      </c>
      <c r="BS110" t="n">
        <v>77</v>
      </c>
      <c r="BT110" t="n">
        <v>4.462</v>
      </c>
      <c r="BW110" t="n">
        <v>1.32</v>
      </c>
      <c r="BX110" t="n">
        <v>2.259</v>
      </c>
      <c r="BY110" t="n">
        <v>1.79</v>
      </c>
      <c r="BZ110" t="n">
        <v>0.104</v>
      </c>
      <c r="CA110" t="n">
        <v>7.563</v>
      </c>
      <c r="CB110" t="n">
        <v>0.438</v>
      </c>
      <c r="CC110" t="n">
        <v>19</v>
      </c>
      <c r="CD110" t="n">
        <v>4</v>
      </c>
      <c r="CE110" t="n">
        <v>20</v>
      </c>
      <c r="CF110" t="n">
        <v>7</v>
      </c>
      <c r="CI110" t="n">
        <v>10.916</v>
      </c>
      <c r="CJ110" t="n">
        <v>3.822</v>
      </c>
      <c r="CK110" t="n">
        <v>29</v>
      </c>
      <c r="CL110" t="n">
        <v>61</v>
      </c>
      <c r="CM110" t="n">
        <v>23</v>
      </c>
      <c r="CN110" t="n">
        <v>15</v>
      </c>
      <c r="CO110" t="n">
        <v>12</v>
      </c>
      <c r="CP110" t="n">
        <v>16</v>
      </c>
      <c r="CQ110" t="n">
        <v>1</v>
      </c>
      <c r="CR110" t="n">
        <v>88</v>
      </c>
      <c r="CS110" t="n">
        <v>12</v>
      </c>
      <c r="CT110" t="n">
        <v>0.6</v>
      </c>
      <c r="CW110" t="n">
        <v>24.54</v>
      </c>
      <c r="CX110" t="n">
        <v>1.422</v>
      </c>
      <c r="CY110" t="n">
        <v>0</v>
      </c>
      <c r="DB110" t="n">
        <v>0</v>
      </c>
      <c r="DE110" t="n">
        <v>6.94</v>
      </c>
      <c r="DF110" t="n">
        <v>3</v>
      </c>
      <c r="DG110" t="n">
        <v>0</v>
      </c>
      <c r="DH110" t="n">
        <v>18</v>
      </c>
      <c r="DI110" t="n">
        <v>14</v>
      </c>
      <c r="DL110" t="n">
        <v>39</v>
      </c>
      <c r="DM110" t="n">
        <v>31</v>
      </c>
      <c r="DO110" t="n">
        <v>0.7</v>
      </c>
      <c r="DP110" t="n">
        <v>115.39</v>
      </c>
      <c r="DQ110" t="n">
        <v>57.76</v>
      </c>
      <c r="DR110" t="n">
        <v>115.52</v>
      </c>
      <c r="DS110" t="n">
        <v>-0.13</v>
      </c>
      <c r="DT110" t="n">
        <v>2229</v>
      </c>
      <c r="DU110" t="n">
        <v>58.65</v>
      </c>
      <c r="DV110" t="inlineStr">
        <is>
          <t>flat</t>
        </is>
      </c>
      <c r="DW110" t="n">
        <v>85.77</v>
      </c>
      <c r="DX110" t="n">
        <v>101.43</v>
      </c>
      <c r="DY110" t="n">
        <v>19.71</v>
      </c>
      <c r="DZ110" t="n">
        <v>43.43</v>
      </c>
      <c r="EA110" t="n">
        <v>119</v>
      </c>
      <c r="EB110" t="n">
        <v>38</v>
      </c>
      <c r="EC110" t="n">
        <v>18.3</v>
      </c>
      <c r="ED110" t="n">
        <v>11.6</v>
      </c>
      <c r="EE110" t="n">
        <v>78</v>
      </c>
      <c r="EF110" t="n">
        <v>44.4</v>
      </c>
      <c r="EG110" t="n">
        <v>20.2</v>
      </c>
      <c r="EH110" t="n">
        <v>77.59999999999999</v>
      </c>
      <c r="EI110" t="n">
        <v>269</v>
      </c>
      <c r="EJ110" t="n">
        <v>867.8</v>
      </c>
      <c r="EK110" t="n">
        <v>205.3</v>
      </c>
      <c r="EL110" t="n">
        <v>14.2</v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n">
        <v>5.5</v>
      </c>
      <c r="F111" t="b">
        <v>1</v>
      </c>
      <c r="G111" t="b">
        <v>1</v>
      </c>
      <c r="H111" t="n">
        <v>24.3</v>
      </c>
      <c r="I111" t="inlineStr">
        <is>
          <t>a</t>
        </is>
      </c>
      <c r="L111" t="inlineStr">
        <is>
          <t>p466075</t>
        </is>
      </c>
      <c r="M111" t="n">
        <v>8</v>
      </c>
      <c r="Q111" t="n">
        <v>1697</v>
      </c>
      <c r="R111" t="n">
        <v>26</v>
      </c>
      <c r="S111" t="n">
        <v>22</v>
      </c>
      <c r="T111" t="n">
        <v>18.856</v>
      </c>
      <c r="U111" t="n">
        <v>65.3</v>
      </c>
      <c r="V111" t="n">
        <v>109</v>
      </c>
      <c r="W111" t="n">
        <v>5.781</v>
      </c>
      <c r="X111" t="n">
        <v>1</v>
      </c>
      <c r="Y111" t="n">
        <v>2</v>
      </c>
      <c r="Z111" t="n">
        <v>2</v>
      </c>
      <c r="AA111" t="n">
        <v>13</v>
      </c>
      <c r="AB111" t="n">
        <v>8</v>
      </c>
      <c r="AC111" t="n">
        <v>6</v>
      </c>
      <c r="AD111" t="n">
        <v>6</v>
      </c>
      <c r="AE111" t="n">
        <v>0</v>
      </c>
      <c r="AF111" t="n">
        <v>389</v>
      </c>
      <c r="AG111" t="n">
        <v>377</v>
      </c>
      <c r="AH111" t="n">
        <v>-12</v>
      </c>
      <c r="AI111" t="n">
        <v>109</v>
      </c>
      <c r="AJ111" t="n">
        <v>0.055</v>
      </c>
      <c r="AK111" t="n">
        <v>0.058</v>
      </c>
      <c r="AL111" t="n">
        <v>102</v>
      </c>
      <c r="AM111" t="n">
        <v>5.41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0.579</v>
      </c>
      <c r="AT111" t="n">
        <v>0.731</v>
      </c>
      <c r="AU111" t="n">
        <v>13</v>
      </c>
      <c r="AV111" t="n">
        <v>2</v>
      </c>
      <c r="AW111" t="n">
        <v>3.57</v>
      </c>
      <c r="AX111" t="n">
        <v>13</v>
      </c>
      <c r="AY111" t="n">
        <v>3.36</v>
      </c>
      <c r="AZ111" t="n">
        <v>3.47</v>
      </c>
      <c r="BA111" t="n">
        <v>3.415</v>
      </c>
      <c r="BB111" t="n">
        <v>3.47</v>
      </c>
      <c r="BC111" t="n">
        <v>0.178</v>
      </c>
      <c r="BD111" t="n">
        <v>0.184</v>
      </c>
      <c r="BE111" t="n">
        <v>0.181</v>
      </c>
      <c r="BF111" t="n">
        <v>2.3</v>
      </c>
      <c r="BG111" t="n">
        <v>0.122</v>
      </c>
      <c r="BH111" t="n">
        <v>0.998</v>
      </c>
      <c r="BI111" t="n">
        <v>4.22</v>
      </c>
      <c r="BJ111" t="n">
        <v>3.355</v>
      </c>
      <c r="BK111" t="n">
        <v>0.178</v>
      </c>
      <c r="BL111" t="n">
        <v>-2.415</v>
      </c>
      <c r="BM111" t="n">
        <v>-1.06</v>
      </c>
      <c r="BN111" t="n">
        <v>-1.3</v>
      </c>
      <c r="BO111" t="n">
        <v>-0.11</v>
      </c>
      <c r="BP111" t="n">
        <v>32</v>
      </c>
      <c r="BQ111" t="n">
        <v>8</v>
      </c>
      <c r="BR111" t="n">
        <v>3</v>
      </c>
      <c r="BS111" t="n">
        <v>56</v>
      </c>
      <c r="BT111" t="n">
        <v>2.97</v>
      </c>
      <c r="BV111" t="n">
        <v>1</v>
      </c>
      <c r="BW111" t="n">
        <v>0.76</v>
      </c>
      <c r="BX111" t="n">
        <v>0.648</v>
      </c>
      <c r="BY111" t="n">
        <v>0.704</v>
      </c>
      <c r="BZ111" t="n">
        <v>0.037</v>
      </c>
      <c r="CA111" t="n">
        <v>4.119</v>
      </c>
      <c r="CB111" t="n">
        <v>0.218</v>
      </c>
      <c r="CC111" t="n">
        <v>9</v>
      </c>
      <c r="CE111" t="n">
        <v>9</v>
      </c>
      <c r="CF111" t="n">
        <v>3</v>
      </c>
      <c r="CI111" t="n">
        <v>8.157999999999999</v>
      </c>
      <c r="CJ111" t="n">
        <v>6.558</v>
      </c>
      <c r="CK111" t="n">
        <v>70</v>
      </c>
      <c r="CL111" t="n">
        <v>74</v>
      </c>
      <c r="CM111" t="n">
        <v>32</v>
      </c>
      <c r="CN111" t="n">
        <v>19</v>
      </c>
      <c r="CO111" t="n">
        <v>15</v>
      </c>
      <c r="CP111" t="n">
        <v>50</v>
      </c>
      <c r="CQ111" t="n">
        <v>5</v>
      </c>
      <c r="CR111" t="n">
        <v>104</v>
      </c>
      <c r="CS111" t="n">
        <v>48</v>
      </c>
      <c r="CT111" t="n">
        <v>0.3</v>
      </c>
      <c r="CV111" t="n">
        <v>1</v>
      </c>
      <c r="CW111" t="n">
        <v>9.720000000000001</v>
      </c>
      <c r="CX111" t="n">
        <v>0.515</v>
      </c>
      <c r="CY111" t="n">
        <v>0</v>
      </c>
      <c r="DB111" t="n">
        <v>0</v>
      </c>
      <c r="DE111" t="n">
        <v>7.15</v>
      </c>
      <c r="DF111" t="n">
        <v>5</v>
      </c>
      <c r="DG111" t="n">
        <v>0</v>
      </c>
      <c r="DH111" t="n">
        <v>26</v>
      </c>
      <c r="DI111" t="n">
        <v>10</v>
      </c>
      <c r="DL111" t="n">
        <v>16</v>
      </c>
      <c r="DM111" t="n">
        <v>10</v>
      </c>
      <c r="DN111" t="n">
        <v>4</v>
      </c>
      <c r="DO111" t="n">
        <v>18</v>
      </c>
      <c r="DP111" t="n">
        <v>123.66</v>
      </c>
      <c r="DQ111" t="n">
        <v>62.14</v>
      </c>
      <c r="DR111" t="n">
        <v>124.28</v>
      </c>
      <c r="DS111" t="n">
        <v>-0.62</v>
      </c>
      <c r="DT111" t="n">
        <v>2371</v>
      </c>
      <c r="DU111" t="n">
        <v>62.4</v>
      </c>
      <c r="DV111" t="inlineStr">
        <is>
          <t>flat</t>
        </is>
      </c>
      <c r="DW111" t="n">
        <v>49.24</v>
      </c>
      <c r="DX111" t="n">
        <v>53.23</v>
      </c>
      <c r="DY111" t="n">
        <v>18.69</v>
      </c>
      <c r="DZ111" t="n">
        <v>15.33</v>
      </c>
      <c r="EA111" t="n">
        <v>116</v>
      </c>
      <c r="EB111" t="n">
        <v>193</v>
      </c>
      <c r="EC111" t="n">
        <v>92.8</v>
      </c>
      <c r="ED111" t="n">
        <v>9</v>
      </c>
      <c r="EE111" t="n">
        <v>131</v>
      </c>
      <c r="EF111" t="n">
        <v>53</v>
      </c>
      <c r="EG111" t="n">
        <v>30.3</v>
      </c>
      <c r="EH111" t="n">
        <v>188.6</v>
      </c>
      <c r="EI111" t="n">
        <v>497</v>
      </c>
      <c r="EJ111" t="n">
        <v>2409.8</v>
      </c>
      <c r="EK111" t="n">
        <v>412</v>
      </c>
      <c r="EL111" t="n">
        <v>15.6</v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n">
        <v>5</v>
      </c>
      <c r="F112" t="b">
        <v>1</v>
      </c>
      <c r="G112" t="b">
        <v>1</v>
      </c>
      <c r="H112" t="n">
        <v>27</v>
      </c>
      <c r="I112" t="inlineStr">
        <is>
          <t>a</t>
        </is>
      </c>
      <c r="L112" t="inlineStr">
        <is>
          <t>p222694</t>
        </is>
      </c>
      <c r="M112" t="n">
        <v>328</v>
      </c>
      <c r="Q112" t="n">
        <v>2935</v>
      </c>
      <c r="R112" t="n">
        <v>34</v>
      </c>
      <c r="S112" t="n">
        <v>33</v>
      </c>
      <c r="T112" t="n">
        <v>32.611</v>
      </c>
      <c r="U112" t="n">
        <v>86.3</v>
      </c>
      <c r="V112" t="n">
        <v>108</v>
      </c>
      <c r="W112" t="n">
        <v>3.312</v>
      </c>
      <c r="X112" t="n">
        <v>0</v>
      </c>
      <c r="Y112" t="n">
        <v>1</v>
      </c>
      <c r="Z112" t="n">
        <v>1</v>
      </c>
      <c r="AA112" t="n">
        <v>7</v>
      </c>
      <c r="AB112" t="n">
        <v>48</v>
      </c>
      <c r="AC112" t="n">
        <v>4</v>
      </c>
      <c r="AD112" t="n">
        <v>4</v>
      </c>
      <c r="AE112" t="n">
        <v>0</v>
      </c>
      <c r="AF112" t="n">
        <v>412</v>
      </c>
      <c r="AG112" t="n">
        <v>364</v>
      </c>
      <c r="AH112" t="n">
        <v>-48</v>
      </c>
      <c r="AI112" t="n">
        <v>108</v>
      </c>
      <c r="AJ112" t="n">
        <v>0.037</v>
      </c>
      <c r="AK112" t="n">
        <v>0.038</v>
      </c>
      <c r="AL112" t="n">
        <v>297</v>
      </c>
      <c r="AM112" t="n">
        <v>9.106999999999999</v>
      </c>
      <c r="AN112" t="n">
        <v>13</v>
      </c>
      <c r="AO112" t="n">
        <v>26</v>
      </c>
      <c r="AP112" t="n">
        <v>0.394</v>
      </c>
      <c r="AQ112" t="n">
        <v>0.394</v>
      </c>
      <c r="AR112" t="n">
        <v>0.242</v>
      </c>
      <c r="AS112" t="n">
        <v>0.868</v>
      </c>
      <c r="AT112" t="n">
        <v>0.9409999999999999</v>
      </c>
      <c r="AU112" t="n">
        <v>18</v>
      </c>
      <c r="AV112" t="n">
        <v>0</v>
      </c>
      <c r="AW112" t="n">
        <v>2.56</v>
      </c>
      <c r="AX112" t="n">
        <v>8</v>
      </c>
      <c r="AY112" t="n">
        <v>3.06</v>
      </c>
      <c r="AZ112" t="n">
        <v>2.967</v>
      </c>
      <c r="BA112" t="n">
        <v>3.014</v>
      </c>
      <c r="BB112" t="n">
        <v>2.967</v>
      </c>
      <c r="BC112" t="n">
        <v>0.094</v>
      </c>
      <c r="BD112" t="n">
        <v>0.091</v>
      </c>
      <c r="BE112" t="n">
        <v>0.092</v>
      </c>
      <c r="BF112" t="n">
        <v>1.6</v>
      </c>
      <c r="BG112" t="n">
        <v>0.049</v>
      </c>
      <c r="BH112" t="n">
        <v>0.9350000000000001</v>
      </c>
      <c r="BI112" t="n">
        <v>4.41</v>
      </c>
      <c r="BJ112" t="n">
        <v>2.86</v>
      </c>
      <c r="BK112" t="n">
        <v>0.08799999999999999</v>
      </c>
      <c r="BL112" t="n">
        <v>-3.014</v>
      </c>
      <c r="BM112" t="n">
        <v>-1.46</v>
      </c>
      <c r="BN112" t="n">
        <v>-1.6</v>
      </c>
      <c r="BO112" t="n">
        <v>0.093</v>
      </c>
      <c r="BP112" t="n">
        <v>31</v>
      </c>
      <c r="BQ112" t="n">
        <v>5</v>
      </c>
      <c r="BR112" t="n">
        <v>4</v>
      </c>
      <c r="BS112" t="n">
        <v>58</v>
      </c>
      <c r="BT112" t="n">
        <v>1.779</v>
      </c>
      <c r="BW112" t="n">
        <v>0.76</v>
      </c>
      <c r="BX112" t="n">
        <v>1.094</v>
      </c>
      <c r="BY112" t="n">
        <v>0.927</v>
      </c>
      <c r="BZ112" t="n">
        <v>0.028</v>
      </c>
      <c r="CA112" t="n">
        <v>3.941</v>
      </c>
      <c r="CB112" t="n">
        <v>0.121</v>
      </c>
      <c r="CC112" t="n">
        <v>12</v>
      </c>
      <c r="CD112" t="n">
        <v>2</v>
      </c>
      <c r="CE112" t="n">
        <v>12</v>
      </c>
      <c r="CG112" t="n">
        <v>1</v>
      </c>
      <c r="CI112" t="n">
        <v>7.12</v>
      </c>
      <c r="CJ112" t="n">
        <v>6.182</v>
      </c>
      <c r="CK112" t="n">
        <v>258</v>
      </c>
      <c r="CL112" t="n">
        <v>117</v>
      </c>
      <c r="CM112" t="n">
        <v>39</v>
      </c>
      <c r="CN112" t="n">
        <v>23</v>
      </c>
      <c r="CO112" t="n">
        <v>31</v>
      </c>
      <c r="CP112" t="n">
        <v>207</v>
      </c>
      <c r="CQ112" t="n">
        <v>19</v>
      </c>
      <c r="CR112" t="n">
        <v>174</v>
      </c>
      <c r="CS112" t="n">
        <v>110</v>
      </c>
      <c r="CT112" t="n">
        <v>0</v>
      </c>
      <c r="CV112" t="n">
        <v>0</v>
      </c>
      <c r="CW112" t="n">
        <v>42.92</v>
      </c>
      <c r="CX112" t="n">
        <v>1.316</v>
      </c>
      <c r="CY112" t="n">
        <v>0</v>
      </c>
      <c r="DB112" t="n">
        <v>0</v>
      </c>
      <c r="DE112" t="n">
        <v>6.91</v>
      </c>
      <c r="DF112" t="n">
        <v>5</v>
      </c>
      <c r="DG112" t="n">
        <v>0</v>
      </c>
      <c r="DH112" t="n">
        <v>27</v>
      </c>
      <c r="DI112" t="n">
        <v>22</v>
      </c>
      <c r="DL112" t="n">
        <v>4</v>
      </c>
      <c r="DM112" t="n">
        <v>8</v>
      </c>
      <c r="DN112" t="n">
        <v>5</v>
      </c>
      <c r="DO112" t="n">
        <v>0.4</v>
      </c>
      <c r="DP112" t="n">
        <v>99.79000000000001</v>
      </c>
      <c r="DQ112" t="n">
        <v>48.93</v>
      </c>
      <c r="DR112" t="n">
        <v>97.86</v>
      </c>
      <c r="DS112" t="n">
        <v>1.93</v>
      </c>
      <c r="DT112" t="n">
        <v>2548</v>
      </c>
      <c r="DU112" t="n">
        <v>67.05</v>
      </c>
      <c r="DV112" t="inlineStr">
        <is>
          <t>flat</t>
        </is>
      </c>
      <c r="DW112" t="n">
        <v>99.75</v>
      </c>
      <c r="DX112" t="n">
        <v>107</v>
      </c>
      <c r="DY112" t="n">
        <v>10.03</v>
      </c>
      <c r="DZ112" t="n">
        <v>81.23</v>
      </c>
      <c r="EA112" t="n">
        <v>118</v>
      </c>
      <c r="EB112" t="n">
        <v>45</v>
      </c>
      <c r="EC112" t="n">
        <v>21.6</v>
      </c>
      <c r="ED112" t="n">
        <v>10</v>
      </c>
      <c r="EE112" t="n">
        <v>241</v>
      </c>
      <c r="EF112" t="n">
        <v>94.7</v>
      </c>
      <c r="EG112" t="n">
        <v>50.6</v>
      </c>
      <c r="EH112" t="n">
        <v>244.6</v>
      </c>
      <c r="EI112" t="n">
        <v>973.9</v>
      </c>
      <c r="EJ112" t="n">
        <v>3166.6</v>
      </c>
      <c r="EK112" t="n">
        <v>744.8</v>
      </c>
      <c r="EL112" t="n">
        <v>27.2</v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n">
        <v>5.5</v>
      </c>
      <c r="F113" t="b">
        <v>1</v>
      </c>
      <c r="G113" t="b">
        <v>1</v>
      </c>
      <c r="H113" t="n">
        <v>27.7</v>
      </c>
      <c r="I113" t="inlineStr">
        <is>
          <t>a</t>
        </is>
      </c>
      <c r="L113" t="inlineStr">
        <is>
          <t>p243016</t>
        </is>
      </c>
      <c r="M113" t="n">
        <v>372</v>
      </c>
      <c r="N113" t="n">
        <v>5</v>
      </c>
      <c r="Q113" t="n">
        <v>2654</v>
      </c>
      <c r="R113" t="n">
        <v>37</v>
      </c>
      <c r="S113" t="n">
        <v>31</v>
      </c>
      <c r="T113" t="n">
        <v>29.489</v>
      </c>
      <c r="U113" t="n">
        <v>71.7</v>
      </c>
      <c r="V113" t="n">
        <v>108</v>
      </c>
      <c r="W113" t="n">
        <v>3.662</v>
      </c>
      <c r="X113" t="n">
        <v>2</v>
      </c>
      <c r="Y113" t="n">
        <v>5</v>
      </c>
      <c r="Z113" t="n">
        <v>4</v>
      </c>
      <c r="AA113" t="n">
        <v>7</v>
      </c>
      <c r="AB113" t="n">
        <v>41</v>
      </c>
      <c r="AC113" t="n">
        <v>9</v>
      </c>
      <c r="AD113" t="n">
        <v>9</v>
      </c>
      <c r="AE113" t="n">
        <v>0</v>
      </c>
      <c r="AF113" t="n">
        <v>490</v>
      </c>
      <c r="AG113" t="n">
        <v>473</v>
      </c>
      <c r="AH113" t="n">
        <v>-17</v>
      </c>
      <c r="AI113" t="n">
        <v>108</v>
      </c>
      <c r="AJ113" t="n">
        <v>0.083</v>
      </c>
      <c r="AK113" t="n">
        <v>0.091</v>
      </c>
      <c r="AL113" t="n">
        <v>229</v>
      </c>
      <c r="AM113" t="n">
        <v>7.766</v>
      </c>
      <c r="AN113" t="n">
        <v>4</v>
      </c>
      <c r="AO113" t="n">
        <v>8</v>
      </c>
      <c r="AP113" t="n">
        <v>0.129</v>
      </c>
      <c r="AQ113" t="n">
        <v>0.226</v>
      </c>
      <c r="AR113" t="n">
        <v>0.129</v>
      </c>
      <c r="AS113" t="n">
        <v>0.8159999999999999</v>
      </c>
      <c r="AT113" t="n">
        <v>0.784</v>
      </c>
      <c r="AU113" t="n">
        <v>26</v>
      </c>
      <c r="AV113" t="n">
        <v>2</v>
      </c>
      <c r="AW113" t="n">
        <v>3.08</v>
      </c>
      <c r="AX113" t="n">
        <v>13</v>
      </c>
      <c r="AY113" t="n">
        <v>3.89</v>
      </c>
      <c r="AZ113" t="n">
        <v>4.072</v>
      </c>
      <c r="BA113" t="n">
        <v>3.981</v>
      </c>
      <c r="BB113" t="n">
        <v>4.072</v>
      </c>
      <c r="BC113" t="n">
        <v>0.132</v>
      </c>
      <c r="BD113" t="n">
        <v>0.138</v>
      </c>
      <c r="BE113" t="n">
        <v>0.135</v>
      </c>
      <c r="BF113" t="n">
        <v>2.7</v>
      </c>
      <c r="BG113" t="n">
        <v>0.092</v>
      </c>
      <c r="BH113" t="n">
        <v>1.036</v>
      </c>
      <c r="BI113" t="n">
        <v>22.42</v>
      </c>
      <c r="BJ113" t="n">
        <v>4.028</v>
      </c>
      <c r="BK113" t="n">
        <v>0.137</v>
      </c>
      <c r="BL113" t="n">
        <v>-1.981</v>
      </c>
      <c r="BM113" t="n">
        <v>-1.19</v>
      </c>
      <c r="BN113" t="n">
        <v>-0.7</v>
      </c>
      <c r="BO113" t="n">
        <v>-0.182</v>
      </c>
      <c r="BP113" t="n">
        <v>52</v>
      </c>
      <c r="BQ113" t="n">
        <v>12</v>
      </c>
      <c r="BR113" t="n">
        <v>2</v>
      </c>
      <c r="BS113" t="n">
        <v>65</v>
      </c>
      <c r="BT113" t="n">
        <v>2.204</v>
      </c>
      <c r="BW113" t="n">
        <v>1.69</v>
      </c>
      <c r="BX113" t="n">
        <v>2.85</v>
      </c>
      <c r="BY113" t="n">
        <v>2.27</v>
      </c>
      <c r="BZ113" t="n">
        <v>0.077</v>
      </c>
      <c r="CA113" t="n">
        <v>6.251</v>
      </c>
      <c r="CB113" t="n">
        <v>0.212</v>
      </c>
      <c r="CC113" t="n">
        <v>34</v>
      </c>
      <c r="CD113" t="n">
        <v>4</v>
      </c>
      <c r="CE113" t="n">
        <v>35</v>
      </c>
      <c r="CF113" t="n">
        <v>9</v>
      </c>
      <c r="CH113" t="n">
        <v>11</v>
      </c>
      <c r="CI113" t="n">
        <v>13.186</v>
      </c>
      <c r="CJ113" t="n">
        <v>8.345000000000001</v>
      </c>
      <c r="CK113" t="n">
        <v>64</v>
      </c>
      <c r="CL113" t="n">
        <v>112</v>
      </c>
      <c r="CM113" t="n">
        <v>53</v>
      </c>
      <c r="CN113" t="n">
        <v>26</v>
      </c>
      <c r="CO113" t="n">
        <v>21</v>
      </c>
      <c r="CP113" t="n">
        <v>35</v>
      </c>
      <c r="CQ113" t="n">
        <v>9</v>
      </c>
      <c r="CR113" t="n">
        <v>113</v>
      </c>
      <c r="CS113" t="n">
        <v>17</v>
      </c>
      <c r="CT113" t="n">
        <v>0.4</v>
      </c>
      <c r="CV113" t="n">
        <v>1</v>
      </c>
      <c r="CW113" t="n">
        <v>36.97</v>
      </c>
      <c r="CX113" t="n">
        <v>1.254</v>
      </c>
      <c r="CY113" t="n">
        <v>0</v>
      </c>
      <c r="DB113" t="n">
        <v>0</v>
      </c>
      <c r="DE113" t="n">
        <v>6.89</v>
      </c>
      <c r="DF113" t="n">
        <v>7</v>
      </c>
      <c r="DG113" t="n">
        <v>0</v>
      </c>
      <c r="DH113" t="n">
        <v>35</v>
      </c>
      <c r="DI113" t="n">
        <v>32</v>
      </c>
      <c r="DL113" t="n">
        <v>11</v>
      </c>
      <c r="DM113" t="n">
        <v>29</v>
      </c>
      <c r="DO113" t="n">
        <v>1.9</v>
      </c>
      <c r="DP113" t="n">
        <v>72.05</v>
      </c>
      <c r="DQ113" t="n">
        <v>35.78</v>
      </c>
      <c r="DR113" t="n">
        <v>71.56</v>
      </c>
      <c r="DS113" t="n">
        <v>0.49</v>
      </c>
      <c r="DT113" t="n">
        <v>1604</v>
      </c>
      <c r="DU113" t="n">
        <v>42.2</v>
      </c>
      <c r="DV113" t="inlineStr">
        <is>
          <t>flat</t>
        </is>
      </c>
      <c r="DW113" t="n">
        <v>73.13</v>
      </c>
      <c r="DX113" t="n">
        <v>59.71</v>
      </c>
      <c r="DY113" t="n">
        <v>23.19</v>
      </c>
      <c r="DZ113" t="n">
        <v>15.33</v>
      </c>
      <c r="EA113" t="n">
        <v>107.08</v>
      </c>
      <c r="EB113" t="n">
        <v>41</v>
      </c>
      <c r="EC113" t="n">
        <v>19.7</v>
      </c>
      <c r="ED113" t="n">
        <v>6.8</v>
      </c>
      <c r="EE113" t="n">
        <v>132</v>
      </c>
      <c r="EF113" t="n">
        <v>51</v>
      </c>
      <c r="EG113" t="n">
        <v>40.8</v>
      </c>
      <c r="EH113" t="n">
        <v>75.8</v>
      </c>
      <c r="EI113" t="n">
        <v>666.7</v>
      </c>
      <c r="EJ113" t="n">
        <v>1169.3</v>
      </c>
      <c r="EK113" t="n">
        <v>424.6</v>
      </c>
      <c r="EL113" t="n">
        <v>24.6</v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n">
        <v>6</v>
      </c>
      <c r="F114" t="b">
        <v>1</v>
      </c>
      <c r="G114" t="b">
        <v>1</v>
      </c>
      <c r="H114" t="n">
        <v>24.5</v>
      </c>
      <c r="I114" t="inlineStr">
        <is>
          <t>a</t>
        </is>
      </c>
      <c r="L114" t="inlineStr">
        <is>
          <t>p470313</t>
        </is>
      </c>
      <c r="M114" t="n">
        <v>463</v>
      </c>
      <c r="N114" t="n">
        <v>1</v>
      </c>
      <c r="Q114" t="n">
        <v>1896</v>
      </c>
      <c r="R114" t="n">
        <v>33</v>
      </c>
      <c r="S114" t="n">
        <v>24</v>
      </c>
      <c r="T114" t="n">
        <v>21.067</v>
      </c>
      <c r="U114" t="n">
        <v>57.5</v>
      </c>
      <c r="V114" t="n">
        <v>108</v>
      </c>
      <c r="W114" t="n">
        <v>5.127</v>
      </c>
      <c r="X114" t="n">
        <v>8</v>
      </c>
      <c r="Y114" t="n">
        <v>4</v>
      </c>
      <c r="Z114" t="n">
        <v>3</v>
      </c>
      <c r="AA114" t="n">
        <v>8</v>
      </c>
      <c r="AB114" t="n">
        <v>29</v>
      </c>
      <c r="AC114" t="n">
        <v>12</v>
      </c>
      <c r="AD114" t="n">
        <v>12</v>
      </c>
      <c r="AE114" t="n">
        <v>0</v>
      </c>
      <c r="AF114" t="n">
        <v>399</v>
      </c>
      <c r="AG114" t="n">
        <v>391</v>
      </c>
      <c r="AH114" t="n">
        <v>-8</v>
      </c>
      <c r="AI114" t="n">
        <v>108</v>
      </c>
      <c r="AJ114" t="n">
        <v>0.111</v>
      </c>
      <c r="AK114" t="n">
        <v>0.125</v>
      </c>
      <c r="AL114" t="n">
        <v>105</v>
      </c>
      <c r="AM114" t="n">
        <v>4.984</v>
      </c>
      <c r="AN114" t="n">
        <v>0</v>
      </c>
      <c r="AO114" t="n">
        <v>0</v>
      </c>
      <c r="AP114" t="n">
        <v>0</v>
      </c>
      <c r="AQ114" t="n">
        <v>0.042</v>
      </c>
      <c r="AR114" t="n">
        <v>0</v>
      </c>
      <c r="AS114" t="n">
        <v>0.632</v>
      </c>
      <c r="AT114" t="n">
        <v>0.636</v>
      </c>
      <c r="AU114" t="n">
        <v>22</v>
      </c>
      <c r="AV114" t="n">
        <v>1</v>
      </c>
      <c r="AW114" t="n">
        <v>3.1</v>
      </c>
      <c r="AX114" t="n">
        <v>13</v>
      </c>
      <c r="AY114" t="n">
        <v>6.59</v>
      </c>
      <c r="AZ114" t="n">
        <v>8.262</v>
      </c>
      <c r="BA114" t="n">
        <v>7.426</v>
      </c>
      <c r="BB114" t="n">
        <v>7.501</v>
      </c>
      <c r="BC114" t="n">
        <v>0.313</v>
      </c>
      <c r="BD114" t="n">
        <v>0.392</v>
      </c>
      <c r="BE114" t="n">
        <v>0.353</v>
      </c>
      <c r="BF114" t="n">
        <v>7.9</v>
      </c>
      <c r="BG114" t="n">
        <v>0.375</v>
      </c>
      <c r="BH114" t="n">
        <v>1.09</v>
      </c>
      <c r="BI114" t="n">
        <v>6.59</v>
      </c>
      <c r="BJ114" t="n">
        <v>7.182</v>
      </c>
      <c r="BK114" t="n">
        <v>0.341</v>
      </c>
      <c r="BL114" t="n">
        <v>0.574</v>
      </c>
      <c r="BM114" t="n">
        <v>1.31</v>
      </c>
      <c r="BN114" t="n">
        <v>0.1</v>
      </c>
      <c r="BO114" t="n">
        <v>-1.672</v>
      </c>
      <c r="BP114" t="n">
        <v>32</v>
      </c>
      <c r="BQ114" t="n">
        <v>13</v>
      </c>
      <c r="BR114" t="n">
        <v>6</v>
      </c>
      <c r="BS114" t="n">
        <v>86</v>
      </c>
      <c r="BT114" t="n">
        <v>4.082</v>
      </c>
      <c r="BU114" t="n">
        <v>1</v>
      </c>
      <c r="BV114" t="n">
        <v>2</v>
      </c>
      <c r="BW114" t="n">
        <v>1.53</v>
      </c>
      <c r="BX114" t="n">
        <v>2.901</v>
      </c>
      <c r="BY114" t="n">
        <v>2.216</v>
      </c>
      <c r="BZ114" t="n">
        <v>0.105</v>
      </c>
      <c r="CA114" t="n">
        <v>9.641999999999999</v>
      </c>
      <c r="CB114" t="n">
        <v>0.458</v>
      </c>
      <c r="CC114" t="n">
        <v>22</v>
      </c>
      <c r="CD114" t="n">
        <v>5</v>
      </c>
      <c r="CE114" t="n">
        <v>22</v>
      </c>
      <c r="CG114" t="n">
        <v>2</v>
      </c>
      <c r="CI114" t="n">
        <v>8.792</v>
      </c>
      <c r="CJ114" t="n">
        <v>2.301</v>
      </c>
      <c r="CK114" t="n">
        <v>28</v>
      </c>
      <c r="CL114" t="n">
        <v>53</v>
      </c>
      <c r="CM114" t="n">
        <v>24</v>
      </c>
      <c r="CN114" t="n">
        <v>12</v>
      </c>
      <c r="CO114" t="n">
        <v>5</v>
      </c>
      <c r="CP114" t="n">
        <v>21</v>
      </c>
      <c r="CQ114" t="n">
        <v>2</v>
      </c>
      <c r="CR114" t="n">
        <v>92</v>
      </c>
      <c r="CS114" t="n">
        <v>35</v>
      </c>
      <c r="CT114" t="n">
        <v>0.6</v>
      </c>
      <c r="CW114" t="n">
        <v>25.67</v>
      </c>
      <c r="CX114" t="n">
        <v>1.219</v>
      </c>
      <c r="CY114" t="n">
        <v>0</v>
      </c>
      <c r="DB114" t="n">
        <v>0</v>
      </c>
      <c r="DE114" t="n">
        <v>6.66</v>
      </c>
      <c r="DF114" t="n">
        <v>0</v>
      </c>
      <c r="DG114" t="n">
        <v>0</v>
      </c>
      <c r="DH114" t="n">
        <v>20</v>
      </c>
      <c r="DI114" t="n">
        <v>20</v>
      </c>
      <c r="DL114" t="n">
        <v>13</v>
      </c>
      <c r="DM114" t="n">
        <v>42</v>
      </c>
      <c r="DN114" t="n">
        <v>8</v>
      </c>
      <c r="DO114" t="n">
        <v>1.7</v>
      </c>
      <c r="DP114" t="n">
        <v>102.38</v>
      </c>
      <c r="DQ114" t="n">
        <v>51.2</v>
      </c>
      <c r="DR114" t="n">
        <v>102.4</v>
      </c>
      <c r="DS114" t="n">
        <v>-0.02</v>
      </c>
      <c r="DT114" t="n">
        <v>2371</v>
      </c>
      <c r="DU114" t="n">
        <v>62.4</v>
      </c>
      <c r="DV114" t="inlineStr">
        <is>
          <t>flat</t>
        </is>
      </c>
      <c r="DW114" t="n">
        <v>59.48</v>
      </c>
      <c r="DX114" t="n">
        <v>69.79000000000001</v>
      </c>
      <c r="DY114" t="n">
        <v>27.64</v>
      </c>
      <c r="DZ114" t="n">
        <v>9</v>
      </c>
      <c r="EA114" t="n">
        <v>120</v>
      </c>
      <c r="EB114" t="n">
        <v>147</v>
      </c>
      <c r="EC114" t="n">
        <v>70.7</v>
      </c>
      <c r="ED114" t="n">
        <v>18.3</v>
      </c>
      <c r="EE114" t="n">
        <v>79</v>
      </c>
      <c r="EF114" t="n">
        <v>59.2</v>
      </c>
      <c r="EG114" t="n">
        <v>22</v>
      </c>
      <c r="EH114" t="n">
        <v>86.2</v>
      </c>
      <c r="EI114" t="n">
        <v>255.3</v>
      </c>
      <c r="EJ114" t="n">
        <v>855.7</v>
      </c>
      <c r="EK114" t="n">
        <v>196.6</v>
      </c>
      <c r="EL114" t="n">
        <v>17.6</v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n">
        <v>5.5</v>
      </c>
      <c r="F115" t="b">
        <v>1</v>
      </c>
      <c r="G115" t="b">
        <v>1</v>
      </c>
      <c r="H115" t="n">
        <v>25.5</v>
      </c>
      <c r="I115" t="inlineStr">
        <is>
          <t>a</t>
        </is>
      </c>
      <c r="L115" t="inlineStr">
        <is>
          <t>p448089</t>
        </is>
      </c>
      <c r="M115" t="n">
        <v>54</v>
      </c>
      <c r="Q115" t="n">
        <v>2829</v>
      </c>
      <c r="R115" t="n">
        <v>35</v>
      </c>
      <c r="S115" t="n">
        <v>32</v>
      </c>
      <c r="T115" t="n">
        <v>31.433</v>
      </c>
      <c r="U115" t="n">
        <v>80.8</v>
      </c>
      <c r="V115" t="n">
        <v>107</v>
      </c>
      <c r="W115" t="n">
        <v>3.404</v>
      </c>
      <c r="X115" t="n">
        <v>1</v>
      </c>
      <c r="Y115" t="n">
        <v>2</v>
      </c>
      <c r="Z115" t="n">
        <v>1</v>
      </c>
      <c r="AA115" t="n">
        <v>4</v>
      </c>
      <c r="AB115" t="n">
        <v>56</v>
      </c>
      <c r="AC115" t="n">
        <v>6</v>
      </c>
      <c r="AD115" t="n">
        <v>6</v>
      </c>
      <c r="AE115" t="n">
        <v>0</v>
      </c>
      <c r="AF115" t="n">
        <v>529</v>
      </c>
      <c r="AG115" t="n">
        <v>513</v>
      </c>
      <c r="AH115" t="n">
        <v>-16</v>
      </c>
      <c r="AI115" t="n">
        <v>107</v>
      </c>
      <c r="AJ115" t="n">
        <v>0.056</v>
      </c>
      <c r="AK115" t="n">
        <v>0.059</v>
      </c>
      <c r="AL115" t="n">
        <v>387</v>
      </c>
      <c r="AM115" t="n">
        <v>12.312</v>
      </c>
      <c r="AN115" t="n">
        <v>15</v>
      </c>
      <c r="AO115" t="n">
        <v>30</v>
      </c>
      <c r="AP115" t="n">
        <v>0.469</v>
      </c>
      <c r="AQ115" t="n">
        <v>0.656</v>
      </c>
      <c r="AR115" t="n">
        <v>0.469</v>
      </c>
      <c r="AS115" t="n">
        <v>0.842</v>
      </c>
      <c r="AT115" t="n">
        <v>0.886</v>
      </c>
      <c r="AU115" t="n">
        <v>17</v>
      </c>
      <c r="AV115" t="n">
        <v>1</v>
      </c>
      <c r="AW115" t="n">
        <v>2.41</v>
      </c>
      <c r="AX115" t="n">
        <v>14</v>
      </c>
      <c r="AY115" t="n">
        <v>1.29</v>
      </c>
      <c r="AZ115" t="n">
        <v>1.246</v>
      </c>
      <c r="BA115" t="n">
        <v>1.268</v>
      </c>
      <c r="BB115" t="n">
        <v>1.246</v>
      </c>
      <c r="BC115" t="n">
        <v>0.041</v>
      </c>
      <c r="BD115" t="n">
        <v>0.04</v>
      </c>
      <c r="BE115" t="n">
        <v>0.04</v>
      </c>
      <c r="BF115" t="n">
        <v>2.4</v>
      </c>
      <c r="BG115" t="n">
        <v>0.076</v>
      </c>
      <c r="BH115" t="n">
        <v>0.962</v>
      </c>
      <c r="BI115" t="n">
        <v>6.35</v>
      </c>
      <c r="BJ115" t="n">
        <v>1.241</v>
      </c>
      <c r="BK115" t="n">
        <v>0.039</v>
      </c>
      <c r="BL115" t="n">
        <v>-0.268</v>
      </c>
      <c r="BM115" t="n">
        <v>1.11</v>
      </c>
      <c r="BN115" t="n">
        <v>-1.4</v>
      </c>
      <c r="BO115" t="n">
        <v>0.044</v>
      </c>
      <c r="BP115" t="n">
        <v>19</v>
      </c>
      <c r="BQ115" t="n">
        <v>7</v>
      </c>
      <c r="BS115" t="n">
        <v>36</v>
      </c>
      <c r="BT115" t="n">
        <v>1.145</v>
      </c>
      <c r="BW115" t="n">
        <v>2.09</v>
      </c>
      <c r="BX115" t="n">
        <v>1.442</v>
      </c>
      <c r="BY115" t="n">
        <v>1.766</v>
      </c>
      <c r="BZ115" t="n">
        <v>0.056</v>
      </c>
      <c r="CA115" t="n">
        <v>3.034</v>
      </c>
      <c r="CB115" t="n">
        <v>0.097</v>
      </c>
      <c r="CC115" t="n">
        <v>16</v>
      </c>
      <c r="CD115" t="n">
        <v>2</v>
      </c>
      <c r="CE115" t="n">
        <v>16</v>
      </c>
      <c r="CF115" t="n">
        <v>11</v>
      </c>
      <c r="CG115" t="n">
        <v>1</v>
      </c>
      <c r="CH115" t="n">
        <v>0</v>
      </c>
      <c r="CI115" t="n">
        <v>6.202</v>
      </c>
      <c r="CJ115" t="n">
        <v>5.079</v>
      </c>
      <c r="CK115" t="n">
        <v>87</v>
      </c>
      <c r="CL115" t="n">
        <v>193</v>
      </c>
      <c r="CM115" t="n">
        <v>107</v>
      </c>
      <c r="CN115" t="n">
        <v>68</v>
      </c>
      <c r="CO115" t="n">
        <v>36</v>
      </c>
      <c r="CP115" t="n">
        <v>45</v>
      </c>
      <c r="CQ115" t="n">
        <v>6</v>
      </c>
      <c r="CR115" t="n">
        <v>226</v>
      </c>
      <c r="CS115" t="n">
        <v>27</v>
      </c>
      <c r="CT115" t="n">
        <v>0.4</v>
      </c>
      <c r="CU115" t="n">
        <v>1</v>
      </c>
      <c r="CV115" t="n">
        <v>2</v>
      </c>
      <c r="CW115" t="n">
        <v>48.6</v>
      </c>
      <c r="CX115" t="n">
        <v>1.546</v>
      </c>
      <c r="CY115" t="n">
        <v>0</v>
      </c>
      <c r="DB115" t="n">
        <v>0</v>
      </c>
      <c r="DE115" t="n">
        <v>6.94</v>
      </c>
      <c r="DF115" t="n">
        <v>10</v>
      </c>
      <c r="DG115" t="n">
        <v>0</v>
      </c>
      <c r="DH115" t="n">
        <v>69</v>
      </c>
      <c r="DI115" t="n">
        <v>49</v>
      </c>
      <c r="DL115" t="n">
        <v>43</v>
      </c>
      <c r="DM115" t="n">
        <v>55</v>
      </c>
      <c r="DN115" t="n">
        <v>1</v>
      </c>
      <c r="DO115" t="n">
        <v>0.3</v>
      </c>
      <c r="DP115" t="n">
        <v>122.87</v>
      </c>
      <c r="DQ115" t="n">
        <v>57.18</v>
      </c>
      <c r="DR115" t="n">
        <v>114.36</v>
      </c>
      <c r="DS115" t="n">
        <v>8.51</v>
      </c>
      <c r="DT115" t="n">
        <v>3067</v>
      </c>
      <c r="DU115" t="n">
        <v>80.7</v>
      </c>
      <c r="DV115" t="inlineStr">
        <is>
          <t>ramp-up (injury / late WC return)</t>
        </is>
      </c>
      <c r="DW115" t="n">
        <v>82.34</v>
      </c>
      <c r="DY115" t="n">
        <v>26.35</v>
      </c>
      <c r="DZ115" t="n">
        <v>34.29</v>
      </c>
      <c r="EA115" t="n">
        <v>109.33</v>
      </c>
      <c r="EB115" t="n">
        <v>6</v>
      </c>
      <c r="EC115" t="n">
        <v>2.9</v>
      </c>
      <c r="ED115" t="n">
        <v>0</v>
      </c>
      <c r="EE115" t="n">
        <v>143</v>
      </c>
      <c r="EF115" t="n">
        <v>148.9</v>
      </c>
      <c r="EG115" t="n">
        <v>78.59999999999999</v>
      </c>
      <c r="EH115" t="n">
        <v>176.8</v>
      </c>
      <c r="EI115" t="n">
        <v>2230.8</v>
      </c>
      <c r="EJ115" t="n">
        <v>1602</v>
      </c>
      <c r="EK115" t="n">
        <v>932.4</v>
      </c>
      <c r="EL115" t="n">
        <v>26.4</v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n">
        <v>6</v>
      </c>
      <c r="F116" t="b">
        <v>1</v>
      </c>
      <c r="G116" t="b">
        <v>1</v>
      </c>
      <c r="H116" t="n">
        <v>28.7</v>
      </c>
      <c r="I116" t="inlineStr">
        <is>
          <t>a</t>
        </is>
      </c>
      <c r="L116" t="inlineStr">
        <is>
          <t>p201666</t>
        </is>
      </c>
      <c r="M116" t="n">
        <v>453</v>
      </c>
      <c r="Q116" t="n">
        <v>1951</v>
      </c>
      <c r="R116" t="n">
        <v>37</v>
      </c>
      <c r="S116" t="n">
        <v>19</v>
      </c>
      <c r="T116" t="n">
        <v>21.678</v>
      </c>
      <c r="U116" t="n">
        <v>52.7</v>
      </c>
      <c r="V116" t="n">
        <v>106</v>
      </c>
      <c r="W116" t="n">
        <v>4.89</v>
      </c>
      <c r="X116" t="n">
        <v>7</v>
      </c>
      <c r="Y116" t="n">
        <v>1</v>
      </c>
      <c r="Z116" t="n">
        <v>1</v>
      </c>
      <c r="AA116" t="n">
        <v>5</v>
      </c>
      <c r="AB116" t="n">
        <v>31</v>
      </c>
      <c r="AC116" t="n">
        <v>9</v>
      </c>
      <c r="AD116" t="n">
        <v>10</v>
      </c>
      <c r="AE116" t="n">
        <v>1</v>
      </c>
      <c r="AF116" t="n">
        <v>349</v>
      </c>
      <c r="AG116" t="n">
        <v>345</v>
      </c>
      <c r="AH116" t="n">
        <v>-4</v>
      </c>
      <c r="AI116" t="n">
        <v>107</v>
      </c>
      <c r="AJ116" t="n">
        <v>0.08500000000000001</v>
      </c>
      <c r="AK116" t="n">
        <v>0.093</v>
      </c>
      <c r="AL116" t="n">
        <v>100</v>
      </c>
      <c r="AM116" t="n">
        <v>4.613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0.5</v>
      </c>
      <c r="AT116" t="n">
        <v>0.486</v>
      </c>
      <c r="AU116" t="n">
        <v>26</v>
      </c>
      <c r="AV116" t="n">
        <v>2</v>
      </c>
      <c r="AW116" t="n">
        <v>3.46</v>
      </c>
      <c r="AX116" t="n">
        <v>15</v>
      </c>
      <c r="AY116" t="n">
        <v>6.84</v>
      </c>
      <c r="AZ116" t="n">
        <v>8.051</v>
      </c>
      <c r="BA116" t="n">
        <v>7.445</v>
      </c>
      <c r="BB116" t="n">
        <v>8.051</v>
      </c>
      <c r="BC116" t="n">
        <v>0.316</v>
      </c>
      <c r="BD116" t="n">
        <v>0.371</v>
      </c>
      <c r="BE116" t="n">
        <v>0.343</v>
      </c>
      <c r="BF116" t="n">
        <v>6.8</v>
      </c>
      <c r="BG116" t="n">
        <v>0.314</v>
      </c>
      <c r="BH116" t="n">
        <v>1.136</v>
      </c>
      <c r="BI116" t="n">
        <v>26.14</v>
      </c>
      <c r="BJ116" t="n">
        <v>7.774</v>
      </c>
      <c r="BK116" t="n">
        <v>0.359</v>
      </c>
      <c r="BL116" t="n">
        <v>-0.445</v>
      </c>
      <c r="BM116" t="n">
        <v>-0.04</v>
      </c>
      <c r="BN116" t="n">
        <v>0.2</v>
      </c>
      <c r="BO116" t="n">
        <v>-1.211</v>
      </c>
      <c r="BP116" t="n">
        <v>58</v>
      </c>
      <c r="BQ116" t="n">
        <v>21</v>
      </c>
      <c r="BR116" t="n">
        <v>9</v>
      </c>
      <c r="BS116" t="n">
        <v>141</v>
      </c>
      <c r="BT116" t="n">
        <v>6.504</v>
      </c>
      <c r="BW116" t="n">
        <v>2.72</v>
      </c>
      <c r="BX116" t="n">
        <v>3.106</v>
      </c>
      <c r="BY116" t="n">
        <v>2.913</v>
      </c>
      <c r="BZ116" t="n">
        <v>0.134</v>
      </c>
      <c r="CA116" t="n">
        <v>10.358</v>
      </c>
      <c r="CB116" t="n">
        <v>0.478</v>
      </c>
      <c r="CC116" t="n">
        <v>23</v>
      </c>
      <c r="CD116" t="n">
        <v>4</v>
      </c>
      <c r="CE116" t="n">
        <v>23</v>
      </c>
      <c r="CF116" t="n">
        <v>15</v>
      </c>
      <c r="CG116" t="n">
        <v>1</v>
      </c>
      <c r="CH116" t="n">
        <v>2</v>
      </c>
      <c r="CI116" t="n">
        <v>12.754</v>
      </c>
      <c r="CJ116" t="n">
        <v>4.153</v>
      </c>
      <c r="CK116" t="n">
        <v>20</v>
      </c>
      <c r="CL116" t="n">
        <v>67</v>
      </c>
      <c r="CM116" t="n">
        <v>13</v>
      </c>
      <c r="CN116" t="n">
        <v>5</v>
      </c>
      <c r="CO116" t="n">
        <v>3</v>
      </c>
      <c r="CP116" t="n">
        <v>16</v>
      </c>
      <c r="CQ116" t="n">
        <v>1</v>
      </c>
      <c r="CR116" t="n">
        <v>56</v>
      </c>
      <c r="CS116" t="n">
        <v>7</v>
      </c>
      <c r="CT116" t="n">
        <v>0.5</v>
      </c>
      <c r="CV116" t="n">
        <v>1</v>
      </c>
      <c r="CW116" t="n">
        <v>30.3</v>
      </c>
      <c r="CX116" t="n">
        <v>1.398</v>
      </c>
      <c r="CY116" t="n">
        <v>0</v>
      </c>
      <c r="DB116" t="n">
        <v>0</v>
      </c>
      <c r="DE116" t="n">
        <v>6.63</v>
      </c>
      <c r="DF116" t="n">
        <v>1</v>
      </c>
      <c r="DG116" t="n">
        <v>0</v>
      </c>
      <c r="DH116" t="n">
        <v>17</v>
      </c>
      <c r="DI116" t="n">
        <v>23</v>
      </c>
      <c r="DL116" t="n">
        <v>13</v>
      </c>
      <c r="DM116" t="n">
        <v>24</v>
      </c>
      <c r="DN116" t="n">
        <v>3</v>
      </c>
      <c r="DO116" t="n">
        <v>1.2</v>
      </c>
      <c r="DP116" t="n">
        <v>125.3</v>
      </c>
      <c r="DQ116" t="n">
        <v>62.66</v>
      </c>
      <c r="DR116" t="n">
        <v>125.32</v>
      </c>
      <c r="DS116" t="n">
        <v>-0.02</v>
      </c>
      <c r="DT116" t="n">
        <v>2308</v>
      </c>
      <c r="DU116" t="n">
        <v>60.75</v>
      </c>
      <c r="DV116" t="inlineStr">
        <is>
          <t>flat</t>
        </is>
      </c>
      <c r="DW116" t="n">
        <v>70.98999999999999</v>
      </c>
      <c r="DX116" t="n">
        <v>81.06999999999999</v>
      </c>
      <c r="DY116" t="n">
        <v>22.37</v>
      </c>
      <c r="DZ116" t="n">
        <v>17.6</v>
      </c>
      <c r="EA116" t="n">
        <v>116</v>
      </c>
      <c r="EB116" t="n">
        <v>108</v>
      </c>
      <c r="EC116" t="n">
        <v>51.9</v>
      </c>
      <c r="ED116" t="n">
        <v>5.3</v>
      </c>
      <c r="EE116" t="n">
        <v>80</v>
      </c>
      <c r="EF116" t="n">
        <v>33.6</v>
      </c>
      <c r="EG116" t="n">
        <v>13.8</v>
      </c>
      <c r="EH116" t="n">
        <v>84.8</v>
      </c>
      <c r="EI116" t="n">
        <v>262</v>
      </c>
      <c r="EJ116" t="n">
        <v>669.7</v>
      </c>
      <c r="EK116" t="n">
        <v>188.3</v>
      </c>
      <c r="EL116" t="n">
        <v>18.4</v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n">
        <v>5</v>
      </c>
      <c r="F117" t="b">
        <v>1</v>
      </c>
      <c r="G117" t="b">
        <v>1</v>
      </c>
      <c r="H117" t="n">
        <v>34.5</v>
      </c>
      <c r="I117" t="inlineStr">
        <is>
          <t>a</t>
        </is>
      </c>
      <c r="L117" t="inlineStr">
        <is>
          <t>p85633</t>
        </is>
      </c>
      <c r="M117" t="n">
        <v>467</v>
      </c>
      <c r="Q117" t="n">
        <v>2667</v>
      </c>
      <c r="R117" t="n">
        <v>31</v>
      </c>
      <c r="S117" t="n">
        <v>30</v>
      </c>
      <c r="T117" t="n">
        <v>29.633</v>
      </c>
      <c r="U117" t="n">
        <v>86</v>
      </c>
      <c r="V117" t="n">
        <v>105</v>
      </c>
      <c r="W117" t="n">
        <v>3.543</v>
      </c>
      <c r="X117" t="n">
        <v>0</v>
      </c>
      <c r="Y117" t="n">
        <v>0</v>
      </c>
      <c r="AA117" t="n">
        <v>7</v>
      </c>
      <c r="AB117" t="n">
        <v>39</v>
      </c>
      <c r="AC117" t="n">
        <v>3</v>
      </c>
      <c r="AD117" t="n">
        <v>4</v>
      </c>
      <c r="AE117" t="n">
        <v>1</v>
      </c>
      <c r="AF117" t="n">
        <v>431</v>
      </c>
      <c r="AG117" t="n">
        <v>424</v>
      </c>
      <c r="AH117" t="n">
        <v>-7</v>
      </c>
      <c r="AI117" t="n">
        <v>106</v>
      </c>
      <c r="AJ117" t="n">
        <v>0.029</v>
      </c>
      <c r="AK117" t="n">
        <v>0.029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0.789</v>
      </c>
      <c r="AT117" t="n">
        <v>0.9350000000000001</v>
      </c>
      <c r="AU117" t="n">
        <v>17</v>
      </c>
      <c r="AV117" t="n">
        <v>1</v>
      </c>
      <c r="AW117" t="n">
        <v>2.54</v>
      </c>
      <c r="AX117" t="n">
        <v>10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H117" t="n">
        <v>1</v>
      </c>
      <c r="BI117" t="n">
        <v>0</v>
      </c>
      <c r="BJ117" t="n">
        <v>0</v>
      </c>
      <c r="BK117" t="n">
        <v>0</v>
      </c>
      <c r="BL117" t="n">
        <v>0</v>
      </c>
      <c r="BO117" t="n">
        <v>0</v>
      </c>
      <c r="BW117" t="n">
        <v>0.06</v>
      </c>
      <c r="BX117" t="n">
        <v>0</v>
      </c>
      <c r="BY117" t="n">
        <v>0.03</v>
      </c>
      <c r="BZ117" t="n">
        <v>0.001</v>
      </c>
      <c r="CA117" t="n">
        <v>0.03</v>
      </c>
      <c r="CB117" t="n">
        <v>0.001</v>
      </c>
      <c r="CC117" t="n">
        <v>0</v>
      </c>
      <c r="CE117" t="n">
        <v>1</v>
      </c>
      <c r="CI117" t="n">
        <v>2.226</v>
      </c>
      <c r="CJ117" t="n">
        <v>2.226</v>
      </c>
      <c r="CK117" t="n">
        <v>26</v>
      </c>
      <c r="CL117" t="n">
        <v>197</v>
      </c>
      <c r="CM117" t="n">
        <v>1</v>
      </c>
      <c r="CN117" t="n">
        <v>1</v>
      </c>
      <c r="CP117" t="n">
        <v>26</v>
      </c>
      <c r="CQ117" t="n">
        <v>0</v>
      </c>
      <c r="CR117" t="n">
        <v>11</v>
      </c>
      <c r="CS117" t="n">
        <v>5</v>
      </c>
      <c r="CU117" t="n">
        <v>2</v>
      </c>
      <c r="CV117" t="n">
        <v>1</v>
      </c>
      <c r="CW117" t="n">
        <v>45.12</v>
      </c>
      <c r="CX117" t="n">
        <v>1.523</v>
      </c>
      <c r="CY117" t="n">
        <v>95</v>
      </c>
      <c r="CZ117" t="n">
        <v>70.90000000000001</v>
      </c>
      <c r="DA117" t="n">
        <v>0</v>
      </c>
      <c r="DB117" t="n">
        <v>1</v>
      </c>
      <c r="DC117" t="n">
        <v>15</v>
      </c>
      <c r="DD117" t="n">
        <v>12</v>
      </c>
      <c r="DE117" t="n">
        <v>6.93</v>
      </c>
      <c r="DF117" t="n">
        <v>2</v>
      </c>
      <c r="DG117" t="n">
        <v>0</v>
      </c>
      <c r="DI117" t="n">
        <v>5</v>
      </c>
      <c r="DO117" t="n">
        <v>1.5</v>
      </c>
      <c r="DP117" t="n">
        <v>123.72</v>
      </c>
      <c r="DQ117" t="n">
        <v>61.86</v>
      </c>
      <c r="DR117" t="n">
        <v>123.72</v>
      </c>
      <c r="DS117" t="n">
        <v>0</v>
      </c>
      <c r="DT117" t="n">
        <v>3385</v>
      </c>
      <c r="DU117" t="n">
        <v>89.09</v>
      </c>
      <c r="DV117" t="inlineStr">
        <is>
          <t>flat</t>
        </is>
      </c>
      <c r="DW117" t="n">
        <v>94.01000000000001</v>
      </c>
      <c r="DX117" t="n">
        <v>100.33</v>
      </c>
      <c r="DY117" t="n">
        <v>24.01</v>
      </c>
      <c r="DZ117" t="n">
        <v>15.2</v>
      </c>
      <c r="EA117" t="n">
        <v>120</v>
      </c>
      <c r="EB117" t="n">
        <v>141</v>
      </c>
      <c r="EC117" t="n">
        <v>67.8</v>
      </c>
      <c r="ED117" t="n">
        <v>24.6</v>
      </c>
      <c r="EE117" t="n">
        <v>242</v>
      </c>
      <c r="EH117" t="n">
        <v>2667</v>
      </c>
      <c r="EJ117" t="n">
        <v>88900</v>
      </c>
      <c r="EK117" t="n">
        <v>88900</v>
      </c>
      <c r="EL117" t="n">
        <v>25.4</v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n">
        <v>5.5</v>
      </c>
      <c r="F118" t="b">
        <v>1</v>
      </c>
      <c r="G118" t="b">
        <v>1</v>
      </c>
      <c r="H118" t="n">
        <v>28.6</v>
      </c>
      <c r="I118" t="inlineStr">
        <is>
          <t>a</t>
        </is>
      </c>
      <c r="L118" t="inlineStr">
        <is>
          <t>p486385</t>
        </is>
      </c>
      <c r="M118" t="n">
        <v>248</v>
      </c>
      <c r="N118" t="n">
        <v>4</v>
      </c>
      <c r="Q118" t="n">
        <v>1551</v>
      </c>
      <c r="R118" t="n">
        <v>37</v>
      </c>
      <c r="S118" t="n">
        <v>17</v>
      </c>
      <c r="T118" t="n">
        <v>17.233</v>
      </c>
      <c r="U118" t="n">
        <v>41.9</v>
      </c>
      <c r="V118" t="n">
        <v>104</v>
      </c>
      <c r="W118" t="n">
        <v>6.035</v>
      </c>
      <c r="X118" t="n">
        <v>9</v>
      </c>
      <c r="Y118" t="n">
        <v>1</v>
      </c>
      <c r="Z118" t="n">
        <v>1</v>
      </c>
      <c r="AA118" t="n">
        <v>5</v>
      </c>
      <c r="AB118" t="n">
        <v>19</v>
      </c>
      <c r="AC118" t="n">
        <v>15</v>
      </c>
      <c r="AD118" t="n">
        <v>16</v>
      </c>
      <c r="AE118" t="n">
        <v>1</v>
      </c>
      <c r="AF118" t="n">
        <v>343</v>
      </c>
      <c r="AG118" t="n">
        <v>335</v>
      </c>
      <c r="AH118" t="n">
        <v>-8</v>
      </c>
      <c r="AI118" t="n">
        <v>105</v>
      </c>
      <c r="AJ118" t="n">
        <v>0.144</v>
      </c>
      <c r="AK118" t="n">
        <v>0.169</v>
      </c>
      <c r="AL118" t="n">
        <v>89</v>
      </c>
      <c r="AM118" t="n">
        <v>5.164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0.447</v>
      </c>
      <c r="AT118" t="n">
        <v>0.432</v>
      </c>
      <c r="AU118" t="n">
        <v>29</v>
      </c>
      <c r="AV118" t="n">
        <v>1</v>
      </c>
      <c r="AW118" t="n">
        <v>3.38</v>
      </c>
      <c r="AX118" t="n">
        <v>16</v>
      </c>
      <c r="AY118" t="n">
        <v>8.9</v>
      </c>
      <c r="AZ118" t="n">
        <v>10.948</v>
      </c>
      <c r="BA118" t="n">
        <v>9.923999999999999</v>
      </c>
      <c r="BB118" t="n">
        <v>10.948</v>
      </c>
      <c r="BC118" t="n">
        <v>0.516</v>
      </c>
      <c r="BD118" t="n">
        <v>0.635</v>
      </c>
      <c r="BE118" t="n">
        <v>0.576</v>
      </c>
      <c r="BF118" t="n">
        <v>8.800000000000001</v>
      </c>
      <c r="BG118" t="n">
        <v>0.511</v>
      </c>
      <c r="BH118" t="n">
        <v>0.992</v>
      </c>
      <c r="BI118" t="n">
        <v>23.25</v>
      </c>
      <c r="BJ118" t="n">
        <v>8.829000000000001</v>
      </c>
      <c r="BK118" t="n">
        <v>0.512</v>
      </c>
      <c r="BL118" t="n">
        <v>-0.924</v>
      </c>
      <c r="BM118" t="n">
        <v>-0.1</v>
      </c>
      <c r="BN118" t="n">
        <v>0.2</v>
      </c>
      <c r="BO118" t="n">
        <v>-2.048</v>
      </c>
      <c r="BP118" t="n">
        <v>43</v>
      </c>
      <c r="BQ118" t="n">
        <v>17</v>
      </c>
      <c r="BR118" t="n">
        <v>10</v>
      </c>
      <c r="BS118" t="n">
        <v>95</v>
      </c>
      <c r="BT118" t="n">
        <v>5.513</v>
      </c>
      <c r="BV118" t="n">
        <v>3</v>
      </c>
      <c r="BW118" t="n">
        <v>0.23</v>
      </c>
      <c r="BX118" t="n">
        <v>1.004</v>
      </c>
      <c r="BY118" t="n">
        <v>0.617</v>
      </c>
      <c r="BZ118" t="n">
        <v>0.036</v>
      </c>
      <c r="CA118" t="n">
        <v>10.541</v>
      </c>
      <c r="CB118" t="n">
        <v>0.612</v>
      </c>
      <c r="CC118" t="n">
        <v>12</v>
      </c>
      <c r="CD118" t="n">
        <v>1</v>
      </c>
      <c r="CE118" t="n">
        <v>12</v>
      </c>
      <c r="CI118" t="n">
        <v>12.097</v>
      </c>
      <c r="CJ118" t="n">
        <v>0.9320000000000001</v>
      </c>
      <c r="CK118" t="n">
        <v>49</v>
      </c>
      <c r="CL118" t="n">
        <v>26</v>
      </c>
      <c r="CM118" t="n">
        <v>14</v>
      </c>
      <c r="CN118" t="n">
        <v>4</v>
      </c>
      <c r="CO118" t="n">
        <v>1</v>
      </c>
      <c r="CP118" t="n">
        <v>43</v>
      </c>
      <c r="CQ118" t="n">
        <v>5</v>
      </c>
      <c r="CR118" t="n">
        <v>133</v>
      </c>
      <c r="CS118" t="n">
        <v>92</v>
      </c>
      <c r="CT118" t="n">
        <v>0.5</v>
      </c>
      <c r="CV118" t="n">
        <v>1</v>
      </c>
      <c r="CW118" t="n">
        <v>24.16</v>
      </c>
      <c r="CX118" t="n">
        <v>1.402</v>
      </c>
      <c r="CY118" t="n">
        <v>0</v>
      </c>
      <c r="DB118" t="n">
        <v>0</v>
      </c>
      <c r="DE118" t="n">
        <v>6.51</v>
      </c>
      <c r="DF118" t="n">
        <v>3</v>
      </c>
      <c r="DG118" t="n">
        <v>0</v>
      </c>
      <c r="DH118" t="n">
        <v>33</v>
      </c>
      <c r="DI118" t="n">
        <v>12</v>
      </c>
      <c r="DL118" t="n">
        <v>14</v>
      </c>
      <c r="DM118" t="n">
        <v>30</v>
      </c>
      <c r="DN118" t="n">
        <v>9</v>
      </c>
      <c r="DO118" t="n">
        <v>3</v>
      </c>
      <c r="DP118" t="n">
        <v>59.38</v>
      </c>
      <c r="DQ118" t="n">
        <v>29.69</v>
      </c>
      <c r="DR118" t="n">
        <v>59.38</v>
      </c>
      <c r="DS118" t="n">
        <v>0</v>
      </c>
      <c r="DT118" t="n">
        <v>858</v>
      </c>
      <c r="DU118" t="n">
        <v>22.58</v>
      </c>
      <c r="DV118" t="inlineStr">
        <is>
          <t>flat</t>
        </is>
      </c>
      <c r="DW118" t="n">
        <v>79.69</v>
      </c>
      <c r="DX118" t="n">
        <v>92.55</v>
      </c>
      <c r="DY118" t="n">
        <v>23.31</v>
      </c>
      <c r="DZ118" t="n">
        <v>21.33</v>
      </c>
      <c r="EA118" t="n">
        <v>117.33</v>
      </c>
      <c r="EB118" t="n">
        <v>98</v>
      </c>
      <c r="EC118" t="n">
        <v>47.1</v>
      </c>
      <c r="ED118" t="n">
        <v>4.9</v>
      </c>
      <c r="EE118" t="n">
        <v>133</v>
      </c>
      <c r="EF118" t="n">
        <v>36.1</v>
      </c>
      <c r="EG118" t="n">
        <v>16.3</v>
      </c>
      <c r="EH118" t="n">
        <v>129.2</v>
      </c>
      <c r="EI118" t="n">
        <v>156.3</v>
      </c>
      <c r="EJ118" t="n">
        <v>2513.4</v>
      </c>
      <c r="EK118" t="n">
        <v>147.1</v>
      </c>
      <c r="EL118" t="n">
        <v>14.9</v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n">
        <v>5</v>
      </c>
      <c r="F119" t="b">
        <v>1</v>
      </c>
      <c r="G119" t="b">
        <v>1</v>
      </c>
      <c r="H119" t="n">
        <v>22.5</v>
      </c>
      <c r="I119" t="inlineStr">
        <is>
          <t>a</t>
        </is>
      </c>
      <c r="L119" t="inlineStr">
        <is>
          <t>p508395</t>
        </is>
      </c>
      <c r="M119" t="n">
        <v>102</v>
      </c>
      <c r="Q119" t="n">
        <v>2652</v>
      </c>
      <c r="R119" t="n">
        <v>37</v>
      </c>
      <c r="S119" t="n">
        <v>30</v>
      </c>
      <c r="T119" t="n">
        <v>29.467</v>
      </c>
      <c r="U119" t="n">
        <v>71.7</v>
      </c>
      <c r="V119" t="n">
        <v>104</v>
      </c>
      <c r="W119" t="n">
        <v>3.529</v>
      </c>
      <c r="X119" t="n">
        <v>1</v>
      </c>
      <c r="Y119" t="n">
        <v>3</v>
      </c>
      <c r="Z119" t="n">
        <v>2</v>
      </c>
      <c r="AA119" t="n">
        <v>8</v>
      </c>
      <c r="AB119" t="n">
        <v>42</v>
      </c>
      <c r="AC119" t="n">
        <v>1</v>
      </c>
      <c r="AD119" t="n">
        <v>1</v>
      </c>
      <c r="AE119" t="n">
        <v>0</v>
      </c>
      <c r="AF119" t="n">
        <v>448</v>
      </c>
      <c r="AG119" t="n">
        <v>430</v>
      </c>
      <c r="AH119" t="n">
        <v>-18</v>
      </c>
      <c r="AI119" t="n">
        <v>104</v>
      </c>
      <c r="AJ119" t="n">
        <v>0.01</v>
      </c>
      <c r="AK119" t="n">
        <v>0.01</v>
      </c>
      <c r="AL119" t="n">
        <v>338</v>
      </c>
      <c r="AM119" t="n">
        <v>11.471</v>
      </c>
      <c r="AN119" t="n">
        <v>11</v>
      </c>
      <c r="AO119" t="n">
        <v>22</v>
      </c>
      <c r="AP119" t="n">
        <v>0.367</v>
      </c>
      <c r="AQ119" t="n">
        <v>0.5669999999999999</v>
      </c>
      <c r="AR119" t="n">
        <v>0.367</v>
      </c>
      <c r="AS119" t="n">
        <v>0.789</v>
      </c>
      <c r="AT119" t="n">
        <v>0.784</v>
      </c>
      <c r="AU119" t="n">
        <v>20</v>
      </c>
      <c r="AV119" t="n">
        <v>0</v>
      </c>
      <c r="AW119" t="n">
        <v>2.01</v>
      </c>
      <c r="AX119" t="n">
        <v>8</v>
      </c>
      <c r="AY119" t="n">
        <v>1.22</v>
      </c>
      <c r="AZ119" t="n">
        <v>1.375</v>
      </c>
      <c r="BA119" t="n">
        <v>1.298</v>
      </c>
      <c r="BB119" t="n">
        <v>1.375</v>
      </c>
      <c r="BC119" t="n">
        <v>0.041</v>
      </c>
      <c r="BD119" t="n">
        <v>0.047</v>
      </c>
      <c r="BE119" t="n">
        <v>0.044</v>
      </c>
      <c r="BF119" t="n">
        <v>0.8</v>
      </c>
      <c r="BG119" t="n">
        <v>0.027</v>
      </c>
      <c r="BH119" t="n">
        <v>0.974</v>
      </c>
      <c r="BI119" t="n">
        <v>2.78</v>
      </c>
      <c r="BJ119" t="n">
        <v>1.188</v>
      </c>
      <c r="BK119" t="n">
        <v>0.04</v>
      </c>
      <c r="BL119" t="n">
        <v>-0.298</v>
      </c>
      <c r="BM119" t="n">
        <v>-0.42</v>
      </c>
      <c r="BN119" t="n">
        <v>0.2</v>
      </c>
      <c r="BO119" t="n">
        <v>-0.155</v>
      </c>
      <c r="BP119" t="n">
        <v>16</v>
      </c>
      <c r="BQ119" t="n">
        <v>4</v>
      </c>
      <c r="BS119" t="n">
        <v>18</v>
      </c>
      <c r="BT119" t="n">
        <v>0.611</v>
      </c>
      <c r="BW119" t="n">
        <v>1.39</v>
      </c>
      <c r="BX119" t="n">
        <v>1.257</v>
      </c>
      <c r="BY119" t="n">
        <v>1.324</v>
      </c>
      <c r="BZ119" t="n">
        <v>0.045</v>
      </c>
      <c r="CA119" t="n">
        <v>2.621</v>
      </c>
      <c r="CB119" t="n">
        <v>0.089</v>
      </c>
      <c r="CC119" t="n">
        <v>14</v>
      </c>
      <c r="CD119" t="n">
        <v>1</v>
      </c>
      <c r="CE119" t="n">
        <v>14</v>
      </c>
      <c r="CF119" t="n">
        <v>8</v>
      </c>
      <c r="CG119" t="n">
        <v>1</v>
      </c>
      <c r="CH119" t="n">
        <v>0</v>
      </c>
      <c r="CI119" t="n">
        <v>9.288</v>
      </c>
      <c r="CJ119" t="n">
        <v>7.919</v>
      </c>
      <c r="CK119" t="n">
        <v>83</v>
      </c>
      <c r="CL119" t="n">
        <v>186</v>
      </c>
      <c r="CM119" t="n">
        <v>69</v>
      </c>
      <c r="CN119" t="n">
        <v>45</v>
      </c>
      <c r="CO119" t="n">
        <v>28</v>
      </c>
      <c r="CP119" t="n">
        <v>41</v>
      </c>
      <c r="CQ119" t="n">
        <v>14</v>
      </c>
      <c r="CR119" t="n">
        <v>129</v>
      </c>
      <c r="CS119" t="n">
        <v>32</v>
      </c>
      <c r="CT119" t="n">
        <v>0.5</v>
      </c>
      <c r="CV119" t="n">
        <v>1</v>
      </c>
      <c r="CW119" t="n">
        <v>40.31</v>
      </c>
      <c r="CX119" t="n">
        <v>1.368</v>
      </c>
      <c r="CY119" t="n">
        <v>0</v>
      </c>
      <c r="DB119" t="n">
        <v>0</v>
      </c>
      <c r="DE119" t="n">
        <v>6.78</v>
      </c>
      <c r="DF119" t="n">
        <v>7</v>
      </c>
      <c r="DG119" t="n">
        <v>0</v>
      </c>
      <c r="DH119" t="n">
        <v>37</v>
      </c>
      <c r="DI119" t="n">
        <v>12</v>
      </c>
      <c r="DL119" t="n">
        <v>15</v>
      </c>
      <c r="DM119" t="n">
        <v>23</v>
      </c>
      <c r="DN119" t="n">
        <v>1</v>
      </c>
      <c r="DO119" t="n">
        <v>1.5</v>
      </c>
      <c r="DP119" t="n">
        <v>120.36</v>
      </c>
      <c r="DQ119" t="n">
        <v>59.85</v>
      </c>
      <c r="DR119" t="n">
        <v>119.7</v>
      </c>
      <c r="DS119" t="n">
        <v>0.66</v>
      </c>
      <c r="DT119" t="n">
        <v>2987</v>
      </c>
      <c r="DU119" t="n">
        <v>78.59999999999999</v>
      </c>
      <c r="DV119" t="inlineStr">
        <is>
          <t>flat</t>
        </is>
      </c>
      <c r="EF119" t="n">
        <v>165.8</v>
      </c>
      <c r="EG119" t="n">
        <v>147.3</v>
      </c>
      <c r="EH119" t="n">
        <v>189.4</v>
      </c>
      <c r="EI119" t="n">
        <v>2043.7</v>
      </c>
      <c r="EJ119" t="n">
        <v>2003.5</v>
      </c>
      <c r="EK119" t="n">
        <v>1011.7</v>
      </c>
      <c r="EL119" t="n">
        <v>25.5</v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n">
        <v>5.5</v>
      </c>
      <c r="F120" t="b">
        <v>1</v>
      </c>
      <c r="G120" t="b">
        <v>1</v>
      </c>
      <c r="H120" t="n">
        <v>30.3</v>
      </c>
      <c r="I120" t="inlineStr">
        <is>
          <t>a</t>
        </is>
      </c>
      <c r="L120" t="inlineStr">
        <is>
          <t>p153133</t>
        </is>
      </c>
      <c r="M120" t="n">
        <v>261</v>
      </c>
      <c r="N120" t="n">
        <v>3</v>
      </c>
      <c r="O120" t="n">
        <v>2</v>
      </c>
      <c r="P120" t="n">
        <v>1</v>
      </c>
      <c r="Q120" t="n">
        <v>2420</v>
      </c>
      <c r="R120" t="n">
        <v>29</v>
      </c>
      <c r="S120" t="n">
        <v>29</v>
      </c>
      <c r="T120" t="n">
        <v>26.889</v>
      </c>
      <c r="U120" t="n">
        <v>83.40000000000001</v>
      </c>
      <c r="V120" t="n">
        <v>103</v>
      </c>
      <c r="W120" t="n">
        <v>3.831</v>
      </c>
      <c r="X120" t="n">
        <v>4</v>
      </c>
      <c r="Y120" t="n">
        <v>3</v>
      </c>
      <c r="Z120" t="n">
        <v>3</v>
      </c>
      <c r="AA120" t="n">
        <v>5</v>
      </c>
      <c r="AB120" t="n">
        <v>40</v>
      </c>
      <c r="AC120" t="n">
        <v>13</v>
      </c>
      <c r="AD120" t="n">
        <v>14</v>
      </c>
      <c r="AE120" t="n">
        <v>1</v>
      </c>
      <c r="AF120" t="n">
        <v>508</v>
      </c>
      <c r="AG120" t="n">
        <v>500</v>
      </c>
      <c r="AH120" t="n">
        <v>-8</v>
      </c>
      <c r="AI120" t="n">
        <v>104</v>
      </c>
      <c r="AJ120" t="n">
        <v>0.126</v>
      </c>
      <c r="AK120" t="n">
        <v>0.144</v>
      </c>
      <c r="AL120" t="n">
        <v>188</v>
      </c>
      <c r="AM120" t="n">
        <v>6.992</v>
      </c>
      <c r="AN120" t="n">
        <v>1</v>
      </c>
      <c r="AO120" t="n">
        <v>2</v>
      </c>
      <c r="AP120" t="n">
        <v>0.034</v>
      </c>
      <c r="AQ120" t="n">
        <v>0.103</v>
      </c>
      <c r="AR120" t="n">
        <v>0.034</v>
      </c>
      <c r="AS120" t="n">
        <v>0.763</v>
      </c>
      <c r="AT120" t="n">
        <v>0.966</v>
      </c>
      <c r="AU120" t="n">
        <v>17</v>
      </c>
      <c r="AV120" t="n">
        <v>3</v>
      </c>
      <c r="AW120" t="n">
        <v>3.25</v>
      </c>
      <c r="AX120" t="n">
        <v>13</v>
      </c>
      <c r="AY120" t="n">
        <v>1.91</v>
      </c>
      <c r="AZ120" t="n">
        <v>2.403</v>
      </c>
      <c r="BA120" t="n">
        <v>2.157</v>
      </c>
      <c r="BB120" t="n">
        <v>2.403</v>
      </c>
      <c r="BC120" t="n">
        <v>0.07099999999999999</v>
      </c>
      <c r="BD120" t="n">
        <v>0.089</v>
      </c>
      <c r="BE120" t="n">
        <v>0.08</v>
      </c>
      <c r="BF120" t="n">
        <v>2.4</v>
      </c>
      <c r="BG120" t="n">
        <v>0.089</v>
      </c>
      <c r="BH120" t="n">
        <v>1.194</v>
      </c>
      <c r="BI120" t="n">
        <v>14.03</v>
      </c>
      <c r="BJ120" t="n">
        <v>2.28</v>
      </c>
      <c r="BK120" t="n">
        <v>0.08500000000000001</v>
      </c>
      <c r="BL120" t="n">
        <v>1.843</v>
      </c>
      <c r="BM120" t="n">
        <v>0.49</v>
      </c>
      <c r="BN120" t="n">
        <v>1.6</v>
      </c>
      <c r="BO120" t="n">
        <v>-0.493</v>
      </c>
      <c r="BP120" t="n">
        <v>39</v>
      </c>
      <c r="BQ120" t="n">
        <v>15</v>
      </c>
      <c r="BR120" t="n">
        <v>0</v>
      </c>
      <c r="BS120" t="n">
        <v>62</v>
      </c>
      <c r="BT120" t="n">
        <v>2.306</v>
      </c>
      <c r="BW120" t="n">
        <v>4.7</v>
      </c>
      <c r="BX120" t="n">
        <v>3.63</v>
      </c>
      <c r="BY120" t="n">
        <v>4.165</v>
      </c>
      <c r="BZ120" t="n">
        <v>0.155</v>
      </c>
      <c r="CA120" t="n">
        <v>6.322</v>
      </c>
      <c r="CB120" t="n">
        <v>0.235</v>
      </c>
      <c r="CC120" t="n">
        <v>42</v>
      </c>
      <c r="CD120" t="n">
        <v>4</v>
      </c>
      <c r="CE120" t="n">
        <v>44</v>
      </c>
      <c r="CF120" t="n">
        <v>32</v>
      </c>
      <c r="CG120" t="n">
        <v>4</v>
      </c>
      <c r="CH120" t="n">
        <v>41</v>
      </c>
      <c r="CI120" t="n">
        <v>10.425</v>
      </c>
      <c r="CJ120" t="n">
        <v>6.602</v>
      </c>
      <c r="CK120" t="n">
        <v>35</v>
      </c>
      <c r="CL120" t="n">
        <v>126</v>
      </c>
      <c r="CM120" t="n">
        <v>27</v>
      </c>
      <c r="CN120" t="n">
        <v>19</v>
      </c>
      <c r="CO120" t="n">
        <v>14</v>
      </c>
      <c r="CP120" t="n">
        <v>18</v>
      </c>
      <c r="CQ120" t="n">
        <v>3</v>
      </c>
      <c r="CR120" t="n">
        <v>62</v>
      </c>
      <c r="CS120" t="n">
        <v>7</v>
      </c>
      <c r="CT120" t="n">
        <v>0.4</v>
      </c>
      <c r="CV120" t="n">
        <v>1</v>
      </c>
      <c r="CW120" t="n">
        <v>35.7</v>
      </c>
      <c r="CX120" t="n">
        <v>1.328</v>
      </c>
      <c r="CY120" t="n">
        <v>0</v>
      </c>
      <c r="DB120" t="n">
        <v>0</v>
      </c>
      <c r="DE120" t="n">
        <v>7.04</v>
      </c>
      <c r="DF120" t="n">
        <v>3</v>
      </c>
      <c r="DG120" t="n">
        <v>0</v>
      </c>
      <c r="DH120" t="n">
        <v>8</v>
      </c>
      <c r="DI120" t="n">
        <v>10</v>
      </c>
      <c r="DL120" t="n">
        <v>19</v>
      </c>
      <c r="DM120" t="n">
        <v>24</v>
      </c>
      <c r="DN120" t="n">
        <v>1</v>
      </c>
      <c r="DO120" t="n">
        <v>1</v>
      </c>
      <c r="DP120" t="n">
        <v>134.84</v>
      </c>
      <c r="DQ120" t="n">
        <v>67.45</v>
      </c>
      <c r="DR120" t="n">
        <v>134.9</v>
      </c>
      <c r="DS120" t="n">
        <v>-0.06</v>
      </c>
      <c r="DT120" t="n">
        <v>3152</v>
      </c>
      <c r="DU120" t="n">
        <v>82.95</v>
      </c>
      <c r="DV120" t="inlineStr">
        <is>
          <t>flat</t>
        </is>
      </c>
      <c r="DW120" t="n">
        <v>87.68000000000001</v>
      </c>
      <c r="DX120" t="n">
        <v>95</v>
      </c>
      <c r="DY120" t="n">
        <v>18.01</v>
      </c>
      <c r="DZ120" t="n">
        <v>43.2</v>
      </c>
      <c r="EA120" t="n">
        <v>117.82</v>
      </c>
      <c r="EB120" t="n">
        <v>24</v>
      </c>
      <c r="EC120" t="n">
        <v>11.5</v>
      </c>
      <c r="ED120" t="n">
        <v>0</v>
      </c>
      <c r="EE120" t="n">
        <v>135</v>
      </c>
      <c r="EF120" t="n">
        <v>62.1</v>
      </c>
      <c r="EG120" t="n">
        <v>39</v>
      </c>
      <c r="EH120" t="n">
        <v>55</v>
      </c>
      <c r="EI120" t="n">
        <v>1122.1</v>
      </c>
      <c r="EJ120" t="n">
        <v>581</v>
      </c>
      <c r="EK120" t="n">
        <v>382.8</v>
      </c>
      <c r="EL120" t="n">
        <v>23.5</v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n">
        <v>4.5</v>
      </c>
      <c r="F121" t="b">
        <v>1</v>
      </c>
      <c r="G121" t="b">
        <v>1</v>
      </c>
      <c r="H121" t="n">
        <v>26.6</v>
      </c>
      <c r="I121" t="inlineStr">
        <is>
          <t>a</t>
        </is>
      </c>
      <c r="L121" t="inlineStr">
        <is>
          <t>p232892</t>
        </is>
      </c>
      <c r="M121" t="n">
        <v>257</v>
      </c>
      <c r="Q121" t="n">
        <v>2532</v>
      </c>
      <c r="R121" t="n">
        <v>30</v>
      </c>
      <c r="S121" t="n">
        <v>28</v>
      </c>
      <c r="T121" t="n">
        <v>28.133</v>
      </c>
      <c r="U121" t="n">
        <v>84.40000000000001</v>
      </c>
      <c r="V121" t="n">
        <v>103</v>
      </c>
      <c r="W121" t="n">
        <v>3.661</v>
      </c>
      <c r="X121" t="n">
        <v>1</v>
      </c>
      <c r="Y121" t="n">
        <v>1</v>
      </c>
      <c r="AA121" t="n">
        <v>7</v>
      </c>
      <c r="AB121" t="n">
        <v>40</v>
      </c>
      <c r="AC121" t="n">
        <v>9</v>
      </c>
      <c r="AD121" t="n">
        <v>9</v>
      </c>
      <c r="AE121" t="n">
        <v>0</v>
      </c>
      <c r="AF121" t="n">
        <v>392</v>
      </c>
      <c r="AG121" t="n">
        <v>363</v>
      </c>
      <c r="AH121" t="n">
        <v>-29</v>
      </c>
      <c r="AI121" t="n">
        <v>103</v>
      </c>
      <c r="AJ121" t="n">
        <v>0.08699999999999999</v>
      </c>
      <c r="AK121" t="n">
        <v>0.096</v>
      </c>
      <c r="AL121" t="n">
        <v>205</v>
      </c>
      <c r="AM121" t="n">
        <v>7.287</v>
      </c>
      <c r="AN121" t="n">
        <v>8</v>
      </c>
      <c r="AO121" t="n">
        <v>16</v>
      </c>
      <c r="AP121" t="n">
        <v>0.286</v>
      </c>
      <c r="AQ121" t="n">
        <v>0.286</v>
      </c>
      <c r="AR121" t="n">
        <v>0.143</v>
      </c>
      <c r="AS121" t="n">
        <v>0.737</v>
      </c>
      <c r="AT121" t="n">
        <v>0.9330000000000001</v>
      </c>
      <c r="AU121" t="n">
        <v>17</v>
      </c>
      <c r="AV121" t="n">
        <v>0</v>
      </c>
      <c r="AW121" t="n">
        <v>2.95</v>
      </c>
      <c r="AX121" t="n">
        <v>9</v>
      </c>
      <c r="AY121" t="n">
        <v>1.71</v>
      </c>
      <c r="AZ121" t="n">
        <v>1.191</v>
      </c>
      <c r="BA121" t="n">
        <v>1.45</v>
      </c>
      <c r="BB121" t="n">
        <v>1.191</v>
      </c>
      <c r="BC121" t="n">
        <v>0.061</v>
      </c>
      <c r="BD121" t="n">
        <v>0.042</v>
      </c>
      <c r="BE121" t="n">
        <v>0.052</v>
      </c>
      <c r="BF121" t="n">
        <v>1.3</v>
      </c>
      <c r="BG121" t="n">
        <v>0.046</v>
      </c>
      <c r="BH121" t="n">
        <v>0.928</v>
      </c>
      <c r="BI121" t="n">
        <v>3.1</v>
      </c>
      <c r="BJ121" t="n">
        <v>1.587</v>
      </c>
      <c r="BK121" t="n">
        <v>0.056</v>
      </c>
      <c r="BL121" t="n">
        <v>-0.45</v>
      </c>
      <c r="BM121" t="n">
        <v>-0.41</v>
      </c>
      <c r="BN121" t="n">
        <v>-0.3</v>
      </c>
      <c r="BO121" t="n">
        <v>0.519</v>
      </c>
      <c r="BP121" t="n">
        <v>13</v>
      </c>
      <c r="BQ121" t="n">
        <v>2</v>
      </c>
      <c r="BR121" t="n">
        <v>0</v>
      </c>
      <c r="BS121" t="n">
        <v>19</v>
      </c>
      <c r="BT121" t="n">
        <v>0.675</v>
      </c>
      <c r="BV121" t="n">
        <v>1</v>
      </c>
      <c r="BW121" t="n">
        <v>0.35</v>
      </c>
      <c r="BX121" t="n">
        <v>0.431</v>
      </c>
      <c r="BY121" t="n">
        <v>0.39</v>
      </c>
      <c r="BZ121" t="n">
        <v>0.014</v>
      </c>
      <c r="CA121" t="n">
        <v>1.841</v>
      </c>
      <c r="CB121" t="n">
        <v>0.065</v>
      </c>
      <c r="CC121" t="n">
        <v>10</v>
      </c>
      <c r="CE121" t="n">
        <v>10</v>
      </c>
      <c r="CF121" t="n">
        <v>3</v>
      </c>
      <c r="CI121" t="n">
        <v>6.189</v>
      </c>
      <c r="CJ121" t="n">
        <v>5.893</v>
      </c>
      <c r="CK121" t="n">
        <v>143</v>
      </c>
      <c r="CL121" t="n">
        <v>119</v>
      </c>
      <c r="CM121" t="n">
        <v>62</v>
      </c>
      <c r="CN121" t="n">
        <v>36</v>
      </c>
      <c r="CO121" t="n">
        <v>22</v>
      </c>
      <c r="CP121" t="n">
        <v>99</v>
      </c>
      <c r="CQ121" t="n">
        <v>21</v>
      </c>
      <c r="CR121" t="n">
        <v>151</v>
      </c>
      <c r="CS121" t="n">
        <v>39</v>
      </c>
      <c r="CT121" t="n">
        <v>0.1</v>
      </c>
      <c r="CU121" t="n">
        <v>2</v>
      </c>
      <c r="CV121" t="n">
        <v>3</v>
      </c>
      <c r="CW121" t="n">
        <v>38.01</v>
      </c>
      <c r="CX121" t="n">
        <v>1.351</v>
      </c>
      <c r="CY121" t="n">
        <v>0</v>
      </c>
      <c r="DB121" t="n">
        <v>0</v>
      </c>
      <c r="DE121" t="n">
        <v>6.81</v>
      </c>
      <c r="DF121" t="n">
        <v>5</v>
      </c>
      <c r="DG121" t="n">
        <v>0</v>
      </c>
      <c r="DH121" t="n">
        <v>28</v>
      </c>
      <c r="DI121" t="n">
        <v>40</v>
      </c>
      <c r="DJ121" t="n">
        <v>1</v>
      </c>
      <c r="DK121" t="n">
        <v>1</v>
      </c>
      <c r="DL121" t="n">
        <v>10</v>
      </c>
      <c r="DM121" t="n">
        <v>17</v>
      </c>
      <c r="DN121" t="n">
        <v>0</v>
      </c>
      <c r="DO121" t="n">
        <v>0.6</v>
      </c>
      <c r="DP121" t="n">
        <v>106.29</v>
      </c>
      <c r="DQ121" t="n">
        <v>53.24</v>
      </c>
      <c r="DR121" t="n">
        <v>106.48</v>
      </c>
      <c r="DS121" t="n">
        <v>-0.19</v>
      </c>
      <c r="DT121" t="n">
        <v>3141</v>
      </c>
      <c r="DU121" t="n">
        <v>82.65000000000001</v>
      </c>
      <c r="DV121" t="inlineStr">
        <is>
          <t>flat</t>
        </is>
      </c>
      <c r="DW121" t="n">
        <v>92.27</v>
      </c>
      <c r="DX121" t="n">
        <v>107</v>
      </c>
      <c r="DY121" t="n">
        <v>15.12</v>
      </c>
      <c r="DZ121" t="n">
        <v>64</v>
      </c>
      <c r="EA121" t="n">
        <v>108.57</v>
      </c>
      <c r="EB121" t="n">
        <v>12</v>
      </c>
      <c r="EC121" t="n">
        <v>5.8</v>
      </c>
      <c r="ED121" t="n">
        <v>7.7</v>
      </c>
      <c r="EE121" t="n">
        <v>400</v>
      </c>
      <c r="EF121" t="n">
        <v>194.8</v>
      </c>
      <c r="EG121" t="n">
        <v>133.3</v>
      </c>
      <c r="EH121" t="n">
        <v>253.2</v>
      </c>
      <c r="EI121" t="n">
        <v>1745.6</v>
      </c>
      <c r="EJ121" t="n">
        <v>6484.4</v>
      </c>
      <c r="EK121" t="n">
        <v>1375.4</v>
      </c>
      <c r="EL121" t="n">
        <v>24.6</v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n">
        <v>5.5</v>
      </c>
      <c r="F122" t="b">
        <v>1</v>
      </c>
      <c r="G122" t="b">
        <v>1</v>
      </c>
      <c r="H122" t="n">
        <v>31.8</v>
      </c>
      <c r="I122" t="inlineStr">
        <is>
          <t>a</t>
        </is>
      </c>
      <c r="L122" t="inlineStr">
        <is>
          <t>p122806</t>
        </is>
      </c>
      <c r="M122" t="n">
        <v>45</v>
      </c>
      <c r="O122" t="n">
        <v>2</v>
      </c>
      <c r="Q122" t="n">
        <v>2136</v>
      </c>
      <c r="R122" t="n">
        <v>30</v>
      </c>
      <c r="S122" t="n">
        <v>28</v>
      </c>
      <c r="T122" t="n">
        <v>23.733</v>
      </c>
      <c r="U122" t="n">
        <v>71.2</v>
      </c>
      <c r="V122" t="n">
        <v>103</v>
      </c>
      <c r="W122" t="n">
        <v>4.34</v>
      </c>
      <c r="X122" t="n">
        <v>5</v>
      </c>
      <c r="Y122" t="n">
        <v>4</v>
      </c>
      <c r="Z122" t="n">
        <v>4</v>
      </c>
      <c r="AA122" t="n">
        <v>8</v>
      </c>
      <c r="AB122" t="n">
        <v>28</v>
      </c>
      <c r="AC122" t="n">
        <v>6</v>
      </c>
      <c r="AD122" t="n">
        <v>7</v>
      </c>
      <c r="AE122" t="n">
        <v>1</v>
      </c>
      <c r="AF122" t="n">
        <v>443</v>
      </c>
      <c r="AG122" t="n">
        <v>438</v>
      </c>
      <c r="AH122" t="n">
        <v>-5</v>
      </c>
      <c r="AI122" t="n">
        <v>104</v>
      </c>
      <c r="AJ122" t="n">
        <v>0.058</v>
      </c>
      <c r="AK122" t="n">
        <v>0.062</v>
      </c>
      <c r="AL122" t="n">
        <v>150</v>
      </c>
      <c r="AM122" t="n">
        <v>6.32</v>
      </c>
      <c r="AN122" t="n">
        <v>1</v>
      </c>
      <c r="AO122" t="n">
        <v>2</v>
      </c>
      <c r="AP122" t="n">
        <v>0.036</v>
      </c>
      <c r="AQ122" t="n">
        <v>0.07099999999999999</v>
      </c>
      <c r="AR122" t="n">
        <v>0.036</v>
      </c>
      <c r="AS122" t="n">
        <v>0.737</v>
      </c>
      <c r="AT122" t="n">
        <v>0.833</v>
      </c>
      <c r="AU122" t="n">
        <v>16</v>
      </c>
      <c r="AV122" t="n">
        <v>2</v>
      </c>
      <c r="AW122" t="n">
        <v>3.15</v>
      </c>
      <c r="AX122" t="n">
        <v>15</v>
      </c>
      <c r="AY122" t="n">
        <v>3</v>
      </c>
      <c r="AZ122" t="n">
        <v>2.999</v>
      </c>
      <c r="BA122" t="n">
        <v>3</v>
      </c>
      <c r="BB122" t="n">
        <v>2.999</v>
      </c>
      <c r="BC122" t="n">
        <v>0.126</v>
      </c>
      <c r="BD122" t="n">
        <v>0.126</v>
      </c>
      <c r="BE122" t="n">
        <v>0.126</v>
      </c>
      <c r="BF122" t="n">
        <v>3.9</v>
      </c>
      <c r="BG122" t="n">
        <v>0.164</v>
      </c>
      <c r="BH122" t="n">
        <v>0.967</v>
      </c>
      <c r="BI122" t="n">
        <v>13.51</v>
      </c>
      <c r="BJ122" t="n">
        <v>2.901</v>
      </c>
      <c r="BK122" t="n">
        <v>0.122</v>
      </c>
      <c r="BL122" t="n">
        <v>2</v>
      </c>
      <c r="BM122" t="n">
        <v>0.9</v>
      </c>
      <c r="BN122" t="n">
        <v>1.1</v>
      </c>
      <c r="BO122" t="n">
        <v>0.001</v>
      </c>
      <c r="BP122" t="n">
        <v>28</v>
      </c>
      <c r="BQ122" t="n">
        <v>12</v>
      </c>
      <c r="BR122" t="n">
        <v>4</v>
      </c>
      <c r="BS122" t="n">
        <v>55</v>
      </c>
      <c r="BT122" t="n">
        <v>2.317</v>
      </c>
      <c r="BW122" t="n">
        <v>4.11</v>
      </c>
      <c r="BX122" t="n">
        <v>4.862</v>
      </c>
      <c r="BY122" t="n">
        <v>4.486</v>
      </c>
      <c r="BZ122" t="n">
        <v>0.189</v>
      </c>
      <c r="CA122" t="n">
        <v>7.486</v>
      </c>
      <c r="CB122" t="n">
        <v>0.315</v>
      </c>
      <c r="CC122" t="n">
        <v>39</v>
      </c>
      <c r="CD122" t="n">
        <v>7</v>
      </c>
      <c r="CE122" t="n">
        <v>41</v>
      </c>
      <c r="CF122" t="n">
        <v>21</v>
      </c>
      <c r="CG122" t="n">
        <v>1</v>
      </c>
      <c r="CH122" t="n">
        <v>28</v>
      </c>
      <c r="CI122" t="n">
        <v>10.931</v>
      </c>
      <c r="CJ122" t="n">
        <v>5.892</v>
      </c>
      <c r="CK122" t="n">
        <v>32</v>
      </c>
      <c r="CL122" t="n">
        <v>89</v>
      </c>
      <c r="CM122" t="n">
        <v>29</v>
      </c>
      <c r="CN122" t="n">
        <v>17</v>
      </c>
      <c r="CO122" t="n">
        <v>12</v>
      </c>
      <c r="CP122" t="n">
        <v>15</v>
      </c>
      <c r="CQ122" t="n">
        <v>5</v>
      </c>
      <c r="CR122" t="n">
        <v>107</v>
      </c>
      <c r="CS122" t="n">
        <v>11</v>
      </c>
      <c r="CT122" t="n">
        <v>0.9</v>
      </c>
      <c r="CV122" t="n">
        <v>1</v>
      </c>
      <c r="CW122" t="n">
        <v>33.08</v>
      </c>
      <c r="CX122" t="n">
        <v>1.394</v>
      </c>
      <c r="CY122" t="n">
        <v>0</v>
      </c>
      <c r="DB122" t="n">
        <v>0</v>
      </c>
      <c r="DE122" t="n">
        <v>7</v>
      </c>
      <c r="DF122" t="n">
        <v>5</v>
      </c>
      <c r="DG122" t="n">
        <v>0</v>
      </c>
      <c r="DH122" t="n">
        <v>31</v>
      </c>
      <c r="DI122" t="n">
        <v>48</v>
      </c>
      <c r="DL122" t="n">
        <v>19</v>
      </c>
      <c r="DM122" t="n">
        <v>46</v>
      </c>
      <c r="DO122" t="n">
        <v>3</v>
      </c>
      <c r="DP122" t="n">
        <v>134.72</v>
      </c>
      <c r="DQ122" t="n">
        <v>67.36</v>
      </c>
      <c r="DR122" t="n">
        <v>134.72</v>
      </c>
      <c r="DS122" t="n">
        <v>0</v>
      </c>
      <c r="DT122" t="n">
        <v>2844</v>
      </c>
      <c r="DU122" t="n">
        <v>74.84999999999999</v>
      </c>
      <c r="DV122" t="inlineStr">
        <is>
          <t>flat</t>
        </is>
      </c>
      <c r="DW122" t="n">
        <v>77.67</v>
      </c>
      <c r="DX122" t="n">
        <v>68.83</v>
      </c>
      <c r="DY122" t="n">
        <v>24.16</v>
      </c>
      <c r="DZ122" t="n">
        <v>22.67</v>
      </c>
      <c r="EA122" t="n">
        <v>112</v>
      </c>
      <c r="EB122" t="n">
        <v>46</v>
      </c>
      <c r="EC122" t="n">
        <v>22.1</v>
      </c>
      <c r="ED122" t="n">
        <v>2.1</v>
      </c>
      <c r="EE122" t="n">
        <v>134</v>
      </c>
      <c r="EF122" t="n">
        <v>76.3</v>
      </c>
      <c r="EG122" t="n">
        <v>38.8</v>
      </c>
      <c r="EH122" t="n">
        <v>52.1</v>
      </c>
      <c r="EI122" t="n">
        <v>712.1</v>
      </c>
      <c r="EJ122" t="n">
        <v>476.1</v>
      </c>
      <c r="EK122" t="n">
        <v>285.3</v>
      </c>
      <c r="EL122" t="n">
        <v>20.7</v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n">
        <v>6</v>
      </c>
      <c r="F123" t="b">
        <v>1</v>
      </c>
      <c r="G123" t="b">
        <v>1</v>
      </c>
      <c r="H123" t="n">
        <v>29.7</v>
      </c>
      <c r="I123" t="inlineStr">
        <is>
          <t>a</t>
        </is>
      </c>
      <c r="L123" t="inlineStr">
        <is>
          <t>p195546</t>
        </is>
      </c>
      <c r="M123" t="n">
        <v>41</v>
      </c>
      <c r="N123" t="n">
        <v>1</v>
      </c>
      <c r="P123" t="n">
        <v>1</v>
      </c>
      <c r="Q123" t="n">
        <v>1753</v>
      </c>
      <c r="R123" t="n">
        <v>36</v>
      </c>
      <c r="S123" t="n">
        <v>21</v>
      </c>
      <c r="T123" t="n">
        <v>19.478</v>
      </c>
      <c r="U123" t="n">
        <v>48.7</v>
      </c>
      <c r="V123" t="n">
        <v>102</v>
      </c>
      <c r="W123" t="n">
        <v>5.237</v>
      </c>
      <c r="X123" t="n">
        <v>6</v>
      </c>
      <c r="Y123" t="n">
        <v>2</v>
      </c>
      <c r="Z123" t="n">
        <v>2</v>
      </c>
      <c r="AA123" t="n">
        <v>3</v>
      </c>
      <c r="AB123" t="n">
        <v>24</v>
      </c>
      <c r="AC123" t="n">
        <v>10</v>
      </c>
      <c r="AD123" t="n">
        <v>10</v>
      </c>
      <c r="AE123" t="n">
        <v>0</v>
      </c>
      <c r="AF123" t="n">
        <v>382</v>
      </c>
      <c r="AG123" t="n">
        <v>372</v>
      </c>
      <c r="AH123" t="n">
        <v>-10</v>
      </c>
      <c r="AI123" t="n">
        <v>102</v>
      </c>
      <c r="AJ123" t="n">
        <v>0.098</v>
      </c>
      <c r="AK123" t="n">
        <v>0.109</v>
      </c>
      <c r="AL123" t="n">
        <v>197</v>
      </c>
      <c r="AM123" t="n">
        <v>10.114</v>
      </c>
      <c r="AN123" t="n">
        <v>4</v>
      </c>
      <c r="AO123" t="n">
        <v>8</v>
      </c>
      <c r="AP123" t="n">
        <v>0.19</v>
      </c>
      <c r="AQ123" t="n">
        <v>0.333</v>
      </c>
      <c r="AR123" t="n">
        <v>0.19</v>
      </c>
      <c r="AS123" t="n">
        <v>0.553</v>
      </c>
      <c r="AT123" t="n">
        <v>0.417</v>
      </c>
      <c r="AU123" t="n">
        <v>26</v>
      </c>
      <c r="AV123" t="n">
        <v>3</v>
      </c>
      <c r="AW123" t="n">
        <v>3.09</v>
      </c>
      <c r="AX123" t="n">
        <v>12</v>
      </c>
      <c r="AY123" t="n">
        <v>3.38</v>
      </c>
      <c r="AZ123" t="n">
        <v>3.784</v>
      </c>
      <c r="BA123" t="n">
        <v>3.582</v>
      </c>
      <c r="BB123" t="n">
        <v>3.784</v>
      </c>
      <c r="BC123" t="n">
        <v>0.174</v>
      </c>
      <c r="BD123" t="n">
        <v>0.194</v>
      </c>
      <c r="BE123" t="n">
        <v>0.184</v>
      </c>
      <c r="BF123" t="n">
        <v>4.4</v>
      </c>
      <c r="BG123" t="n">
        <v>0.226</v>
      </c>
      <c r="BH123" t="n">
        <v>0.905</v>
      </c>
      <c r="BI123" t="n">
        <v>10.35</v>
      </c>
      <c r="BJ123" t="n">
        <v>3.058</v>
      </c>
      <c r="BK123" t="n">
        <v>0.157</v>
      </c>
      <c r="BL123" t="n">
        <v>2.418</v>
      </c>
      <c r="BM123" t="n">
        <v>1.02</v>
      </c>
      <c r="BN123" t="n">
        <v>1.6</v>
      </c>
      <c r="BO123" t="n">
        <v>-0.404</v>
      </c>
      <c r="BP123" t="n">
        <v>49</v>
      </c>
      <c r="BQ123" t="n">
        <v>13</v>
      </c>
      <c r="BR123" t="n">
        <v>2</v>
      </c>
      <c r="BS123" t="n">
        <v>73</v>
      </c>
      <c r="BT123" t="n">
        <v>3.748</v>
      </c>
      <c r="BV123" t="n">
        <v>1</v>
      </c>
      <c r="BW123" t="n">
        <v>2.23</v>
      </c>
      <c r="BX123" t="n">
        <v>3.626</v>
      </c>
      <c r="BY123" t="n">
        <v>2.928</v>
      </c>
      <c r="BZ123" t="n">
        <v>0.15</v>
      </c>
      <c r="CA123" t="n">
        <v>6.51</v>
      </c>
      <c r="CB123" t="n">
        <v>0.334</v>
      </c>
      <c r="CC123" t="n">
        <v>30</v>
      </c>
      <c r="CD123" t="n">
        <v>5</v>
      </c>
      <c r="CE123" t="n">
        <v>30</v>
      </c>
      <c r="CG123" t="n">
        <v>3</v>
      </c>
      <c r="CH123" t="n">
        <v>4</v>
      </c>
      <c r="CI123" t="n">
        <v>9.206</v>
      </c>
      <c r="CJ123" t="n">
        <v>3.686</v>
      </c>
      <c r="CK123" t="n">
        <v>39</v>
      </c>
      <c r="CL123" t="n">
        <v>109</v>
      </c>
      <c r="CM123" t="n">
        <v>49</v>
      </c>
      <c r="CN123" t="n">
        <v>27</v>
      </c>
      <c r="CO123" t="n">
        <v>15</v>
      </c>
      <c r="CP123" t="n">
        <v>20</v>
      </c>
      <c r="CQ123" t="n">
        <v>4</v>
      </c>
      <c r="CR123" t="n">
        <v>124</v>
      </c>
      <c r="CS123" t="n">
        <v>21</v>
      </c>
      <c r="CT123" t="n">
        <v>0.7</v>
      </c>
      <c r="CV123" t="n">
        <v>1</v>
      </c>
      <c r="CW123" t="n">
        <v>28.03</v>
      </c>
      <c r="CX123" t="n">
        <v>1.439</v>
      </c>
      <c r="CY123" t="n">
        <v>0</v>
      </c>
      <c r="DB123" t="n">
        <v>0</v>
      </c>
      <c r="DE123" t="n">
        <v>6.76</v>
      </c>
      <c r="DF123" t="n">
        <v>6</v>
      </c>
      <c r="DG123" t="n">
        <v>0</v>
      </c>
      <c r="DH123" t="n">
        <v>41</v>
      </c>
      <c r="DI123" t="n">
        <v>45</v>
      </c>
      <c r="DL123" t="n">
        <v>9</v>
      </c>
      <c r="DM123" t="n">
        <v>35</v>
      </c>
      <c r="DN123" t="n">
        <v>1</v>
      </c>
      <c r="DO123" t="n">
        <v>1.1</v>
      </c>
      <c r="DP123" t="n">
        <v>159.74</v>
      </c>
      <c r="DQ123" t="n">
        <v>79.92</v>
      </c>
      <c r="DR123" t="n">
        <v>159.84</v>
      </c>
      <c r="DS123" t="n">
        <v>-0.1</v>
      </c>
      <c r="DT123" t="n">
        <v>2776</v>
      </c>
      <c r="DU123" t="n">
        <v>73.05</v>
      </c>
      <c r="DV123" t="inlineStr">
        <is>
          <t>flat</t>
        </is>
      </c>
      <c r="DW123" t="n">
        <v>73.18000000000001</v>
      </c>
      <c r="DX123" t="n">
        <v>78.7</v>
      </c>
      <c r="DY123" t="n">
        <v>20.37</v>
      </c>
      <c r="DZ123" t="n">
        <v>24</v>
      </c>
      <c r="EA123" t="n">
        <v>111.33</v>
      </c>
      <c r="EB123" t="n">
        <v>66</v>
      </c>
      <c r="EC123" t="n">
        <v>31.7</v>
      </c>
      <c r="ED123" t="n">
        <v>2.9</v>
      </c>
      <c r="EE123" t="n">
        <v>81</v>
      </c>
      <c r="EF123" t="n">
        <v>35.8</v>
      </c>
      <c r="EG123" t="n">
        <v>24</v>
      </c>
      <c r="EH123" t="n">
        <v>58.4</v>
      </c>
      <c r="EI123" t="n">
        <v>489.4</v>
      </c>
      <c r="EJ123" t="n">
        <v>598.7</v>
      </c>
      <c r="EK123" t="n">
        <v>269.3</v>
      </c>
      <c r="EL123" t="n">
        <v>17.2</v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n">
        <v>4.5</v>
      </c>
      <c r="F124" t="b">
        <v>1</v>
      </c>
      <c r="G124" t="b">
        <v>1</v>
      </c>
      <c r="H124" t="n">
        <v>28.8</v>
      </c>
      <c r="I124" t="inlineStr">
        <is>
          <t>a</t>
        </is>
      </c>
      <c r="L124" t="inlineStr">
        <is>
          <t>p199798</t>
        </is>
      </c>
      <c r="M124" t="n">
        <v>31</v>
      </c>
      <c r="Q124" t="n">
        <v>3035</v>
      </c>
      <c r="R124" t="n">
        <v>34</v>
      </c>
      <c r="S124" t="n">
        <v>34</v>
      </c>
      <c r="T124" t="n">
        <v>33.722</v>
      </c>
      <c r="U124" t="n">
        <v>89.3</v>
      </c>
      <c r="V124" t="n">
        <v>100</v>
      </c>
      <c r="W124" t="n">
        <v>2.965</v>
      </c>
      <c r="X124" t="n">
        <v>0</v>
      </c>
      <c r="Y124" t="n">
        <v>1</v>
      </c>
      <c r="AA124" t="n">
        <v>9</v>
      </c>
      <c r="AB124" t="n">
        <v>44</v>
      </c>
      <c r="AC124" t="n">
        <v>3</v>
      </c>
      <c r="AD124" t="n">
        <v>4</v>
      </c>
      <c r="AE124" t="n">
        <v>1</v>
      </c>
      <c r="AF124" t="n">
        <v>497</v>
      </c>
      <c r="AG124" t="n">
        <v>465</v>
      </c>
      <c r="AH124" t="n">
        <v>-32</v>
      </c>
      <c r="AI124" t="n">
        <v>101</v>
      </c>
      <c r="AJ124" t="n">
        <v>0.03</v>
      </c>
      <c r="AK124" t="n">
        <v>0.031</v>
      </c>
      <c r="AL124" t="n">
        <v>196</v>
      </c>
      <c r="AM124" t="n">
        <v>5.812</v>
      </c>
      <c r="AN124" t="n">
        <v>3</v>
      </c>
      <c r="AO124" t="n">
        <v>6</v>
      </c>
      <c r="AP124" t="n">
        <v>0.08799999999999999</v>
      </c>
      <c r="AQ124" t="n">
        <v>0.08799999999999999</v>
      </c>
      <c r="AR124" t="n">
        <v>0.029</v>
      </c>
      <c r="AS124" t="n">
        <v>0.895</v>
      </c>
      <c r="AT124" t="n">
        <v>1</v>
      </c>
      <c r="AU124" t="n">
        <v>23</v>
      </c>
      <c r="AV124" t="n">
        <v>0</v>
      </c>
      <c r="AW124" t="n">
        <v>2.47</v>
      </c>
      <c r="AX124" t="n">
        <v>8</v>
      </c>
      <c r="AY124" t="n">
        <v>1.27</v>
      </c>
      <c r="AZ124" t="n">
        <v>1.074</v>
      </c>
      <c r="BA124" t="n">
        <v>1.172</v>
      </c>
      <c r="BB124" t="n">
        <v>1.074</v>
      </c>
      <c r="BC124" t="n">
        <v>0.038</v>
      </c>
      <c r="BD124" t="n">
        <v>0.032</v>
      </c>
      <c r="BE124" t="n">
        <v>0.035</v>
      </c>
      <c r="BF124" t="n">
        <v>0.9</v>
      </c>
      <c r="BG124" t="n">
        <v>0.027</v>
      </c>
      <c r="BH124" t="n">
        <v>0.831</v>
      </c>
      <c r="BI124" t="n">
        <v>6.2</v>
      </c>
      <c r="BJ124" t="n">
        <v>1.055</v>
      </c>
      <c r="BK124" t="n">
        <v>0.031</v>
      </c>
      <c r="BL124" t="n">
        <v>-1.172</v>
      </c>
      <c r="BM124" t="n">
        <v>-0.37</v>
      </c>
      <c r="BN124" t="n">
        <v>-0.9</v>
      </c>
      <c r="BO124" t="n">
        <v>0.196</v>
      </c>
      <c r="BP124" t="n">
        <v>11</v>
      </c>
      <c r="BQ124" t="n">
        <v>2</v>
      </c>
      <c r="BR124" t="n">
        <v>1</v>
      </c>
      <c r="BS124" t="n">
        <v>26</v>
      </c>
      <c r="BT124" t="n">
        <v>0.771</v>
      </c>
      <c r="BW124" t="n">
        <v>0.59</v>
      </c>
      <c r="BX124" t="n">
        <v>0.601</v>
      </c>
      <c r="BY124" t="n">
        <v>0.596</v>
      </c>
      <c r="BZ124" t="n">
        <v>0.018</v>
      </c>
      <c r="CA124" t="n">
        <v>1.768</v>
      </c>
      <c r="CB124" t="n">
        <v>0.052</v>
      </c>
      <c r="CC124" t="n">
        <v>5</v>
      </c>
      <c r="CD124" t="n">
        <v>1</v>
      </c>
      <c r="CE124" t="n">
        <v>5</v>
      </c>
      <c r="CF124" t="n">
        <v>1</v>
      </c>
      <c r="CI124" t="n">
        <v>9.361000000000001</v>
      </c>
      <c r="CJ124" t="n">
        <v>8.839</v>
      </c>
      <c r="CK124" t="n">
        <v>174</v>
      </c>
      <c r="CL124" t="n">
        <v>108</v>
      </c>
      <c r="CM124" t="n">
        <v>22</v>
      </c>
      <c r="CN124" t="n">
        <v>8</v>
      </c>
      <c r="CO124" t="n">
        <v>23</v>
      </c>
      <c r="CP124" t="n">
        <v>122</v>
      </c>
      <c r="CQ124" t="n">
        <v>29</v>
      </c>
      <c r="CR124" t="n">
        <v>100</v>
      </c>
      <c r="CS124" t="n">
        <v>32</v>
      </c>
      <c r="CT124" t="n">
        <v>0.1</v>
      </c>
      <c r="CU124" t="n">
        <v>1</v>
      </c>
      <c r="CV124" t="n">
        <v>3</v>
      </c>
      <c r="CW124" t="n">
        <v>48.93</v>
      </c>
      <c r="CX124" t="n">
        <v>1.451</v>
      </c>
      <c r="CY124" t="n">
        <v>0</v>
      </c>
      <c r="DB124" t="n">
        <v>0</v>
      </c>
      <c r="DE124" t="n">
        <v>6.75</v>
      </c>
      <c r="DF124" t="n">
        <v>0</v>
      </c>
      <c r="DG124" t="n">
        <v>1</v>
      </c>
      <c r="DH124" t="n">
        <v>11</v>
      </c>
      <c r="DI124" t="n">
        <v>40</v>
      </c>
      <c r="DL124" t="n">
        <v>8</v>
      </c>
      <c r="DM124" t="n">
        <v>6</v>
      </c>
      <c r="DO124" t="n">
        <v>15.9</v>
      </c>
      <c r="DP124" t="n">
        <v>120.19</v>
      </c>
      <c r="DQ124" t="n">
        <v>59.7</v>
      </c>
      <c r="DR124" t="n">
        <v>119.4</v>
      </c>
      <c r="DS124" t="n">
        <v>0.79</v>
      </c>
      <c r="DT124" t="n">
        <v>3340</v>
      </c>
      <c r="DU124" t="n">
        <v>87.90000000000001</v>
      </c>
      <c r="DV124" t="inlineStr">
        <is>
          <t>flat</t>
        </is>
      </c>
      <c r="DW124" t="n">
        <v>88.92</v>
      </c>
      <c r="DX124" t="n">
        <v>92.73999999999999</v>
      </c>
      <c r="DY124" t="n">
        <v>20.01</v>
      </c>
      <c r="DZ124" t="n">
        <v>12.8</v>
      </c>
      <c r="EA124" t="n">
        <v>117.33</v>
      </c>
      <c r="EB124" t="n">
        <v>105</v>
      </c>
      <c r="EC124" t="n">
        <v>50.5</v>
      </c>
      <c r="ED124" t="n">
        <v>7.9</v>
      </c>
      <c r="EE124" t="n">
        <v>401</v>
      </c>
      <c r="EF124" t="n">
        <v>275.9</v>
      </c>
      <c r="EG124" t="n">
        <v>116.7</v>
      </c>
      <c r="EH124" t="n">
        <v>607</v>
      </c>
      <c r="EI124" t="n">
        <v>2589.5</v>
      </c>
      <c r="EJ124" t="n">
        <v>5094.5</v>
      </c>
      <c r="EK124" t="n">
        <v>1716.9</v>
      </c>
      <c r="EL124" t="n">
        <v>30.4</v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n">
        <v>4.5</v>
      </c>
      <c r="F125" t="b">
        <v>1</v>
      </c>
      <c r="G125" t="b">
        <v>1</v>
      </c>
      <c r="H125" t="n">
        <v>34.7</v>
      </c>
      <c r="I125" t="inlineStr">
        <is>
          <t>a</t>
        </is>
      </c>
      <c r="L125" t="inlineStr">
        <is>
          <t>p83299</t>
        </is>
      </c>
      <c r="M125" t="n">
        <v>116</v>
      </c>
      <c r="P125" t="n">
        <v>2</v>
      </c>
      <c r="Q125" t="n">
        <v>2837</v>
      </c>
      <c r="R125" t="n">
        <v>33</v>
      </c>
      <c r="S125" t="n">
        <v>31</v>
      </c>
      <c r="T125" t="n">
        <v>31.522</v>
      </c>
      <c r="U125" t="n">
        <v>86</v>
      </c>
      <c r="V125" t="n">
        <v>100</v>
      </c>
      <c r="W125" t="n">
        <v>3.172</v>
      </c>
      <c r="X125" t="n">
        <v>1</v>
      </c>
      <c r="Y125" t="n">
        <v>1</v>
      </c>
      <c r="AA125" t="n">
        <v>7</v>
      </c>
      <c r="AB125" t="n">
        <v>40</v>
      </c>
      <c r="AC125" t="n">
        <v>5</v>
      </c>
      <c r="AD125" t="n">
        <v>5</v>
      </c>
      <c r="AE125" t="n">
        <v>0</v>
      </c>
      <c r="AF125" t="n">
        <v>443</v>
      </c>
      <c r="AG125" t="n">
        <v>411</v>
      </c>
      <c r="AH125" t="n">
        <v>-32</v>
      </c>
      <c r="AI125" t="n">
        <v>100</v>
      </c>
      <c r="AJ125" t="n">
        <v>0.05</v>
      </c>
      <c r="AK125" t="n">
        <v>0.053</v>
      </c>
      <c r="AL125" t="n">
        <v>231</v>
      </c>
      <c r="AM125" t="n">
        <v>7.328</v>
      </c>
      <c r="AN125" t="n">
        <v>8</v>
      </c>
      <c r="AO125" t="n">
        <v>16</v>
      </c>
      <c r="AP125" t="n">
        <v>0.258</v>
      </c>
      <c r="AQ125" t="n">
        <v>0.258</v>
      </c>
      <c r="AR125" t="n">
        <v>0.129</v>
      </c>
      <c r="AS125" t="n">
        <v>0.8159999999999999</v>
      </c>
      <c r="AT125" t="n">
        <v>0.9389999999999999</v>
      </c>
      <c r="AU125" t="n">
        <v>20</v>
      </c>
      <c r="AV125" t="n">
        <v>2</v>
      </c>
      <c r="AW125" t="n">
        <v>3.1</v>
      </c>
      <c r="AX125" t="n">
        <v>14</v>
      </c>
      <c r="AY125" t="n">
        <v>1.83</v>
      </c>
      <c r="AZ125" t="n">
        <v>1.337</v>
      </c>
      <c r="BA125" t="n">
        <v>1.583</v>
      </c>
      <c r="BB125" t="n">
        <v>1.337</v>
      </c>
      <c r="BC125" t="n">
        <v>0.058</v>
      </c>
      <c r="BD125" t="n">
        <v>0.042</v>
      </c>
      <c r="BE125" t="n">
        <v>0.05</v>
      </c>
      <c r="BF125" t="n">
        <v>0.7</v>
      </c>
      <c r="BG125" t="n">
        <v>0.022</v>
      </c>
      <c r="BH125" t="n">
        <v>0.893</v>
      </c>
      <c r="BI125" t="n">
        <v>7.46</v>
      </c>
      <c r="BJ125" t="n">
        <v>1.634</v>
      </c>
      <c r="BK125" t="n">
        <v>0.052</v>
      </c>
      <c r="BL125" t="n">
        <v>-0.583</v>
      </c>
      <c r="BM125" t="n">
        <v>-1.13</v>
      </c>
      <c r="BN125" t="n">
        <v>0.3</v>
      </c>
      <c r="BO125" t="n">
        <v>0.493</v>
      </c>
      <c r="BP125" t="n">
        <v>24</v>
      </c>
      <c r="BQ125" t="n">
        <v>3</v>
      </c>
      <c r="BS125" t="n">
        <v>43</v>
      </c>
      <c r="BT125" t="n">
        <v>1.364</v>
      </c>
      <c r="BV125" t="n">
        <v>1</v>
      </c>
      <c r="BW125" t="n">
        <v>0.5600000000000001</v>
      </c>
      <c r="BX125" t="n">
        <v>0.545</v>
      </c>
      <c r="BY125" t="n">
        <v>0.553</v>
      </c>
      <c r="BZ125" t="n">
        <v>0.018</v>
      </c>
      <c r="CA125" t="n">
        <v>2.136</v>
      </c>
      <c r="CB125" t="n">
        <v>0.068</v>
      </c>
      <c r="CC125" t="n">
        <v>7</v>
      </c>
      <c r="CD125" t="n">
        <v>1</v>
      </c>
      <c r="CE125" t="n">
        <v>7</v>
      </c>
      <c r="CF125" t="n">
        <v>1</v>
      </c>
      <c r="CG125" t="n">
        <v>1</v>
      </c>
      <c r="CH125" t="n">
        <v>0</v>
      </c>
      <c r="CI125" t="n">
        <v>12.689</v>
      </c>
      <c r="CJ125" t="n">
        <v>12.602</v>
      </c>
      <c r="CK125" t="n">
        <v>196</v>
      </c>
      <c r="CL125" t="n">
        <v>135</v>
      </c>
      <c r="CM125" t="n">
        <v>35</v>
      </c>
      <c r="CN125" t="n">
        <v>22</v>
      </c>
      <c r="CO125" t="n">
        <v>30</v>
      </c>
      <c r="CP125" t="n">
        <v>142</v>
      </c>
      <c r="CQ125" t="n">
        <v>27</v>
      </c>
      <c r="CR125" t="n">
        <v>127</v>
      </c>
      <c r="CS125" t="n">
        <v>76</v>
      </c>
      <c r="CT125" t="n">
        <v>0.1</v>
      </c>
      <c r="CU125" t="n">
        <v>1</v>
      </c>
      <c r="CV125" t="n">
        <v>2</v>
      </c>
      <c r="CW125" t="n">
        <v>41.9</v>
      </c>
      <c r="CX125" t="n">
        <v>1.329</v>
      </c>
      <c r="CY125" t="n">
        <v>0</v>
      </c>
      <c r="DB125" t="n">
        <v>0</v>
      </c>
      <c r="DE125" t="n">
        <v>6.97</v>
      </c>
      <c r="DF125" t="n">
        <v>10</v>
      </c>
      <c r="DG125" t="n">
        <v>0</v>
      </c>
      <c r="DH125" t="n">
        <v>15</v>
      </c>
      <c r="DI125" t="n">
        <v>12</v>
      </c>
      <c r="DJ125" t="n">
        <v>1</v>
      </c>
      <c r="DK125" t="n">
        <v>1</v>
      </c>
      <c r="DL125" t="n">
        <v>4</v>
      </c>
      <c r="DM125" t="n">
        <v>5</v>
      </c>
      <c r="DN125" t="n">
        <v>1</v>
      </c>
      <c r="DO125" t="n">
        <v>0.8</v>
      </c>
      <c r="DP125" t="n">
        <v>68.93000000000001</v>
      </c>
      <c r="DQ125" t="n">
        <v>34.65</v>
      </c>
      <c r="DR125" t="n">
        <v>69.3</v>
      </c>
      <c r="DS125" t="n">
        <v>-0.37</v>
      </c>
      <c r="DT125" t="n">
        <v>1898</v>
      </c>
      <c r="DU125" t="n">
        <v>49.95</v>
      </c>
      <c r="DV125" t="inlineStr">
        <is>
          <t>flat</t>
        </is>
      </c>
      <c r="DW125" t="n">
        <v>94.84999999999999</v>
      </c>
      <c r="DX125" t="n">
        <v>94</v>
      </c>
      <c r="DY125" t="n">
        <v>18.88</v>
      </c>
      <c r="DZ125" t="n">
        <v>51.2</v>
      </c>
      <c r="EA125" t="n">
        <v>118.55</v>
      </c>
      <c r="EB125" t="n">
        <v>10</v>
      </c>
      <c r="EC125" t="n">
        <v>4.8</v>
      </c>
      <c r="ED125" t="n">
        <v>9.1</v>
      </c>
      <c r="EE125" t="n">
        <v>402</v>
      </c>
      <c r="EF125" t="n">
        <v>118.2</v>
      </c>
      <c r="EG125" t="n">
        <v>66</v>
      </c>
      <c r="EH125" t="n">
        <v>405.3</v>
      </c>
      <c r="EI125" t="n">
        <v>1791.7</v>
      </c>
      <c r="EJ125" t="n">
        <v>5132.9</v>
      </c>
      <c r="EK125" t="n">
        <v>1328.1</v>
      </c>
      <c r="EL125" t="n">
        <v>28.4</v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n">
        <v>5</v>
      </c>
      <c r="F126" t="b">
        <v>1</v>
      </c>
      <c r="G126" t="b">
        <v>1</v>
      </c>
      <c r="H126" t="n">
        <v>27.5</v>
      </c>
      <c r="I126" t="inlineStr">
        <is>
          <t>a</t>
        </is>
      </c>
      <c r="L126" t="inlineStr">
        <is>
          <t>p434752</t>
        </is>
      </c>
      <c r="M126" t="n">
        <v>327</v>
      </c>
      <c r="Q126" t="n">
        <v>1888</v>
      </c>
      <c r="R126" t="n">
        <v>25</v>
      </c>
      <c r="S126" t="n">
        <v>21</v>
      </c>
      <c r="T126" t="n">
        <v>20.978</v>
      </c>
      <c r="U126" t="n">
        <v>75.5</v>
      </c>
      <c r="V126" t="n">
        <v>99</v>
      </c>
      <c r="W126" t="n">
        <v>4.719</v>
      </c>
      <c r="X126" t="n">
        <v>1</v>
      </c>
      <c r="Y126" t="n">
        <v>3</v>
      </c>
      <c r="Z126" t="n">
        <v>2</v>
      </c>
      <c r="AA126" t="n">
        <v>5</v>
      </c>
      <c r="AB126" t="n">
        <v>26</v>
      </c>
      <c r="AC126" t="n">
        <v>6</v>
      </c>
      <c r="AD126" t="n">
        <v>3</v>
      </c>
      <c r="AE126" t="n">
        <v>-3</v>
      </c>
      <c r="AF126" t="n">
        <v>323</v>
      </c>
      <c r="AG126" t="n">
        <v>286</v>
      </c>
      <c r="AH126" t="n">
        <v>-37</v>
      </c>
      <c r="AI126" t="n">
        <v>96</v>
      </c>
      <c r="AJ126" t="n">
        <v>0.061</v>
      </c>
      <c r="AK126" t="n">
        <v>0.065</v>
      </c>
      <c r="AL126" t="n">
        <v>219</v>
      </c>
      <c r="AM126" t="n">
        <v>10.44</v>
      </c>
      <c r="AN126" t="n">
        <v>11</v>
      </c>
      <c r="AO126" t="n">
        <v>22</v>
      </c>
      <c r="AP126" t="n">
        <v>0.524</v>
      </c>
      <c r="AQ126" t="n">
        <v>0.524</v>
      </c>
      <c r="AR126" t="n">
        <v>0.381</v>
      </c>
      <c r="AS126" t="n">
        <v>0.553</v>
      </c>
      <c r="AT126" t="n">
        <v>0.84</v>
      </c>
      <c r="AU126" t="n">
        <v>10</v>
      </c>
      <c r="AV126" t="n">
        <v>2</v>
      </c>
      <c r="AW126" t="n">
        <v>3.19</v>
      </c>
      <c r="AX126" t="n">
        <v>12</v>
      </c>
      <c r="AY126" t="n">
        <v>0.9</v>
      </c>
      <c r="AZ126" t="n">
        <v>0.718</v>
      </c>
      <c r="BA126" t="n">
        <v>0.8090000000000001</v>
      </c>
      <c r="BB126" t="n">
        <v>0.718</v>
      </c>
      <c r="BC126" t="n">
        <v>0.043</v>
      </c>
      <c r="BD126" t="n">
        <v>0.034</v>
      </c>
      <c r="BE126" t="n">
        <v>0.039</v>
      </c>
      <c r="BF126" t="n">
        <v>0.8</v>
      </c>
      <c r="BG126" t="n">
        <v>0.038</v>
      </c>
      <c r="BH126" t="n">
        <v>0.989</v>
      </c>
      <c r="BI126" t="n">
        <v>0.9</v>
      </c>
      <c r="BJ126" t="n">
        <v>0.89</v>
      </c>
      <c r="BK126" t="n">
        <v>0.042</v>
      </c>
      <c r="BL126" t="n">
        <v>0.191</v>
      </c>
      <c r="BM126" t="n">
        <v>-0.1</v>
      </c>
      <c r="BN126" t="n">
        <v>0.2</v>
      </c>
      <c r="BO126" t="n">
        <v>0.182</v>
      </c>
      <c r="BP126" t="n">
        <v>15</v>
      </c>
      <c r="BQ126" t="n">
        <v>6</v>
      </c>
      <c r="BR126" t="n">
        <v>1</v>
      </c>
      <c r="BS126" t="n">
        <v>48</v>
      </c>
      <c r="BT126" t="n">
        <v>2.288</v>
      </c>
      <c r="BV126" t="n">
        <v>1</v>
      </c>
      <c r="BW126" t="n">
        <v>0.75</v>
      </c>
      <c r="BX126" t="n">
        <v>1.399</v>
      </c>
      <c r="BY126" t="n">
        <v>1.075</v>
      </c>
      <c r="BZ126" t="n">
        <v>0.051</v>
      </c>
      <c r="CA126" t="n">
        <v>1.884</v>
      </c>
      <c r="CB126" t="n">
        <v>0.09</v>
      </c>
      <c r="CC126" t="n">
        <v>7</v>
      </c>
      <c r="CD126" t="n">
        <v>3</v>
      </c>
      <c r="CE126" t="n">
        <v>7</v>
      </c>
      <c r="CI126" t="n">
        <v>5.491</v>
      </c>
      <c r="CJ126" t="n">
        <v>4.504</v>
      </c>
      <c r="CK126" t="n">
        <v>194</v>
      </c>
      <c r="CL126" t="n">
        <v>63</v>
      </c>
      <c r="CM126" t="n">
        <v>25</v>
      </c>
      <c r="CN126" t="n">
        <v>14</v>
      </c>
      <c r="CO126" t="n">
        <v>24</v>
      </c>
      <c r="CP126" t="n">
        <v>160</v>
      </c>
      <c r="CQ126" t="n">
        <v>14</v>
      </c>
      <c r="CR126" t="n">
        <v>104</v>
      </c>
      <c r="CS126" t="n">
        <v>66</v>
      </c>
      <c r="CT126" t="n">
        <v>0</v>
      </c>
      <c r="CV126" t="n">
        <v>1</v>
      </c>
      <c r="CW126" t="n">
        <v>31.48</v>
      </c>
      <c r="CX126" t="n">
        <v>1.501</v>
      </c>
      <c r="CY126" t="n">
        <v>0</v>
      </c>
      <c r="DB126" t="n">
        <v>0</v>
      </c>
      <c r="DE126" t="n">
        <v>7.04</v>
      </c>
      <c r="DF126" t="n">
        <v>4</v>
      </c>
      <c r="DG126" t="n">
        <v>0</v>
      </c>
      <c r="DH126" t="n">
        <v>19</v>
      </c>
      <c r="DI126" t="n">
        <v>10</v>
      </c>
      <c r="DK126" t="n">
        <v>1</v>
      </c>
      <c r="DL126" t="n">
        <v>2</v>
      </c>
      <c r="DO126" t="n">
        <v>0.3</v>
      </c>
      <c r="DP126" t="n">
        <v>97.2</v>
      </c>
      <c r="DQ126" t="n">
        <v>48.77</v>
      </c>
      <c r="DR126" t="n">
        <v>97.54000000000001</v>
      </c>
      <c r="DS126" t="n">
        <v>-0.34</v>
      </c>
      <c r="DT126" t="n">
        <v>2046</v>
      </c>
      <c r="DU126" t="n">
        <v>53.85</v>
      </c>
      <c r="DV126" t="inlineStr">
        <is>
          <t>flat</t>
        </is>
      </c>
      <c r="DW126" t="n">
        <v>101.4</v>
      </c>
      <c r="DX126" t="n">
        <v>100.5</v>
      </c>
      <c r="DY126" t="n">
        <v>13.74</v>
      </c>
      <c r="DZ126" t="n">
        <v>67</v>
      </c>
      <c r="EA126" t="n">
        <v>117.6</v>
      </c>
      <c r="EB126" t="n">
        <v>26</v>
      </c>
      <c r="EC126" t="n">
        <v>12.5</v>
      </c>
      <c r="ED126" t="n">
        <v>18.8</v>
      </c>
      <c r="EE126" t="n">
        <v>244</v>
      </c>
      <c r="EF126" t="n">
        <v>125.9</v>
      </c>
      <c r="EG126" t="n">
        <v>39.3</v>
      </c>
      <c r="EH126" t="n">
        <v>269.7</v>
      </c>
      <c r="EI126" t="n">
        <v>2333</v>
      </c>
      <c r="EJ126" t="n">
        <v>1756.9</v>
      </c>
      <c r="EK126" t="n">
        <v>1002.2</v>
      </c>
      <c r="EL126" t="n">
        <v>19.1</v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n">
        <v>5.5</v>
      </c>
      <c r="F127" t="b">
        <v>1</v>
      </c>
      <c r="G127" t="b">
        <v>1</v>
      </c>
      <c r="H127" t="n">
        <v>22.9</v>
      </c>
      <c r="I127" t="inlineStr">
        <is>
          <t>a</t>
        </is>
      </c>
      <c r="L127" t="inlineStr">
        <is>
          <t>p509416</t>
        </is>
      </c>
      <c r="M127" t="n">
        <v>129</v>
      </c>
      <c r="O127" t="n">
        <v>5</v>
      </c>
      <c r="P127" t="n">
        <v>1</v>
      </c>
      <c r="Q127" t="n">
        <v>1921</v>
      </c>
      <c r="R127" t="n">
        <v>29</v>
      </c>
      <c r="S127" t="n">
        <v>20</v>
      </c>
      <c r="T127" t="n">
        <v>21.344</v>
      </c>
      <c r="U127" t="n">
        <v>66.2</v>
      </c>
      <c r="V127" t="n">
        <v>98</v>
      </c>
      <c r="W127" t="n">
        <v>4.591</v>
      </c>
      <c r="X127" t="n">
        <v>3</v>
      </c>
      <c r="Y127" t="n">
        <v>4</v>
      </c>
      <c r="Z127" t="n">
        <v>3</v>
      </c>
      <c r="AA127" t="n">
        <v>6</v>
      </c>
      <c r="AB127" t="n">
        <v>24</v>
      </c>
      <c r="AC127" t="n">
        <v>7</v>
      </c>
      <c r="AD127" t="n">
        <v>7</v>
      </c>
      <c r="AE127" t="n">
        <v>0</v>
      </c>
      <c r="AF127" t="n">
        <v>406</v>
      </c>
      <c r="AG127" t="n">
        <v>399</v>
      </c>
      <c r="AH127" t="n">
        <v>-7</v>
      </c>
      <c r="AI127" t="n">
        <v>98</v>
      </c>
      <c r="AJ127" t="n">
        <v>0.07099999999999999</v>
      </c>
      <c r="AK127" t="n">
        <v>0.077</v>
      </c>
      <c r="AL127" t="n">
        <v>225</v>
      </c>
      <c r="AM127" t="n">
        <v>10.541</v>
      </c>
      <c r="AN127" t="n">
        <v>5</v>
      </c>
      <c r="AO127" t="n">
        <v>10</v>
      </c>
      <c r="AP127" t="n">
        <v>0.25</v>
      </c>
      <c r="AQ127" t="n">
        <v>0.65</v>
      </c>
      <c r="AR127" t="n">
        <v>0.25</v>
      </c>
      <c r="AS127" t="n">
        <v>0.526</v>
      </c>
      <c r="AT127" t="n">
        <v>0.6899999999999999</v>
      </c>
      <c r="AU127" t="n">
        <v>15</v>
      </c>
      <c r="AV127" t="n">
        <v>2</v>
      </c>
      <c r="AW127" t="n">
        <v>3.01</v>
      </c>
      <c r="AX127" t="n">
        <v>12</v>
      </c>
      <c r="AY127" t="n">
        <v>2.7</v>
      </c>
      <c r="AZ127" t="n">
        <v>2.118</v>
      </c>
      <c r="BA127" t="n">
        <v>2.409</v>
      </c>
      <c r="BB127" t="n">
        <v>2.118</v>
      </c>
      <c r="BC127" t="n">
        <v>0.126</v>
      </c>
      <c r="BD127" t="n">
        <v>0.099</v>
      </c>
      <c r="BE127" t="n">
        <v>0.113</v>
      </c>
      <c r="BF127" t="n">
        <v>1.7</v>
      </c>
      <c r="BG127" t="n">
        <v>0.08</v>
      </c>
      <c r="BH127" t="n">
        <v>1.005</v>
      </c>
      <c r="BI127" t="n">
        <v>5.23</v>
      </c>
      <c r="BJ127" t="n">
        <v>2.714</v>
      </c>
      <c r="BK127" t="n">
        <v>0.127</v>
      </c>
      <c r="BL127" t="n">
        <v>0.591</v>
      </c>
      <c r="BM127" t="n">
        <v>-1</v>
      </c>
      <c r="BN127" t="n">
        <v>1.3</v>
      </c>
      <c r="BO127" t="n">
        <v>0.582</v>
      </c>
      <c r="BP127" t="n">
        <v>41</v>
      </c>
      <c r="BQ127" t="n">
        <v>10</v>
      </c>
      <c r="BS127" t="n">
        <v>38</v>
      </c>
      <c r="BT127" t="n">
        <v>1.78</v>
      </c>
      <c r="BW127" t="n">
        <v>1.15</v>
      </c>
      <c r="BX127" t="n">
        <v>1.401</v>
      </c>
      <c r="BY127" t="n">
        <v>1.275</v>
      </c>
      <c r="BZ127" t="n">
        <v>0.06</v>
      </c>
      <c r="CA127" t="n">
        <v>3.684</v>
      </c>
      <c r="CB127" t="n">
        <v>0.173</v>
      </c>
      <c r="CC127" t="n">
        <v>15</v>
      </c>
      <c r="CD127" t="n">
        <v>2</v>
      </c>
      <c r="CE127" t="n">
        <v>15</v>
      </c>
      <c r="CF127" t="n">
        <v>5</v>
      </c>
      <c r="CH127" t="n">
        <v>16</v>
      </c>
      <c r="CI127" t="n">
        <v>7.901</v>
      </c>
      <c r="CJ127" t="n">
        <v>5.477</v>
      </c>
      <c r="CK127" t="n">
        <v>54</v>
      </c>
      <c r="CL127" t="n">
        <v>124</v>
      </c>
      <c r="CM127" t="n">
        <v>47</v>
      </c>
      <c r="CN127" t="n">
        <v>24</v>
      </c>
      <c r="CO127" t="n">
        <v>26</v>
      </c>
      <c r="CP127" t="n">
        <v>24</v>
      </c>
      <c r="CQ127" t="n">
        <v>4</v>
      </c>
      <c r="CR127" t="n">
        <v>102</v>
      </c>
      <c r="CS127" t="n">
        <v>9</v>
      </c>
      <c r="CT127" t="n">
        <v>0.7</v>
      </c>
      <c r="CV127" t="n">
        <v>4</v>
      </c>
      <c r="CW127" t="n">
        <v>26.85</v>
      </c>
      <c r="CX127" t="n">
        <v>1.258</v>
      </c>
      <c r="CY127" t="n">
        <v>0</v>
      </c>
      <c r="DB127" t="n">
        <v>0</v>
      </c>
      <c r="DE127" t="n">
        <v>7.05</v>
      </c>
      <c r="DF127" t="n">
        <v>1</v>
      </c>
      <c r="DG127" t="n">
        <v>0</v>
      </c>
      <c r="DH127" t="n">
        <v>24</v>
      </c>
      <c r="DI127" t="n">
        <v>28</v>
      </c>
      <c r="DL127" t="n">
        <v>18</v>
      </c>
      <c r="DM127" t="n">
        <v>19</v>
      </c>
      <c r="DO127" t="n">
        <v>0.8</v>
      </c>
      <c r="DP127" t="n">
        <v>64.05</v>
      </c>
      <c r="DQ127" t="n">
        <v>33.7</v>
      </c>
      <c r="DR127" t="n">
        <v>67.40000000000001</v>
      </c>
      <c r="DS127" t="n">
        <v>-3.35</v>
      </c>
      <c r="DT127" t="n">
        <v>1402</v>
      </c>
      <c r="DU127" t="n">
        <v>36.9</v>
      </c>
      <c r="DV127" t="inlineStr">
        <is>
          <t>fade (losing his place)</t>
        </is>
      </c>
      <c r="DW127" t="n">
        <v>88.28</v>
      </c>
      <c r="DX127" t="n">
        <v>74.5</v>
      </c>
      <c r="DY127" t="n">
        <v>16.17</v>
      </c>
      <c r="DZ127" t="n">
        <v>68</v>
      </c>
      <c r="EA127" t="n">
        <v>117</v>
      </c>
      <c r="EB127" t="n">
        <v>17</v>
      </c>
      <c r="EC127" t="n">
        <v>8.199999999999999</v>
      </c>
      <c r="ED127" t="n">
        <v>0</v>
      </c>
      <c r="EE127" t="n">
        <v>137</v>
      </c>
      <c r="EF127" t="n">
        <v>46.9</v>
      </c>
      <c r="EG127" t="n">
        <v>50.6</v>
      </c>
      <c r="EH127" t="n">
        <v>128.1</v>
      </c>
      <c r="EI127" t="n">
        <v>797.4</v>
      </c>
      <c r="EJ127" t="n">
        <v>1506.2</v>
      </c>
      <c r="EK127" t="n">
        <v>521.4</v>
      </c>
      <c r="EL127" t="n">
        <v>19.6</v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n">
        <v>5.5</v>
      </c>
      <c r="F128" t="b">
        <v>1</v>
      </c>
      <c r="G128" t="b">
        <v>1</v>
      </c>
      <c r="H128" t="n">
        <v>30.6</v>
      </c>
      <c r="I128" t="inlineStr">
        <is>
          <t>a</t>
        </is>
      </c>
      <c r="L128" t="inlineStr">
        <is>
          <t>p207283</t>
        </is>
      </c>
      <c r="M128" t="n">
        <v>97</v>
      </c>
      <c r="N128" t="n">
        <v>3</v>
      </c>
      <c r="O128" t="n">
        <v>1</v>
      </c>
      <c r="P128" t="n">
        <v>2</v>
      </c>
      <c r="Q128" t="n">
        <v>2239</v>
      </c>
      <c r="R128" t="n">
        <v>36</v>
      </c>
      <c r="S128" t="n">
        <v>26</v>
      </c>
      <c r="T128" t="n">
        <v>24.878</v>
      </c>
      <c r="U128" t="n">
        <v>62.2</v>
      </c>
      <c r="V128" t="n">
        <v>98</v>
      </c>
      <c r="W128" t="n">
        <v>3.939</v>
      </c>
      <c r="X128" t="n">
        <v>3</v>
      </c>
      <c r="Y128" t="n">
        <v>2</v>
      </c>
      <c r="Z128" t="n">
        <v>1</v>
      </c>
      <c r="AA128" t="n">
        <v>9</v>
      </c>
      <c r="AB128" t="n">
        <v>33</v>
      </c>
      <c r="AC128" t="n">
        <v>1</v>
      </c>
      <c r="AD128" t="n">
        <v>1</v>
      </c>
      <c r="AE128" t="n">
        <v>0</v>
      </c>
      <c r="AF128" t="n">
        <v>465</v>
      </c>
      <c r="AG128" t="n">
        <v>455</v>
      </c>
      <c r="AH128" t="n">
        <v>-10</v>
      </c>
      <c r="AI128" t="n">
        <v>98</v>
      </c>
      <c r="AJ128" t="n">
        <v>0.01</v>
      </c>
      <c r="AK128" t="n">
        <v>0.01</v>
      </c>
      <c r="AL128" t="n">
        <v>220</v>
      </c>
      <c r="AM128" t="n">
        <v>8.843</v>
      </c>
      <c r="AN128" t="n">
        <v>4</v>
      </c>
      <c r="AO128" t="n">
        <v>8</v>
      </c>
      <c r="AP128" t="n">
        <v>0.154</v>
      </c>
      <c r="AQ128" t="n">
        <v>0.269</v>
      </c>
      <c r="AR128" t="n">
        <v>0.154</v>
      </c>
      <c r="AS128" t="n">
        <v>0.6840000000000001</v>
      </c>
      <c r="AT128" t="n">
        <v>0.722</v>
      </c>
      <c r="AU128" t="n">
        <v>22</v>
      </c>
      <c r="AV128" t="n">
        <v>1</v>
      </c>
      <c r="AW128" t="n">
        <v>2.09</v>
      </c>
      <c r="AX128" t="n">
        <v>10</v>
      </c>
      <c r="AY128" t="n">
        <v>2.21</v>
      </c>
      <c r="AZ128" t="n">
        <v>1.588</v>
      </c>
      <c r="BA128" t="n">
        <v>1.899</v>
      </c>
      <c r="BB128" t="n">
        <v>1.588</v>
      </c>
      <c r="BC128" t="n">
        <v>0.089</v>
      </c>
      <c r="BD128" t="n">
        <v>0.064</v>
      </c>
      <c r="BE128" t="n">
        <v>0.076</v>
      </c>
      <c r="BF128" t="n">
        <v>1.9</v>
      </c>
      <c r="BG128" t="n">
        <v>0.076</v>
      </c>
      <c r="BH128" t="n">
        <v>0.993</v>
      </c>
      <c r="BI128" t="n">
        <v>5.49</v>
      </c>
      <c r="BJ128" t="n">
        <v>2.195</v>
      </c>
      <c r="BK128" t="n">
        <v>0.08799999999999999</v>
      </c>
      <c r="BL128" t="n">
        <v>1.101</v>
      </c>
      <c r="BM128" t="n">
        <v>-0.31</v>
      </c>
      <c r="BN128" t="n">
        <v>1.1</v>
      </c>
      <c r="BO128" t="n">
        <v>0.622</v>
      </c>
      <c r="BP128" t="n">
        <v>29</v>
      </c>
      <c r="BQ128" t="n">
        <v>8</v>
      </c>
      <c r="BR128" t="n">
        <v>2</v>
      </c>
      <c r="BS128" t="n">
        <v>40</v>
      </c>
      <c r="BT128" t="n">
        <v>1.608</v>
      </c>
      <c r="BW128" t="n">
        <v>6.06</v>
      </c>
      <c r="BX128" t="n">
        <v>5.333</v>
      </c>
      <c r="BY128" t="n">
        <v>5.697</v>
      </c>
      <c r="BZ128" t="n">
        <v>0.229</v>
      </c>
      <c r="CA128" t="n">
        <v>7.596</v>
      </c>
      <c r="CB128" t="n">
        <v>0.305</v>
      </c>
      <c r="CC128" t="n">
        <v>33</v>
      </c>
      <c r="CD128" t="n">
        <v>11</v>
      </c>
      <c r="CE128" t="n">
        <v>33</v>
      </c>
      <c r="CF128" t="n">
        <v>38</v>
      </c>
      <c r="CG128" t="n">
        <v>7</v>
      </c>
      <c r="CH128" t="n">
        <v>65</v>
      </c>
      <c r="CI128" t="n">
        <v>10.393</v>
      </c>
      <c r="CJ128" t="n">
        <v>7.006</v>
      </c>
      <c r="CK128" t="n">
        <v>62</v>
      </c>
      <c r="CL128" t="n">
        <v>118</v>
      </c>
      <c r="CM128" t="n">
        <v>40</v>
      </c>
      <c r="CN128" t="n">
        <v>23</v>
      </c>
      <c r="CO128" t="n">
        <v>21</v>
      </c>
      <c r="CP128" t="n">
        <v>37</v>
      </c>
      <c r="CQ128" t="n">
        <v>4</v>
      </c>
      <c r="CR128" t="n">
        <v>83</v>
      </c>
      <c r="CS128" t="n">
        <v>8</v>
      </c>
      <c r="CT128" t="n">
        <v>0.4</v>
      </c>
      <c r="CV128" t="n">
        <v>2</v>
      </c>
      <c r="CW128" t="n">
        <v>35.72</v>
      </c>
      <c r="CX128" t="n">
        <v>1.436</v>
      </c>
      <c r="CY128" t="n">
        <v>0</v>
      </c>
      <c r="DB128" t="n">
        <v>0</v>
      </c>
      <c r="DE128" t="n">
        <v>6.78</v>
      </c>
      <c r="DF128" t="n">
        <v>3</v>
      </c>
      <c r="DG128" t="n">
        <v>0</v>
      </c>
      <c r="DH128" t="n">
        <v>20</v>
      </c>
      <c r="DI128" t="n">
        <v>15</v>
      </c>
      <c r="DL128" t="n">
        <v>19</v>
      </c>
      <c r="DM128" t="n">
        <v>25</v>
      </c>
      <c r="DN128" t="n">
        <v>2</v>
      </c>
      <c r="DO128" t="n">
        <v>0.2</v>
      </c>
      <c r="DP128" t="n">
        <v>65.59</v>
      </c>
      <c r="DQ128" t="n">
        <v>32.84</v>
      </c>
      <c r="DR128" t="n">
        <v>65.68000000000001</v>
      </c>
      <c r="DS128" t="n">
        <v>-0.09</v>
      </c>
      <c r="DT128" t="n">
        <v>1573</v>
      </c>
      <c r="DU128" t="n">
        <v>41.4</v>
      </c>
      <c r="DV128" t="inlineStr">
        <is>
          <t>flat</t>
        </is>
      </c>
      <c r="DW128" t="n">
        <v>104.68</v>
      </c>
      <c r="DY128" t="n">
        <v>16.41</v>
      </c>
      <c r="DZ128" t="n">
        <v>86.55</v>
      </c>
      <c r="EA128" t="n">
        <v>118.5</v>
      </c>
      <c r="EB128" t="n">
        <v>3</v>
      </c>
      <c r="EC128" t="n">
        <v>1.4</v>
      </c>
      <c r="ED128" t="n">
        <v>0</v>
      </c>
      <c r="EE128" t="n">
        <v>136</v>
      </c>
      <c r="EF128" t="n">
        <v>77.2</v>
      </c>
      <c r="EG128" t="n">
        <v>56</v>
      </c>
      <c r="EH128" t="n">
        <v>67.8</v>
      </c>
      <c r="EI128" t="n">
        <v>1179</v>
      </c>
      <c r="EJ128" t="n">
        <v>393</v>
      </c>
      <c r="EK128" t="n">
        <v>294.8</v>
      </c>
      <c r="EL128" t="n">
        <v>22.8</v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n">
        <v>5</v>
      </c>
      <c r="F129" t="b">
        <v>1</v>
      </c>
      <c r="G129" t="b">
        <v>1</v>
      </c>
      <c r="H129" t="n">
        <v>23.4</v>
      </c>
      <c r="I129" t="inlineStr">
        <is>
          <t>a</t>
        </is>
      </c>
      <c r="L129" t="inlineStr">
        <is>
          <t>p514254</t>
        </is>
      </c>
      <c r="M129" t="n">
        <v>127</v>
      </c>
      <c r="P129" t="n">
        <v>4</v>
      </c>
      <c r="Q129" t="n">
        <v>2117</v>
      </c>
      <c r="R129" t="n">
        <v>32</v>
      </c>
      <c r="S129" t="n">
        <v>26</v>
      </c>
      <c r="T129" t="n">
        <v>23.522</v>
      </c>
      <c r="U129" t="n">
        <v>66.2</v>
      </c>
      <c r="V129" t="n">
        <v>97</v>
      </c>
      <c r="W129" t="n">
        <v>4.124</v>
      </c>
      <c r="X129" t="n">
        <v>5</v>
      </c>
      <c r="Y129" t="n">
        <v>1</v>
      </c>
      <c r="Z129" t="n">
        <v>1</v>
      </c>
      <c r="AA129" t="n">
        <v>8</v>
      </c>
      <c r="AB129" t="n">
        <v>29</v>
      </c>
      <c r="AC129" t="n">
        <v>9</v>
      </c>
      <c r="AD129" t="n">
        <v>9</v>
      </c>
      <c r="AE129" t="n">
        <v>0</v>
      </c>
      <c r="AF129" t="n">
        <v>361</v>
      </c>
      <c r="AG129" t="n">
        <v>351</v>
      </c>
      <c r="AH129" t="n">
        <v>-10</v>
      </c>
      <c r="AI129" t="n">
        <v>97</v>
      </c>
      <c r="AJ129" t="n">
        <v>0.093</v>
      </c>
      <c r="AK129" t="n">
        <v>0.102</v>
      </c>
      <c r="AL129" t="n">
        <v>238</v>
      </c>
      <c r="AM129" t="n">
        <v>10.118</v>
      </c>
      <c r="AN129" t="n">
        <v>3</v>
      </c>
      <c r="AO129" t="n">
        <v>6</v>
      </c>
      <c r="AP129" t="n">
        <v>0.115</v>
      </c>
      <c r="AQ129" t="n">
        <v>0.346</v>
      </c>
      <c r="AR129" t="n">
        <v>0.115</v>
      </c>
      <c r="AS129" t="n">
        <v>0.6840000000000001</v>
      </c>
      <c r="AT129" t="n">
        <v>0.719</v>
      </c>
      <c r="AU129" t="n">
        <v>21</v>
      </c>
      <c r="AV129" t="n">
        <v>2</v>
      </c>
      <c r="AW129" t="n">
        <v>3.39</v>
      </c>
      <c r="AX129" t="n">
        <v>16</v>
      </c>
      <c r="AY129" t="n">
        <v>6.24</v>
      </c>
      <c r="AZ129" t="n">
        <v>6.418</v>
      </c>
      <c r="BA129" t="n">
        <v>6.329</v>
      </c>
      <c r="BB129" t="n">
        <v>6.418</v>
      </c>
      <c r="BC129" t="n">
        <v>0.265</v>
      </c>
      <c r="BD129" t="n">
        <v>0.273</v>
      </c>
      <c r="BE129" t="n">
        <v>0.269</v>
      </c>
      <c r="BF129" t="n">
        <v>4.3</v>
      </c>
      <c r="BG129" t="n">
        <v>0.183</v>
      </c>
      <c r="BH129" t="n">
        <v>0.903</v>
      </c>
      <c r="BI129" t="n">
        <v>7.06</v>
      </c>
      <c r="BJ129" t="n">
        <v>5.635</v>
      </c>
      <c r="BK129" t="n">
        <v>0.24</v>
      </c>
      <c r="BL129" t="n">
        <v>-1.329</v>
      </c>
      <c r="BM129" t="n">
        <v>-1.94</v>
      </c>
      <c r="BN129" t="n">
        <v>0.7</v>
      </c>
      <c r="BO129" t="n">
        <v>-0.178</v>
      </c>
      <c r="BP129" t="n">
        <v>42</v>
      </c>
      <c r="BQ129" t="n">
        <v>14</v>
      </c>
      <c r="BR129" t="n">
        <v>7</v>
      </c>
      <c r="BS129" t="n">
        <v>80</v>
      </c>
      <c r="BT129" t="n">
        <v>3.401</v>
      </c>
      <c r="BW129" t="n">
        <v>1.72</v>
      </c>
      <c r="BX129" t="n">
        <v>2.092</v>
      </c>
      <c r="BY129" t="n">
        <v>1.906</v>
      </c>
      <c r="BZ129" t="n">
        <v>0.081</v>
      </c>
      <c r="CA129" t="n">
        <v>8.234999999999999</v>
      </c>
      <c r="CB129" t="n">
        <v>0.35</v>
      </c>
      <c r="CC129" t="n">
        <v>20</v>
      </c>
      <c r="CD129" t="n">
        <v>4</v>
      </c>
      <c r="CE129" t="n">
        <v>21</v>
      </c>
      <c r="CF129" t="n">
        <v>6</v>
      </c>
      <c r="CG129" t="n">
        <v>1</v>
      </c>
      <c r="CH129" t="n">
        <v>1</v>
      </c>
      <c r="CI129" t="n">
        <v>14.406</v>
      </c>
      <c r="CJ129" t="n">
        <v>7.101</v>
      </c>
      <c r="CK129" t="n">
        <v>49</v>
      </c>
      <c r="CL129" t="n">
        <v>112</v>
      </c>
      <c r="CM129" t="n">
        <v>77</v>
      </c>
      <c r="CN129" t="n">
        <v>50</v>
      </c>
      <c r="CO129" t="n">
        <v>18</v>
      </c>
      <c r="CP129" t="n">
        <v>28</v>
      </c>
      <c r="CQ129" t="n">
        <v>3</v>
      </c>
      <c r="CR129" t="n">
        <v>162</v>
      </c>
      <c r="CS129" t="n">
        <v>55</v>
      </c>
      <c r="CT129" t="n">
        <v>0.8</v>
      </c>
      <c r="CV129" t="n">
        <v>2</v>
      </c>
      <c r="CW129" t="n">
        <v>29.35</v>
      </c>
      <c r="CX129" t="n">
        <v>1.248</v>
      </c>
      <c r="CY129" t="n">
        <v>0</v>
      </c>
      <c r="DB129" t="n">
        <v>0</v>
      </c>
      <c r="DE129" t="n">
        <v>6.91</v>
      </c>
      <c r="DF129" t="n">
        <v>9</v>
      </c>
      <c r="DG129" t="n">
        <v>0</v>
      </c>
      <c r="DH129" t="n">
        <v>48</v>
      </c>
      <c r="DI129" t="n">
        <v>11</v>
      </c>
      <c r="DK129" t="n">
        <v>1</v>
      </c>
      <c r="DL129" t="n">
        <v>19</v>
      </c>
      <c r="DM129" t="n">
        <v>29</v>
      </c>
      <c r="DN129" t="n">
        <v>1</v>
      </c>
      <c r="DO129" t="n">
        <v>2.5</v>
      </c>
      <c r="DP129" t="n">
        <v>138.84</v>
      </c>
      <c r="DQ129" t="n">
        <v>71.2</v>
      </c>
      <c r="DR129" t="n">
        <v>142.4</v>
      </c>
      <c r="DS129" t="n">
        <v>-3.56</v>
      </c>
      <c r="DT129" t="n">
        <v>2605</v>
      </c>
      <c r="DU129" t="n">
        <v>68.55</v>
      </c>
      <c r="DV129" t="inlineStr">
        <is>
          <t>flat</t>
        </is>
      </c>
      <c r="DW129" t="n">
        <v>92.14</v>
      </c>
      <c r="DX129" t="n">
        <v>74</v>
      </c>
      <c r="DY129" t="n">
        <v>11.9</v>
      </c>
      <c r="DZ129" t="n">
        <v>74</v>
      </c>
      <c r="EA129" t="n">
        <v>104</v>
      </c>
      <c r="EB129" t="n">
        <v>6</v>
      </c>
      <c r="EC129" t="n">
        <v>2.9</v>
      </c>
      <c r="ED129" t="n">
        <v>0</v>
      </c>
      <c r="EE129" t="n">
        <v>245</v>
      </c>
      <c r="EF129" t="n">
        <v>50.4</v>
      </c>
      <c r="EG129" t="n">
        <v>26.5</v>
      </c>
      <c r="EH129" t="n">
        <v>100.8</v>
      </c>
      <c r="EI129" t="n">
        <v>334.5</v>
      </c>
      <c r="EJ129" t="n">
        <v>1110.6</v>
      </c>
      <c r="EK129" t="n">
        <v>257.1</v>
      </c>
      <c r="EL129" t="n">
        <v>21.8</v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n">
        <v>4.5</v>
      </c>
      <c r="F130" t="b">
        <v>1</v>
      </c>
      <c r="G130" t="b">
        <v>1</v>
      </c>
      <c r="H130" t="n">
        <v>33.1</v>
      </c>
      <c r="I130" t="inlineStr">
        <is>
          <t>u</t>
        </is>
      </c>
      <c r="J130" t="inlineStr">
        <is>
          <t>Has joined Paris Saint-Germain permanently</t>
        </is>
      </c>
      <c r="K130" t="n">
        <v>0</v>
      </c>
      <c r="L130" t="inlineStr">
        <is>
          <t>p101188</t>
        </is>
      </c>
      <c r="M130" t="n">
        <v>30</v>
      </c>
      <c r="Q130" t="n">
        <v>1842</v>
      </c>
      <c r="R130" t="n">
        <v>31</v>
      </c>
      <c r="S130" t="n">
        <v>21</v>
      </c>
      <c r="T130" t="n">
        <v>20.467</v>
      </c>
      <c r="U130" t="n">
        <v>59.4</v>
      </c>
      <c r="V130" t="n">
        <v>97</v>
      </c>
      <c r="W130" t="n">
        <v>4.739</v>
      </c>
      <c r="X130" t="n">
        <v>0</v>
      </c>
      <c r="Y130" t="n">
        <v>7</v>
      </c>
      <c r="Z130" t="n">
        <v>6</v>
      </c>
      <c r="AA130" t="n">
        <v>7</v>
      </c>
      <c r="AB130" t="n">
        <v>23</v>
      </c>
      <c r="AC130" t="n">
        <v>5</v>
      </c>
      <c r="AD130" t="n">
        <v>4</v>
      </c>
      <c r="AE130" t="n">
        <v>-1</v>
      </c>
      <c r="AF130" t="n">
        <v>381</v>
      </c>
      <c r="AG130" t="n">
        <v>367</v>
      </c>
      <c r="AH130" t="n">
        <v>-14</v>
      </c>
      <c r="AI130" t="n">
        <v>96</v>
      </c>
      <c r="AJ130" t="n">
        <v>0.052</v>
      </c>
      <c r="AK130" t="n">
        <v>0.054</v>
      </c>
      <c r="AL130" t="n">
        <v>113</v>
      </c>
      <c r="AM130" t="n">
        <v>5.521</v>
      </c>
      <c r="AN130" t="n">
        <v>1</v>
      </c>
      <c r="AO130" t="n">
        <v>2</v>
      </c>
      <c r="AP130" t="n">
        <v>0.048</v>
      </c>
      <c r="AQ130" t="n">
        <v>0.048</v>
      </c>
      <c r="AR130" t="n">
        <v>0</v>
      </c>
      <c r="AS130" t="n">
        <v>0.553</v>
      </c>
      <c r="AT130" t="n">
        <v>0.613</v>
      </c>
      <c r="AU130" t="n">
        <v>17</v>
      </c>
      <c r="AV130" t="n">
        <v>0</v>
      </c>
      <c r="AW130" t="n">
        <v>2.62</v>
      </c>
      <c r="AX130" t="n">
        <v>9</v>
      </c>
      <c r="AY130" t="n">
        <v>0.67</v>
      </c>
      <c r="AZ130" t="n">
        <v>0.703</v>
      </c>
      <c r="BA130" t="n">
        <v>0.6870000000000001</v>
      </c>
      <c r="BB130" t="n">
        <v>0.703</v>
      </c>
      <c r="BC130" t="n">
        <v>0.033</v>
      </c>
      <c r="BD130" t="n">
        <v>0.034</v>
      </c>
      <c r="BE130" t="n">
        <v>0.034</v>
      </c>
      <c r="BF130" t="n">
        <v>0.7</v>
      </c>
      <c r="BG130" t="n">
        <v>0.034</v>
      </c>
      <c r="BH130" t="n">
        <v>1.01</v>
      </c>
      <c r="BI130" t="n">
        <v>2.89</v>
      </c>
      <c r="BJ130" t="n">
        <v>0.677</v>
      </c>
      <c r="BK130" t="n">
        <v>0.033</v>
      </c>
      <c r="BL130" t="n">
        <v>-0.6870000000000001</v>
      </c>
      <c r="BM130" t="n">
        <v>0.03</v>
      </c>
      <c r="BN130" t="n">
        <v>-0.7</v>
      </c>
      <c r="BO130" t="n">
        <v>-0.033</v>
      </c>
      <c r="BP130" t="n">
        <v>14</v>
      </c>
      <c r="BQ130" t="n">
        <v>5</v>
      </c>
      <c r="BS130" t="n">
        <v>27</v>
      </c>
      <c r="BT130" t="n">
        <v>1.319</v>
      </c>
      <c r="BW130" t="n">
        <v>3.28</v>
      </c>
      <c r="BX130" t="n">
        <v>3.053</v>
      </c>
      <c r="BY130" t="n">
        <v>3.166</v>
      </c>
      <c r="BZ130" t="n">
        <v>0.155</v>
      </c>
      <c r="CA130" t="n">
        <v>3.853</v>
      </c>
      <c r="CB130" t="n">
        <v>0.188</v>
      </c>
      <c r="CC130" t="n">
        <v>26</v>
      </c>
      <c r="CD130" t="n">
        <v>4</v>
      </c>
      <c r="CE130" t="n">
        <v>26</v>
      </c>
      <c r="CF130" t="n">
        <v>33</v>
      </c>
      <c r="CG130" t="n">
        <v>1</v>
      </c>
      <c r="CH130" t="n">
        <v>38</v>
      </c>
      <c r="CI130" t="n">
        <v>5.531</v>
      </c>
      <c r="CJ130" t="n">
        <v>4.143</v>
      </c>
      <c r="CK130" t="n">
        <v>77</v>
      </c>
      <c r="CL130" t="n">
        <v>63</v>
      </c>
      <c r="CM130" t="n">
        <v>36</v>
      </c>
      <c r="CN130" t="n">
        <v>28</v>
      </c>
      <c r="CO130" t="n">
        <v>15</v>
      </c>
      <c r="CP130" t="n">
        <v>61</v>
      </c>
      <c r="CQ130" t="n">
        <v>4</v>
      </c>
      <c r="CR130" t="n">
        <v>87</v>
      </c>
      <c r="CS130" t="n">
        <v>35</v>
      </c>
      <c r="CT130" t="n">
        <v>0</v>
      </c>
      <c r="CU130" t="n">
        <v>2</v>
      </c>
      <c r="CV130" t="n">
        <v>2</v>
      </c>
      <c r="CW130" t="n">
        <v>27.79</v>
      </c>
      <c r="CX130" t="n">
        <v>1.358</v>
      </c>
      <c r="CY130" t="n">
        <v>0</v>
      </c>
      <c r="DB130" t="n">
        <v>0</v>
      </c>
      <c r="DE130" t="n">
        <v>6.8</v>
      </c>
      <c r="DF130" t="n">
        <v>3</v>
      </c>
      <c r="DG130" t="n">
        <v>0</v>
      </c>
      <c r="DH130" t="n">
        <v>14</v>
      </c>
      <c r="DI130" t="n">
        <v>12</v>
      </c>
      <c r="DL130" t="n">
        <v>4</v>
      </c>
      <c r="DM130" t="n">
        <v>11</v>
      </c>
      <c r="DN130" t="n">
        <v>3</v>
      </c>
      <c r="DO130" t="n">
        <v>0.8</v>
      </c>
      <c r="DW130" t="n">
        <v>95.17</v>
      </c>
      <c r="DX130" t="n">
        <v>107</v>
      </c>
      <c r="DY130" t="n">
        <v>13.06</v>
      </c>
      <c r="DZ130" t="n">
        <v>76.5</v>
      </c>
      <c r="EA130" t="n">
        <v>112</v>
      </c>
      <c r="EB130" t="n">
        <v>15</v>
      </c>
      <c r="EC130" t="n">
        <v>7.2</v>
      </c>
      <c r="ED130" t="n">
        <v>6.2</v>
      </c>
      <c r="EE130" t="n">
        <v>403</v>
      </c>
      <c r="EF130" t="n">
        <v>131.6</v>
      </c>
      <c r="EG130" t="n">
        <v>68.2</v>
      </c>
      <c r="EH130" t="n">
        <v>70.8</v>
      </c>
      <c r="EI130" t="n">
        <v>2682.5</v>
      </c>
      <c r="EJ130" t="n">
        <v>581.8</v>
      </c>
      <c r="EK130" t="n">
        <v>478.1</v>
      </c>
      <c r="EL130" t="n">
        <v>19</v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n">
        <v>4</v>
      </c>
      <c r="F131" t="b">
        <v>1</v>
      </c>
      <c r="G131" t="b">
        <v>1</v>
      </c>
      <c r="H131" t="n">
        <v>37.6</v>
      </c>
      <c r="I131" t="inlineStr">
        <is>
          <t>a</t>
        </is>
      </c>
      <c r="L131" t="inlineStr">
        <is>
          <t>p67089</t>
        </is>
      </c>
      <c r="M131" t="n">
        <v>497</v>
      </c>
      <c r="Q131" t="n">
        <v>3150</v>
      </c>
      <c r="R131" t="n">
        <v>35</v>
      </c>
      <c r="S131" t="n">
        <v>35</v>
      </c>
      <c r="T131" t="n">
        <v>35</v>
      </c>
      <c r="U131" t="n">
        <v>90</v>
      </c>
      <c r="V131" t="n">
        <v>96</v>
      </c>
      <c r="W131" t="n">
        <v>2.743</v>
      </c>
      <c r="X131" t="n">
        <v>0</v>
      </c>
      <c r="Y131" t="n">
        <v>0</v>
      </c>
      <c r="AA131" t="n">
        <v>4</v>
      </c>
      <c r="AB131" t="n">
        <v>71</v>
      </c>
      <c r="AC131" t="n">
        <v>7</v>
      </c>
      <c r="AD131" t="n">
        <v>7</v>
      </c>
      <c r="AE131" t="n">
        <v>0</v>
      </c>
      <c r="AF131" t="n">
        <v>436</v>
      </c>
      <c r="AG131" t="n">
        <v>425</v>
      </c>
      <c r="AH131" t="n">
        <v>-11</v>
      </c>
      <c r="AI131" t="n">
        <v>96</v>
      </c>
      <c r="AJ131" t="n">
        <v>0.073</v>
      </c>
      <c r="AK131" t="n">
        <v>0.079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0.921</v>
      </c>
      <c r="AT131" t="n">
        <v>1</v>
      </c>
      <c r="AU131" t="n">
        <v>24</v>
      </c>
      <c r="AV131" t="n">
        <v>1</v>
      </c>
      <c r="AW131" t="n">
        <v>2.37</v>
      </c>
      <c r="AX131" t="n">
        <v>11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H131" t="n">
        <v>1</v>
      </c>
      <c r="BI131" t="n">
        <v>0</v>
      </c>
      <c r="BJ131" t="n">
        <v>0</v>
      </c>
      <c r="BK131" t="n">
        <v>0</v>
      </c>
      <c r="BL131" t="n">
        <v>0</v>
      </c>
      <c r="BO131" t="n">
        <v>0</v>
      </c>
      <c r="BW131" t="n">
        <v>0.04</v>
      </c>
      <c r="BX131" t="n">
        <v>0</v>
      </c>
      <c r="BY131" t="n">
        <v>0.02</v>
      </c>
      <c r="BZ131" t="n">
        <v>0.001</v>
      </c>
      <c r="CA131" t="n">
        <v>0.02</v>
      </c>
      <c r="CB131" t="n">
        <v>0.001</v>
      </c>
      <c r="CC131" t="n">
        <v>0</v>
      </c>
      <c r="CI131" t="n">
        <v>2.838</v>
      </c>
      <c r="CJ131" t="n">
        <v>2.838</v>
      </c>
      <c r="CK131" t="n">
        <v>59</v>
      </c>
      <c r="CL131" t="n">
        <v>291</v>
      </c>
      <c r="CM131" t="n">
        <v>1</v>
      </c>
      <c r="CN131" t="n">
        <v>1</v>
      </c>
      <c r="CP131" t="n">
        <v>59</v>
      </c>
      <c r="CR131" t="n">
        <v>29</v>
      </c>
      <c r="CS131" t="n">
        <v>22</v>
      </c>
      <c r="CU131" t="n">
        <v>2</v>
      </c>
      <c r="CW131" t="n">
        <v>71.26000000000001</v>
      </c>
      <c r="CX131" t="n">
        <v>2.036</v>
      </c>
      <c r="CY131" t="n">
        <v>127</v>
      </c>
      <c r="CZ131" t="n">
        <v>64.09999999999999</v>
      </c>
      <c r="DA131" t="n">
        <v>-3.3</v>
      </c>
      <c r="DB131" t="n">
        <v>0</v>
      </c>
      <c r="DC131" t="n">
        <v>25</v>
      </c>
      <c r="DD131" t="n">
        <v>42</v>
      </c>
      <c r="DE131" t="n">
        <v>6.73</v>
      </c>
      <c r="DF131" t="n">
        <v>1</v>
      </c>
      <c r="DG131" t="n">
        <v>0</v>
      </c>
      <c r="DI131" t="n">
        <v>8</v>
      </c>
      <c r="DO131" t="n">
        <v>22.4</v>
      </c>
      <c r="DP131" t="n">
        <v>1.54</v>
      </c>
      <c r="DQ131" t="n">
        <v>0.77</v>
      </c>
      <c r="DR131" t="n">
        <v>1.54</v>
      </c>
      <c r="DS131" t="n">
        <v>0</v>
      </c>
      <c r="DT131" t="n">
        <v>35</v>
      </c>
      <c r="DU131" t="n">
        <v>0.92</v>
      </c>
      <c r="DV131" t="inlineStr">
        <is>
          <t>flat</t>
        </is>
      </c>
      <c r="DW131" t="n">
        <v>109.46</v>
      </c>
      <c r="DX131" t="n">
        <v>54</v>
      </c>
      <c r="DY131" t="n">
        <v>16.65</v>
      </c>
      <c r="DZ131" t="n">
        <v>54</v>
      </c>
      <c r="EA131" t="n">
        <v>119.27</v>
      </c>
      <c r="EB131" t="n">
        <v>16</v>
      </c>
      <c r="EC131" t="n">
        <v>7.7</v>
      </c>
      <c r="ED131" t="n">
        <v>11.1</v>
      </c>
      <c r="EE131" t="n">
        <v>519</v>
      </c>
      <c r="EJ131" t="n">
        <v>157500</v>
      </c>
      <c r="EK131" t="n">
        <v>157500</v>
      </c>
      <c r="EL131" t="n">
        <v>32.8</v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n">
        <v>5</v>
      </c>
      <c r="F132" t="b">
        <v>1</v>
      </c>
      <c r="G132" t="b">
        <v>1</v>
      </c>
      <c r="H132" t="n">
        <v>23.3</v>
      </c>
      <c r="I132" t="inlineStr">
        <is>
          <t>a</t>
        </is>
      </c>
      <c r="L132" t="inlineStr">
        <is>
          <t>p482609</t>
        </is>
      </c>
      <c r="M132" t="n">
        <v>144</v>
      </c>
      <c r="Q132" t="n">
        <v>2255</v>
      </c>
      <c r="R132" t="n">
        <v>34</v>
      </c>
      <c r="S132" t="n">
        <v>26</v>
      </c>
      <c r="T132" t="n">
        <v>25.056</v>
      </c>
      <c r="U132" t="n">
        <v>66.3</v>
      </c>
      <c r="V132" t="n">
        <v>96</v>
      </c>
      <c r="W132" t="n">
        <v>3.831</v>
      </c>
      <c r="X132" t="n">
        <v>2</v>
      </c>
      <c r="Y132" t="n">
        <v>3</v>
      </c>
      <c r="Z132" t="n">
        <v>3</v>
      </c>
      <c r="AA132" t="n">
        <v>7</v>
      </c>
      <c r="AB132" t="n">
        <v>36</v>
      </c>
      <c r="AC132" t="n">
        <v>7</v>
      </c>
      <c r="AD132" t="n">
        <v>8</v>
      </c>
      <c r="AE132" t="n">
        <v>1</v>
      </c>
      <c r="AF132" t="n">
        <v>406</v>
      </c>
      <c r="AG132" t="n">
        <v>391</v>
      </c>
      <c r="AH132" t="n">
        <v>-15</v>
      </c>
      <c r="AI132" t="n">
        <v>97</v>
      </c>
      <c r="AJ132" t="n">
        <v>0.073</v>
      </c>
      <c r="AK132" t="n">
        <v>0.079</v>
      </c>
      <c r="AL132" t="n">
        <v>126</v>
      </c>
      <c r="AM132" t="n">
        <v>5.029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0.6840000000000001</v>
      </c>
      <c r="AT132" t="n">
        <v>0.676</v>
      </c>
      <c r="AU132" t="n">
        <v>25</v>
      </c>
      <c r="AV132" t="n">
        <v>2</v>
      </c>
      <c r="AW132" t="n">
        <v>3.91</v>
      </c>
      <c r="AX132" t="n">
        <v>18</v>
      </c>
      <c r="AY132" t="n">
        <v>1.56</v>
      </c>
      <c r="AZ132" t="n">
        <v>1.942</v>
      </c>
      <c r="BA132" t="n">
        <v>1.751</v>
      </c>
      <c r="BB132" t="n">
        <v>1.942</v>
      </c>
      <c r="BC132" t="n">
        <v>0.062</v>
      </c>
      <c r="BD132" t="n">
        <v>0.078</v>
      </c>
      <c r="BE132" t="n">
        <v>0.07000000000000001</v>
      </c>
      <c r="BF132" t="n">
        <v>1.5</v>
      </c>
      <c r="BG132" t="n">
        <v>0.06</v>
      </c>
      <c r="BH132" t="n">
        <v>0.891</v>
      </c>
      <c r="BI132" t="n">
        <v>4.01</v>
      </c>
      <c r="BJ132" t="n">
        <v>1.39</v>
      </c>
      <c r="BK132" t="n">
        <v>0.055</v>
      </c>
      <c r="BL132" t="n">
        <v>0.249</v>
      </c>
      <c r="BM132" t="n">
        <v>-0.06</v>
      </c>
      <c r="BN132" t="n">
        <v>0.5</v>
      </c>
      <c r="BO132" t="n">
        <v>-0.382</v>
      </c>
      <c r="BP132" t="n">
        <v>12</v>
      </c>
      <c r="BQ132" t="n">
        <v>6</v>
      </c>
      <c r="BR132" t="n">
        <v>1</v>
      </c>
      <c r="BS132" t="n">
        <v>48</v>
      </c>
      <c r="BT132" t="n">
        <v>1.916</v>
      </c>
      <c r="BV132" t="n">
        <v>1</v>
      </c>
      <c r="BW132" t="n">
        <v>2.97</v>
      </c>
      <c r="BX132" t="n">
        <v>3.806</v>
      </c>
      <c r="BY132" t="n">
        <v>3.388</v>
      </c>
      <c r="BZ132" t="n">
        <v>0.135</v>
      </c>
      <c r="CA132" t="n">
        <v>5.139</v>
      </c>
      <c r="CB132" t="n">
        <v>0.205</v>
      </c>
      <c r="CC132" t="n">
        <v>27</v>
      </c>
      <c r="CD132" t="n">
        <v>4</v>
      </c>
      <c r="CE132" t="n">
        <v>27</v>
      </c>
      <c r="CF132" t="n">
        <v>12</v>
      </c>
      <c r="CG132" t="n">
        <v>4</v>
      </c>
      <c r="CI132" t="n">
        <v>16.338</v>
      </c>
      <c r="CJ132" t="n">
        <v>13.553</v>
      </c>
      <c r="CK132" t="n">
        <v>74</v>
      </c>
      <c r="CL132" t="n">
        <v>123</v>
      </c>
      <c r="CM132" t="n">
        <v>52</v>
      </c>
      <c r="CN132" t="n">
        <v>24</v>
      </c>
      <c r="CO132" t="n">
        <v>31</v>
      </c>
      <c r="CP132" t="n">
        <v>39</v>
      </c>
      <c r="CQ132" t="n">
        <v>5</v>
      </c>
      <c r="CR132" t="n">
        <v>101</v>
      </c>
      <c r="CS132" t="n">
        <v>15</v>
      </c>
      <c r="CT132" t="n">
        <v>0.4</v>
      </c>
      <c r="CU132" t="n">
        <v>1</v>
      </c>
      <c r="CV132" t="n">
        <v>1</v>
      </c>
      <c r="CW132" t="n">
        <v>37.13</v>
      </c>
      <c r="CX132" t="n">
        <v>1.482</v>
      </c>
      <c r="CY132" t="n">
        <v>0</v>
      </c>
      <c r="DB132" t="n">
        <v>0</v>
      </c>
      <c r="DE132" t="n">
        <v>6.84</v>
      </c>
      <c r="DF132" t="n">
        <v>3</v>
      </c>
      <c r="DG132" t="n">
        <v>1</v>
      </c>
      <c r="DH132" t="n">
        <v>20</v>
      </c>
      <c r="DI132" t="n">
        <v>20</v>
      </c>
      <c r="DK132" t="n">
        <v>1</v>
      </c>
      <c r="DL132" t="n">
        <v>13</v>
      </c>
      <c r="DM132" t="n">
        <v>16</v>
      </c>
      <c r="DN132" t="n">
        <v>1</v>
      </c>
      <c r="DO132" t="n">
        <v>1.1</v>
      </c>
      <c r="DP132" t="n">
        <v>34.3</v>
      </c>
      <c r="DQ132" t="n">
        <v>17.33</v>
      </c>
      <c r="DR132" t="n">
        <v>34.66</v>
      </c>
      <c r="DS132" t="n">
        <v>-0.36</v>
      </c>
      <c r="DT132" t="n">
        <v>663</v>
      </c>
      <c r="DU132" t="n">
        <v>17.45</v>
      </c>
      <c r="DV132" t="inlineStr">
        <is>
          <t>flat</t>
        </is>
      </c>
      <c r="DW132" t="n">
        <v>96.15000000000001</v>
      </c>
      <c r="DX132" t="n">
        <v>96.29000000000001</v>
      </c>
      <c r="DY132" t="n">
        <v>16.45</v>
      </c>
      <c r="DZ132" t="n">
        <v>42</v>
      </c>
      <c r="EA132" t="n">
        <v>120</v>
      </c>
      <c r="EB132" t="n">
        <v>41</v>
      </c>
      <c r="EC132" t="n">
        <v>19.7</v>
      </c>
      <c r="ED132" t="n">
        <v>8.9</v>
      </c>
      <c r="EE132" t="n">
        <v>246</v>
      </c>
      <c r="EF132" t="n">
        <v>187.9</v>
      </c>
      <c r="EG132" t="n">
        <v>47</v>
      </c>
      <c r="EH132" t="n">
        <v>83.5</v>
      </c>
      <c r="EI132" t="n">
        <v>1287.9</v>
      </c>
      <c r="EJ132" t="n">
        <v>665.6</v>
      </c>
      <c r="EK132" t="n">
        <v>438.8</v>
      </c>
      <c r="EL132" t="n">
        <v>23.5</v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n">
        <v>4.5</v>
      </c>
      <c r="F133" t="b">
        <v>1</v>
      </c>
      <c r="G133" t="b">
        <v>1</v>
      </c>
      <c r="H133" t="n">
        <v>26.1</v>
      </c>
      <c r="I133" t="inlineStr">
        <is>
          <t>a</t>
        </is>
      </c>
      <c r="L133" t="inlineStr">
        <is>
          <t>p226182</t>
        </is>
      </c>
      <c r="M133" t="n">
        <v>330</v>
      </c>
      <c r="Q133" t="n">
        <v>2795</v>
      </c>
      <c r="R133" t="n">
        <v>34</v>
      </c>
      <c r="S133" t="n">
        <v>32</v>
      </c>
      <c r="T133" t="n">
        <v>31.056</v>
      </c>
      <c r="U133" t="n">
        <v>82.2</v>
      </c>
      <c r="V133" t="n">
        <v>96</v>
      </c>
      <c r="W133" t="n">
        <v>3.091</v>
      </c>
      <c r="X133" t="n">
        <v>1</v>
      </c>
      <c r="Y133" t="n">
        <v>5</v>
      </c>
      <c r="Z133" t="n">
        <v>2</v>
      </c>
      <c r="AA133" t="n">
        <v>6</v>
      </c>
      <c r="AB133" t="n">
        <v>44</v>
      </c>
      <c r="AC133" t="n">
        <v>1</v>
      </c>
      <c r="AD133" t="n">
        <v>1</v>
      </c>
      <c r="AE133" t="n">
        <v>0</v>
      </c>
      <c r="AF133" t="n">
        <v>311</v>
      </c>
      <c r="AG133" t="n">
        <v>289</v>
      </c>
      <c r="AH133" t="n">
        <v>-22</v>
      </c>
      <c r="AI133" t="n">
        <v>96</v>
      </c>
      <c r="AJ133" t="n">
        <v>0.01</v>
      </c>
      <c r="AK133" t="n">
        <v>0.011</v>
      </c>
      <c r="AL133" t="n">
        <v>178</v>
      </c>
      <c r="AM133" t="n">
        <v>5.732</v>
      </c>
      <c r="AN133" t="n">
        <v>2</v>
      </c>
      <c r="AO133" t="n">
        <v>4</v>
      </c>
      <c r="AP133" t="n">
        <v>0.062</v>
      </c>
      <c r="AQ133" t="n">
        <v>0.062</v>
      </c>
      <c r="AR133" t="n">
        <v>0.031</v>
      </c>
      <c r="AS133" t="n">
        <v>0.842</v>
      </c>
      <c r="AT133" t="n">
        <v>0.912</v>
      </c>
      <c r="AU133" t="n">
        <v>20</v>
      </c>
      <c r="AV133" t="n">
        <v>0</v>
      </c>
      <c r="AW133" t="n">
        <v>2.35</v>
      </c>
      <c r="AX133" t="n">
        <v>8</v>
      </c>
      <c r="AY133" t="n">
        <v>2.08</v>
      </c>
      <c r="AZ133" t="n">
        <v>1.892</v>
      </c>
      <c r="BA133" t="n">
        <v>1.986</v>
      </c>
      <c r="BB133" t="n">
        <v>1.892</v>
      </c>
      <c r="BC133" t="n">
        <v>0.067</v>
      </c>
      <c r="BD133" t="n">
        <v>0.061</v>
      </c>
      <c r="BE133" t="n">
        <v>0.064</v>
      </c>
      <c r="BF133" t="n">
        <v>1</v>
      </c>
      <c r="BG133" t="n">
        <v>0.032</v>
      </c>
      <c r="BH133" t="n">
        <v>0.9320000000000001</v>
      </c>
      <c r="BI133" t="n">
        <v>4.44</v>
      </c>
      <c r="BJ133" t="n">
        <v>1.94</v>
      </c>
      <c r="BK133" t="n">
        <v>0.062</v>
      </c>
      <c r="BL133" t="n">
        <v>-0.986</v>
      </c>
      <c r="BM133" t="n">
        <v>-1.08</v>
      </c>
      <c r="BN133" t="n">
        <v>0</v>
      </c>
      <c r="BO133" t="n">
        <v>0.188</v>
      </c>
      <c r="BP133" t="n">
        <v>18</v>
      </c>
      <c r="BQ133" t="n">
        <v>4</v>
      </c>
      <c r="BR133" t="n">
        <v>3</v>
      </c>
      <c r="BS133" t="n">
        <v>70</v>
      </c>
      <c r="BT133" t="n">
        <v>2.254</v>
      </c>
      <c r="BW133" t="n">
        <v>3.11</v>
      </c>
      <c r="BX133" t="n">
        <v>3.525</v>
      </c>
      <c r="BY133" t="n">
        <v>3.318</v>
      </c>
      <c r="BZ133" t="n">
        <v>0.107</v>
      </c>
      <c r="CA133" t="n">
        <v>5.304</v>
      </c>
      <c r="CB133" t="n">
        <v>0.171</v>
      </c>
      <c r="CC133" t="n">
        <v>21</v>
      </c>
      <c r="CD133" t="n">
        <v>7</v>
      </c>
      <c r="CE133" t="n">
        <v>21</v>
      </c>
      <c r="CF133" t="n">
        <v>16</v>
      </c>
      <c r="CG133" t="n">
        <v>1</v>
      </c>
      <c r="CI133" t="n">
        <v>11.021</v>
      </c>
      <c r="CJ133" t="n">
        <v>6.367</v>
      </c>
      <c r="CK133" t="n">
        <v>112</v>
      </c>
      <c r="CL133" t="n">
        <v>133</v>
      </c>
      <c r="CM133" t="n">
        <v>66</v>
      </c>
      <c r="CN133" t="n">
        <v>43</v>
      </c>
      <c r="CO133" t="n">
        <v>34</v>
      </c>
      <c r="CP133" t="n">
        <v>73</v>
      </c>
      <c r="CQ133" t="n">
        <v>5</v>
      </c>
      <c r="CR133" t="n">
        <v>138</v>
      </c>
      <c r="CS133" t="n">
        <v>24</v>
      </c>
      <c r="CT133" t="n">
        <v>0.5</v>
      </c>
      <c r="CU133" t="n">
        <v>1</v>
      </c>
      <c r="CV133" t="n">
        <v>2</v>
      </c>
      <c r="CW133" t="n">
        <v>39.93</v>
      </c>
      <c r="CX133" t="n">
        <v>1.286</v>
      </c>
      <c r="CY133" t="n">
        <v>0</v>
      </c>
      <c r="DB133" t="n">
        <v>0</v>
      </c>
      <c r="DE133" t="n">
        <v>6.7</v>
      </c>
      <c r="DF133" t="n">
        <v>6</v>
      </c>
      <c r="DG133" t="n">
        <v>0</v>
      </c>
      <c r="DH133" t="n">
        <v>39</v>
      </c>
      <c r="DI133" t="n">
        <v>29</v>
      </c>
      <c r="DJ133" t="n">
        <v>1</v>
      </c>
      <c r="DL133" t="n">
        <v>19</v>
      </c>
      <c r="DM133" t="n">
        <v>34</v>
      </c>
      <c r="DN133" t="n">
        <v>10</v>
      </c>
      <c r="DO133" t="n">
        <v>0.5</v>
      </c>
      <c r="DP133" t="n">
        <v>95.98</v>
      </c>
      <c r="DQ133" t="n">
        <v>48.14</v>
      </c>
      <c r="DR133" t="n">
        <v>96.28</v>
      </c>
      <c r="DS133" t="n">
        <v>-0.3</v>
      </c>
      <c r="DT133" t="n">
        <v>2440</v>
      </c>
      <c r="DU133" t="n">
        <v>64.2</v>
      </c>
      <c r="DV133" t="inlineStr">
        <is>
          <t>flat</t>
        </is>
      </c>
      <c r="DW133" t="n">
        <v>98.58</v>
      </c>
      <c r="DX133" t="n">
        <v>84</v>
      </c>
      <c r="DY133" t="n">
        <v>18.62</v>
      </c>
      <c r="DZ133" t="n">
        <v>69.81999999999999</v>
      </c>
      <c r="EA133" t="n">
        <v>116.8</v>
      </c>
      <c r="EB133" t="n">
        <v>6</v>
      </c>
      <c r="EC133" t="n">
        <v>2.9</v>
      </c>
      <c r="ED133" t="n">
        <v>0</v>
      </c>
      <c r="EE133" t="n">
        <v>404</v>
      </c>
      <c r="EF133" t="n">
        <v>155.3</v>
      </c>
      <c r="EG133" t="n">
        <v>39.9</v>
      </c>
      <c r="EH133" t="n">
        <v>133.1</v>
      </c>
      <c r="EI133" t="n">
        <v>1407.3</v>
      </c>
      <c r="EJ133" t="n">
        <v>842.5</v>
      </c>
      <c r="EK133" t="n">
        <v>527</v>
      </c>
      <c r="EL133" t="n">
        <v>29.1</v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n">
        <v>5</v>
      </c>
      <c r="F134" t="b">
        <v>1</v>
      </c>
      <c r="G134" t="b">
        <v>1</v>
      </c>
      <c r="H134" t="n">
        <v>34.3</v>
      </c>
      <c r="I134" t="inlineStr">
        <is>
          <t>a</t>
        </is>
      </c>
      <c r="L134" t="inlineStr">
        <is>
          <t>p98747</t>
        </is>
      </c>
      <c r="M134" t="n">
        <v>442</v>
      </c>
      <c r="Q134" t="n">
        <v>2416</v>
      </c>
      <c r="R134" t="n">
        <v>27</v>
      </c>
      <c r="S134" t="n">
        <v>27</v>
      </c>
      <c r="T134" t="n">
        <v>26.844</v>
      </c>
      <c r="U134" t="n">
        <v>89.5</v>
      </c>
      <c r="V134" t="n">
        <v>96</v>
      </c>
      <c r="W134" t="n">
        <v>3.576</v>
      </c>
      <c r="X134" t="n">
        <v>0</v>
      </c>
      <c r="Y134" t="n">
        <v>1</v>
      </c>
      <c r="AA134" t="n">
        <v>7</v>
      </c>
      <c r="AB134" t="n">
        <v>38</v>
      </c>
      <c r="AC134" t="n">
        <v>3</v>
      </c>
      <c r="AD134" t="n">
        <v>5</v>
      </c>
      <c r="AE134" t="n">
        <v>2</v>
      </c>
      <c r="AF134" t="n">
        <v>414</v>
      </c>
      <c r="AG134" t="n">
        <v>410</v>
      </c>
      <c r="AH134" t="n">
        <v>-4</v>
      </c>
      <c r="AI134" t="n">
        <v>98</v>
      </c>
      <c r="AJ134" t="n">
        <v>0.031</v>
      </c>
      <c r="AK134" t="n">
        <v>0.032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0.711</v>
      </c>
      <c r="AT134" t="n">
        <v>1</v>
      </c>
      <c r="AU134" t="n">
        <v>11</v>
      </c>
      <c r="AV134" t="n">
        <v>0</v>
      </c>
      <c r="AW134" t="n">
        <v>2.42</v>
      </c>
      <c r="AX134" t="n">
        <v>9</v>
      </c>
      <c r="AY134" t="n">
        <v>0.16</v>
      </c>
      <c r="AZ134" t="n">
        <v>0.131</v>
      </c>
      <c r="BA134" t="n">
        <v>0.146</v>
      </c>
      <c r="BB134" t="n">
        <v>0.131</v>
      </c>
      <c r="BC134" t="n">
        <v>0.006</v>
      </c>
      <c r="BD134" t="n">
        <v>0.005</v>
      </c>
      <c r="BE134" t="n">
        <v>0.005</v>
      </c>
      <c r="BF134" t="n">
        <v>0.3</v>
      </c>
      <c r="BG134" t="n">
        <v>0.011</v>
      </c>
      <c r="BH134" t="n">
        <v>1.015</v>
      </c>
      <c r="BI134" t="n">
        <v>0.18</v>
      </c>
      <c r="BJ134" t="n">
        <v>0.162</v>
      </c>
      <c r="BK134" t="n">
        <v>0.006</v>
      </c>
      <c r="BL134" t="n">
        <v>-0.146</v>
      </c>
      <c r="BM134" t="n">
        <v>0.14</v>
      </c>
      <c r="BN134" t="n">
        <v>-0.3</v>
      </c>
      <c r="BO134" t="n">
        <v>0.029</v>
      </c>
      <c r="BP134" t="n">
        <v>1</v>
      </c>
      <c r="BQ134" t="n">
        <v>1</v>
      </c>
      <c r="BS134" t="n">
        <v>2</v>
      </c>
      <c r="BT134" t="n">
        <v>0.075</v>
      </c>
      <c r="BW134" t="n">
        <v>0</v>
      </c>
      <c r="BX134" t="n">
        <v>0</v>
      </c>
      <c r="BY134" t="n">
        <v>0</v>
      </c>
      <c r="BZ134" t="n">
        <v>0</v>
      </c>
      <c r="CA134" t="n">
        <v>0.146</v>
      </c>
      <c r="CB134" t="n">
        <v>0.005</v>
      </c>
      <c r="CC134" t="n">
        <v>0</v>
      </c>
      <c r="CI134" t="n">
        <v>2.811</v>
      </c>
      <c r="CJ134" t="n">
        <v>2.811</v>
      </c>
      <c r="CK134" t="n">
        <v>35</v>
      </c>
      <c r="CL134" t="n">
        <v>254</v>
      </c>
      <c r="CM134" t="n">
        <v>1</v>
      </c>
      <c r="CN134" t="n">
        <v>1</v>
      </c>
      <c r="CP134" t="n">
        <v>35</v>
      </c>
      <c r="CR134" t="n">
        <v>17</v>
      </c>
      <c r="CS134" t="n">
        <v>15</v>
      </c>
      <c r="CU134" t="n">
        <v>3</v>
      </c>
      <c r="CV134" t="n">
        <v>2</v>
      </c>
      <c r="CW134" t="n">
        <v>32.89</v>
      </c>
      <c r="CX134" t="n">
        <v>1.225</v>
      </c>
      <c r="CY134" t="n">
        <v>89</v>
      </c>
      <c r="CZ134" t="n">
        <v>70.09999999999999</v>
      </c>
      <c r="DA134" t="n">
        <v>-3.5</v>
      </c>
      <c r="DB134" t="n">
        <v>0</v>
      </c>
      <c r="DC134" t="n">
        <v>35</v>
      </c>
      <c r="DD134" t="n">
        <v>12</v>
      </c>
      <c r="DE134" t="n">
        <v>6.92</v>
      </c>
      <c r="DF134" t="n">
        <v>2</v>
      </c>
      <c r="DG134" t="n">
        <v>0</v>
      </c>
      <c r="DH134" t="n">
        <v>1</v>
      </c>
      <c r="DI134" t="n">
        <v>2</v>
      </c>
      <c r="DK134" t="n">
        <v>0</v>
      </c>
      <c r="DL134" t="n">
        <v>0</v>
      </c>
      <c r="DO134" t="n">
        <v>1.2</v>
      </c>
      <c r="DP134" t="n">
        <v>0.38</v>
      </c>
      <c r="DQ134" t="n">
        <v>0.19</v>
      </c>
      <c r="DR134" t="n">
        <v>0.38</v>
      </c>
      <c r="DS134" t="n">
        <v>0</v>
      </c>
      <c r="DT134" t="n">
        <v>4</v>
      </c>
      <c r="DU134" t="n">
        <v>0.1</v>
      </c>
      <c r="DV134" t="inlineStr">
        <is>
          <t>flat</t>
        </is>
      </c>
      <c r="DW134" t="n">
        <v>103.4</v>
      </c>
      <c r="DX134" t="n">
        <v>110.13</v>
      </c>
      <c r="DY134" t="n">
        <v>19.95</v>
      </c>
      <c r="DZ134" t="n">
        <v>36</v>
      </c>
      <c r="EA134" t="n">
        <v>120</v>
      </c>
      <c r="EB134" t="n">
        <v>103</v>
      </c>
      <c r="EC134" t="n">
        <v>49.5</v>
      </c>
      <c r="ED134" t="n">
        <v>34</v>
      </c>
      <c r="EE134" t="n">
        <v>247</v>
      </c>
      <c r="EF134" t="n">
        <v>2416</v>
      </c>
      <c r="EG134" t="n">
        <v>1208</v>
      </c>
      <c r="EI134" t="n">
        <v>16577.1</v>
      </c>
      <c r="EK134" t="n">
        <v>16577.1</v>
      </c>
      <c r="EL134" t="n">
        <v>25.2</v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n">
        <v>4.5</v>
      </c>
      <c r="F135" t="b">
        <v>1</v>
      </c>
      <c r="G135" t="b">
        <v>1</v>
      </c>
      <c r="H135" t="n">
        <v>27.2</v>
      </c>
      <c r="I135" t="inlineStr">
        <is>
          <t>a</t>
        </is>
      </c>
      <c r="L135" t="inlineStr">
        <is>
          <t>p224967</t>
        </is>
      </c>
      <c r="M135" t="n">
        <v>233</v>
      </c>
      <c r="Q135" t="n">
        <v>2959</v>
      </c>
      <c r="R135" t="n">
        <v>33</v>
      </c>
      <c r="S135" t="n">
        <v>33</v>
      </c>
      <c r="T135" t="n">
        <v>32.878</v>
      </c>
      <c r="U135" t="n">
        <v>89.7</v>
      </c>
      <c r="V135" t="n">
        <v>95</v>
      </c>
      <c r="W135" t="n">
        <v>2.889</v>
      </c>
      <c r="X135" t="n">
        <v>0</v>
      </c>
      <c r="Y135" t="n">
        <v>1</v>
      </c>
      <c r="Z135" t="n">
        <v>1</v>
      </c>
      <c r="AA135" t="n">
        <v>9</v>
      </c>
      <c r="AB135" t="n">
        <v>47</v>
      </c>
      <c r="AC135" t="n">
        <v>2</v>
      </c>
      <c r="AD135" t="n">
        <v>4</v>
      </c>
      <c r="AE135" t="n">
        <v>2</v>
      </c>
      <c r="AF135" t="n">
        <v>350</v>
      </c>
      <c r="AG135" t="n">
        <v>317</v>
      </c>
      <c r="AH135" t="n">
        <v>-33</v>
      </c>
      <c r="AI135" t="n">
        <v>97</v>
      </c>
      <c r="AJ135" t="n">
        <v>0.021</v>
      </c>
      <c r="AK135" t="n">
        <v>0.022</v>
      </c>
      <c r="AL135" t="n">
        <v>231</v>
      </c>
      <c r="AM135" t="n">
        <v>7.026</v>
      </c>
      <c r="AN135" t="n">
        <v>7</v>
      </c>
      <c r="AO135" t="n">
        <v>14</v>
      </c>
      <c r="AP135" t="n">
        <v>0.212</v>
      </c>
      <c r="AQ135" t="n">
        <v>0.212</v>
      </c>
      <c r="AR135" t="n">
        <v>0.061</v>
      </c>
      <c r="AS135" t="n">
        <v>0.868</v>
      </c>
      <c r="AT135" t="n">
        <v>1</v>
      </c>
      <c r="AU135" t="n">
        <v>20</v>
      </c>
      <c r="AV135" t="n">
        <v>0</v>
      </c>
      <c r="AW135" t="n">
        <v>2.49</v>
      </c>
      <c r="AX135" t="n">
        <v>9</v>
      </c>
      <c r="AY135" t="n">
        <v>0.28</v>
      </c>
      <c r="AZ135" t="n">
        <v>0.277</v>
      </c>
      <c r="BA135" t="n">
        <v>0.279</v>
      </c>
      <c r="BB135" t="n">
        <v>0.277</v>
      </c>
      <c r="BC135" t="n">
        <v>0.008999999999999999</v>
      </c>
      <c r="BD135" t="n">
        <v>0.008</v>
      </c>
      <c r="BE135" t="n">
        <v>0.008</v>
      </c>
      <c r="BF135" t="n">
        <v>0.2</v>
      </c>
      <c r="BG135" t="n">
        <v>0.006</v>
      </c>
      <c r="BH135" t="n">
        <v>0.945</v>
      </c>
      <c r="BI135" t="n">
        <v>2.79</v>
      </c>
      <c r="BJ135" t="n">
        <v>0.265</v>
      </c>
      <c r="BK135" t="n">
        <v>0.008</v>
      </c>
      <c r="BL135" t="n">
        <v>-0.279</v>
      </c>
      <c r="BM135" t="n">
        <v>-0.08</v>
      </c>
      <c r="BN135" t="n">
        <v>-0.2</v>
      </c>
      <c r="BO135" t="n">
        <v>0.003</v>
      </c>
      <c r="BP135" t="n">
        <v>9</v>
      </c>
      <c r="BQ135" t="n">
        <v>2</v>
      </c>
      <c r="BS135" t="n">
        <v>23</v>
      </c>
      <c r="BT135" t="n">
        <v>0.7</v>
      </c>
      <c r="BW135" t="n">
        <v>2.46</v>
      </c>
      <c r="BX135" t="n">
        <v>1.142</v>
      </c>
      <c r="BY135" t="n">
        <v>1.801</v>
      </c>
      <c r="BZ135" t="n">
        <v>0.055</v>
      </c>
      <c r="CA135" t="n">
        <v>2.08</v>
      </c>
      <c r="CB135" t="n">
        <v>0.063</v>
      </c>
      <c r="CC135" t="n">
        <v>22</v>
      </c>
      <c r="CD135" t="n">
        <v>1</v>
      </c>
      <c r="CE135" t="n">
        <v>22</v>
      </c>
      <c r="CF135" t="n">
        <v>20</v>
      </c>
      <c r="CG135" t="n">
        <v>1</v>
      </c>
      <c r="CH135" t="n">
        <v>0</v>
      </c>
      <c r="CI135" t="n">
        <v>8.095000000000001</v>
      </c>
      <c r="CJ135" t="n">
        <v>7.046</v>
      </c>
      <c r="CK135" t="n">
        <v>183</v>
      </c>
      <c r="CL135" t="n">
        <v>107</v>
      </c>
      <c r="CM135" t="n">
        <v>48</v>
      </c>
      <c r="CN135" t="n">
        <v>28</v>
      </c>
      <c r="CO135" t="n">
        <v>30</v>
      </c>
      <c r="CP135" t="n">
        <v>145</v>
      </c>
      <c r="CQ135" t="n">
        <v>9</v>
      </c>
      <c r="CR135" t="n">
        <v>139</v>
      </c>
      <c r="CS135" t="n">
        <v>50</v>
      </c>
      <c r="CT135" t="n">
        <v>0.3</v>
      </c>
      <c r="CU135" t="n">
        <v>1</v>
      </c>
      <c r="CW135" t="n">
        <v>48.41</v>
      </c>
      <c r="CX135" t="n">
        <v>1.472</v>
      </c>
      <c r="CY135" t="n">
        <v>0</v>
      </c>
      <c r="DB135" t="n">
        <v>0</v>
      </c>
      <c r="DE135" t="n">
        <v>6.76</v>
      </c>
      <c r="DF135" t="n">
        <v>6</v>
      </c>
      <c r="DG135" t="n">
        <v>0</v>
      </c>
      <c r="DH135" t="n">
        <v>29</v>
      </c>
      <c r="DI135" t="n">
        <v>28</v>
      </c>
      <c r="DL135" t="n">
        <v>10</v>
      </c>
      <c r="DM135" t="n">
        <v>11</v>
      </c>
      <c r="DO135" t="n">
        <v>1.3</v>
      </c>
      <c r="DP135" t="n">
        <v>113.14</v>
      </c>
      <c r="DQ135" t="n">
        <v>56.57</v>
      </c>
      <c r="DR135" t="n">
        <v>113.14</v>
      </c>
      <c r="DS135" t="n">
        <v>0</v>
      </c>
      <c r="DT135" t="n">
        <v>3004</v>
      </c>
      <c r="DU135" t="n">
        <v>79.05</v>
      </c>
      <c r="DV135" t="inlineStr">
        <is>
          <t>flat</t>
        </is>
      </c>
      <c r="DW135" t="n">
        <v>95.73</v>
      </c>
      <c r="DX135" t="n">
        <v>101.67</v>
      </c>
      <c r="DY135" t="n">
        <v>12.83</v>
      </c>
      <c r="DZ135" t="n">
        <v>73.45</v>
      </c>
      <c r="EA135" t="n">
        <v>116.8</v>
      </c>
      <c r="EB135" t="n">
        <v>21</v>
      </c>
      <c r="EC135" t="n">
        <v>10.1</v>
      </c>
      <c r="ED135" t="n">
        <v>4.5</v>
      </c>
      <c r="EE135" t="n">
        <v>405</v>
      </c>
      <c r="EF135" t="n">
        <v>328.8</v>
      </c>
      <c r="EG135" t="n">
        <v>128.7</v>
      </c>
      <c r="EH135" t="n">
        <v>134.5</v>
      </c>
      <c r="EI135" t="n">
        <v>10616</v>
      </c>
      <c r="EJ135" t="n">
        <v>1643.1</v>
      </c>
      <c r="EK135" t="n">
        <v>1422.8</v>
      </c>
      <c r="EL135" t="n">
        <v>31.1</v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n">
        <v>6</v>
      </c>
      <c r="F136" t="b">
        <v>1</v>
      </c>
      <c r="G136" t="b">
        <v>1</v>
      </c>
      <c r="H136" t="n">
        <v>21.8</v>
      </c>
      <c r="I136" t="inlineStr">
        <is>
          <t>a</t>
        </is>
      </c>
      <c r="L136" t="inlineStr">
        <is>
          <t>p596777</t>
        </is>
      </c>
      <c r="M136" t="n">
        <v>415</v>
      </c>
      <c r="Q136" t="n">
        <v>1440</v>
      </c>
      <c r="R136" t="n">
        <v>26</v>
      </c>
      <c r="S136" t="n">
        <v>15</v>
      </c>
      <c r="T136" t="n">
        <v>16</v>
      </c>
      <c r="U136" t="n">
        <v>55.4</v>
      </c>
      <c r="V136" t="n">
        <v>95</v>
      </c>
      <c r="W136" t="n">
        <v>5.938</v>
      </c>
      <c r="X136" t="n">
        <v>4</v>
      </c>
      <c r="Y136" t="n">
        <v>4</v>
      </c>
      <c r="Z136" t="n">
        <v>4</v>
      </c>
      <c r="AA136" t="n">
        <v>4</v>
      </c>
      <c r="AB136" t="n">
        <v>20</v>
      </c>
      <c r="AC136" t="n">
        <v>11</v>
      </c>
      <c r="AD136" t="n">
        <v>11</v>
      </c>
      <c r="AE136" t="n">
        <v>0</v>
      </c>
      <c r="AF136" t="n">
        <v>321</v>
      </c>
      <c r="AG136" t="n">
        <v>309</v>
      </c>
      <c r="AH136" t="n">
        <v>-12</v>
      </c>
      <c r="AI136" t="n">
        <v>95</v>
      </c>
      <c r="AJ136" t="n">
        <v>0.116</v>
      </c>
      <c r="AK136" t="n">
        <v>0.131</v>
      </c>
      <c r="AL136" t="n">
        <v>98</v>
      </c>
      <c r="AM136" t="n">
        <v>6.125</v>
      </c>
      <c r="AN136" t="n">
        <v>1</v>
      </c>
      <c r="AO136" t="n">
        <v>2</v>
      </c>
      <c r="AP136" t="n">
        <v>0.067</v>
      </c>
      <c r="AQ136" t="n">
        <v>0.067</v>
      </c>
      <c r="AR136" t="n">
        <v>0</v>
      </c>
      <c r="AS136" t="n">
        <v>0.395</v>
      </c>
      <c r="AT136" t="n">
        <v>0.538</v>
      </c>
      <c r="AU136" t="n">
        <v>18</v>
      </c>
      <c r="AV136" t="n">
        <v>3</v>
      </c>
      <c r="AW136" t="n">
        <v>4.61</v>
      </c>
      <c r="AX136" t="n">
        <v>18</v>
      </c>
      <c r="AY136" t="n">
        <v>2.39</v>
      </c>
      <c r="AZ136" t="n">
        <v>2.987</v>
      </c>
      <c r="BA136" t="n">
        <v>2.689</v>
      </c>
      <c r="BB136" t="n">
        <v>2.987</v>
      </c>
      <c r="BC136" t="n">
        <v>0.149</v>
      </c>
      <c r="BD136" t="n">
        <v>0.187</v>
      </c>
      <c r="BE136" t="n">
        <v>0.168</v>
      </c>
      <c r="BF136" t="n">
        <v>2.6</v>
      </c>
      <c r="BG136" t="n">
        <v>0.162</v>
      </c>
      <c r="BH136" t="n">
        <v>0.989</v>
      </c>
      <c r="BI136" t="n">
        <v>2.82</v>
      </c>
      <c r="BJ136" t="n">
        <v>2.363</v>
      </c>
      <c r="BK136" t="n">
        <v>0.148</v>
      </c>
      <c r="BL136" t="n">
        <v>1.311</v>
      </c>
      <c r="BM136" t="n">
        <v>0.21</v>
      </c>
      <c r="BN136" t="n">
        <v>1.4</v>
      </c>
      <c r="BO136" t="n">
        <v>-0.597</v>
      </c>
      <c r="BP136" t="n">
        <v>26</v>
      </c>
      <c r="BQ136" t="n">
        <v>12</v>
      </c>
      <c r="BR136" t="n">
        <v>3</v>
      </c>
      <c r="BS136" t="n">
        <v>70</v>
      </c>
      <c r="BT136" t="n">
        <v>4.375</v>
      </c>
      <c r="BV136" t="n">
        <v>1</v>
      </c>
      <c r="BW136" t="n">
        <v>1.84</v>
      </c>
      <c r="BX136" t="n">
        <v>3.111</v>
      </c>
      <c r="BY136" t="n">
        <v>2.476</v>
      </c>
      <c r="BZ136" t="n">
        <v>0.155</v>
      </c>
      <c r="CA136" t="n">
        <v>5.164</v>
      </c>
      <c r="CB136" t="n">
        <v>0.323</v>
      </c>
      <c r="CC136" t="n">
        <v>27</v>
      </c>
      <c r="CD136" t="n">
        <v>6</v>
      </c>
      <c r="CE136" t="n">
        <v>27</v>
      </c>
      <c r="CF136" t="n">
        <v>15</v>
      </c>
      <c r="CG136" t="n">
        <v>1</v>
      </c>
      <c r="CI136" t="n">
        <v>6.977</v>
      </c>
      <c r="CJ136" t="n">
        <v>1.996</v>
      </c>
      <c r="CK136" t="n">
        <v>50</v>
      </c>
      <c r="CL136" t="n">
        <v>77</v>
      </c>
      <c r="CM136" t="n">
        <v>48</v>
      </c>
      <c r="CN136" t="n">
        <v>31</v>
      </c>
      <c r="CO136" t="n">
        <v>15</v>
      </c>
      <c r="CP136" t="n">
        <v>32</v>
      </c>
      <c r="CQ136" t="n">
        <v>3</v>
      </c>
      <c r="CR136" t="n">
        <v>149</v>
      </c>
      <c r="CS136" t="n">
        <v>44</v>
      </c>
      <c r="CT136" t="n">
        <v>0.2</v>
      </c>
      <c r="CW136" t="n">
        <v>19.61</v>
      </c>
      <c r="CX136" t="n">
        <v>1.226</v>
      </c>
      <c r="CY136" t="n">
        <v>0</v>
      </c>
      <c r="DB136" t="n">
        <v>0</v>
      </c>
      <c r="DE136" t="n">
        <v>7.16</v>
      </c>
      <c r="DF136" t="n">
        <v>5</v>
      </c>
      <c r="DG136" t="n">
        <v>0</v>
      </c>
      <c r="DH136" t="n">
        <v>23</v>
      </c>
      <c r="DI136" t="n">
        <v>47</v>
      </c>
      <c r="DL136" t="n">
        <v>11</v>
      </c>
      <c r="DM136" t="n">
        <v>22</v>
      </c>
      <c r="DN136" t="n">
        <v>7</v>
      </c>
      <c r="DO136" t="n">
        <v>1.5</v>
      </c>
      <c r="DP136" t="n">
        <v>46.32</v>
      </c>
      <c r="DQ136" t="n">
        <v>23.6</v>
      </c>
      <c r="DR136" t="n">
        <v>47.2</v>
      </c>
      <c r="DS136" t="n">
        <v>-0.88</v>
      </c>
      <c r="DT136" t="n">
        <v>812</v>
      </c>
      <c r="DU136" t="n">
        <v>21.36</v>
      </c>
      <c r="DV136" t="inlineStr">
        <is>
          <t>fade (losing his place)</t>
        </is>
      </c>
      <c r="DW136" t="n">
        <v>70.20999999999999</v>
      </c>
      <c r="DX136" t="n">
        <v>82.73</v>
      </c>
      <c r="DY136" t="n">
        <v>24.16</v>
      </c>
      <c r="DZ136" t="n">
        <v>20</v>
      </c>
      <c r="EA136" t="n">
        <v>116.8</v>
      </c>
      <c r="EB136" t="n">
        <v>68</v>
      </c>
      <c r="EC136" t="n">
        <v>32.7</v>
      </c>
      <c r="ED136" t="n">
        <v>2.9</v>
      </c>
      <c r="EE136" t="n">
        <v>82</v>
      </c>
      <c r="EF136" t="n">
        <v>55.4</v>
      </c>
      <c r="EG136" t="n">
        <v>20.6</v>
      </c>
      <c r="EH136" t="n">
        <v>53.3</v>
      </c>
      <c r="EI136" t="n">
        <v>535.6</v>
      </c>
      <c r="EJ136" t="n">
        <v>581.7</v>
      </c>
      <c r="EK136" t="n">
        <v>278.8</v>
      </c>
      <c r="EL136" t="n">
        <v>15.2</v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n">
        <v>4.5</v>
      </c>
      <c r="F137" t="b">
        <v>1</v>
      </c>
      <c r="G137" t="b">
        <v>1</v>
      </c>
      <c r="H137" t="n">
        <v>26.3</v>
      </c>
      <c r="I137" t="inlineStr">
        <is>
          <t>a</t>
        </is>
      </c>
      <c r="L137" t="inlineStr">
        <is>
          <t>p184349</t>
        </is>
      </c>
      <c r="M137" t="n">
        <v>269</v>
      </c>
      <c r="Q137" t="n">
        <v>1816</v>
      </c>
      <c r="R137" t="n">
        <v>27</v>
      </c>
      <c r="S137" t="n">
        <v>20</v>
      </c>
      <c r="T137" t="n">
        <v>20.178</v>
      </c>
      <c r="U137" t="n">
        <v>67.3</v>
      </c>
      <c r="V137" t="n">
        <v>95</v>
      </c>
      <c r="W137" t="n">
        <v>4.708</v>
      </c>
      <c r="X137" t="n">
        <v>3</v>
      </c>
      <c r="Y137" t="n">
        <v>3</v>
      </c>
      <c r="Z137" t="n">
        <v>1</v>
      </c>
      <c r="AA137" t="n">
        <v>6</v>
      </c>
      <c r="AB137" t="n">
        <v>29</v>
      </c>
      <c r="AC137" t="n">
        <v>8</v>
      </c>
      <c r="AD137" t="n">
        <v>8</v>
      </c>
      <c r="AE137" t="n">
        <v>0</v>
      </c>
      <c r="AF137" t="n">
        <v>332</v>
      </c>
      <c r="AG137" t="n">
        <v>313</v>
      </c>
      <c r="AH137" t="n">
        <v>-19</v>
      </c>
      <c r="AI137" t="n">
        <v>95</v>
      </c>
      <c r="AJ137" t="n">
        <v>0.08400000000000001</v>
      </c>
      <c r="AK137" t="n">
        <v>0.092</v>
      </c>
      <c r="AL137" t="n">
        <v>218</v>
      </c>
      <c r="AM137" t="n">
        <v>10.804</v>
      </c>
      <c r="AN137" t="n">
        <v>5</v>
      </c>
      <c r="AO137" t="n">
        <v>10</v>
      </c>
      <c r="AP137" t="n">
        <v>0.25</v>
      </c>
      <c r="AQ137" t="n">
        <v>0.6</v>
      </c>
      <c r="AR137" t="n">
        <v>0.25</v>
      </c>
      <c r="AS137" t="n">
        <v>0.526</v>
      </c>
      <c r="AT137" t="n">
        <v>0.741</v>
      </c>
      <c r="AU137" t="n">
        <v>13</v>
      </c>
      <c r="AV137" t="n">
        <v>2</v>
      </c>
      <c r="AW137" t="n">
        <v>3.08</v>
      </c>
      <c r="AX137" t="n">
        <v>14</v>
      </c>
      <c r="AY137" t="n">
        <v>1.6</v>
      </c>
      <c r="AZ137" t="n">
        <v>2.048</v>
      </c>
      <c r="BA137" t="n">
        <v>1.824</v>
      </c>
      <c r="BB137" t="n">
        <v>2.048</v>
      </c>
      <c r="BC137" t="n">
        <v>0.079</v>
      </c>
      <c r="BD137" t="n">
        <v>0.102</v>
      </c>
      <c r="BE137" t="n">
        <v>0.09</v>
      </c>
      <c r="BF137" t="n">
        <v>1.4</v>
      </c>
      <c r="BG137" t="n">
        <v>0.06900000000000001</v>
      </c>
      <c r="BH137" t="n">
        <v>1.126</v>
      </c>
      <c r="BI137" t="n">
        <v>4.88</v>
      </c>
      <c r="BJ137" t="n">
        <v>1.801</v>
      </c>
      <c r="BK137" t="n">
        <v>0.089</v>
      </c>
      <c r="BL137" t="n">
        <v>1.176</v>
      </c>
      <c r="BM137" t="n">
        <v>-0.2</v>
      </c>
      <c r="BN137" t="n">
        <v>1.6</v>
      </c>
      <c r="BO137" t="n">
        <v>-0.448</v>
      </c>
      <c r="BP137" t="n">
        <v>16</v>
      </c>
      <c r="BQ137" t="n">
        <v>4</v>
      </c>
      <c r="BR137" t="n">
        <v>1</v>
      </c>
      <c r="BS137" t="n">
        <v>69</v>
      </c>
      <c r="BT137" t="n">
        <v>3.42</v>
      </c>
      <c r="BW137" t="n">
        <v>1.8</v>
      </c>
      <c r="BX137" t="n">
        <v>2.228</v>
      </c>
      <c r="BY137" t="n">
        <v>2.014</v>
      </c>
      <c r="BZ137" t="n">
        <v>0.1</v>
      </c>
      <c r="CA137" t="n">
        <v>3.838</v>
      </c>
      <c r="CB137" t="n">
        <v>0.19</v>
      </c>
      <c r="CC137" t="n">
        <v>14</v>
      </c>
      <c r="CD137" t="n">
        <v>3</v>
      </c>
      <c r="CE137" t="n">
        <v>14</v>
      </c>
      <c r="CF137" t="n">
        <v>6</v>
      </c>
      <c r="CG137" t="n">
        <v>2</v>
      </c>
      <c r="CH137" t="n">
        <v>1</v>
      </c>
      <c r="CI137" t="n">
        <v>8.259</v>
      </c>
      <c r="CJ137" t="n">
        <v>5.088</v>
      </c>
      <c r="CK137" t="n">
        <v>96</v>
      </c>
      <c r="CL137" t="n">
        <v>74</v>
      </c>
      <c r="CM137" t="n">
        <v>48</v>
      </c>
      <c r="CN137" t="n">
        <v>29</v>
      </c>
      <c r="CO137" t="n">
        <v>25</v>
      </c>
      <c r="CP137" t="n">
        <v>64</v>
      </c>
      <c r="CQ137" t="n">
        <v>8</v>
      </c>
      <c r="CR137" t="n">
        <v>79</v>
      </c>
      <c r="CS137" t="n">
        <v>19</v>
      </c>
      <c r="CT137" t="n">
        <v>0.1</v>
      </c>
      <c r="CV137" t="n">
        <v>1</v>
      </c>
      <c r="CW137" t="n">
        <v>26.33</v>
      </c>
      <c r="CX137" t="n">
        <v>1.305</v>
      </c>
      <c r="CY137" t="n">
        <v>0</v>
      </c>
      <c r="DB137" t="n">
        <v>0</v>
      </c>
      <c r="DE137" t="n">
        <v>6.69</v>
      </c>
      <c r="DF137" t="n">
        <v>0</v>
      </c>
      <c r="DG137" t="n">
        <v>0</v>
      </c>
      <c r="DH137" t="n">
        <v>33</v>
      </c>
      <c r="DI137" t="n">
        <v>3</v>
      </c>
      <c r="DK137" t="n">
        <v>2</v>
      </c>
      <c r="DL137" t="n">
        <v>9</v>
      </c>
      <c r="DM137" t="n">
        <v>18</v>
      </c>
      <c r="DN137" t="n">
        <v>4</v>
      </c>
      <c r="DO137" t="n">
        <v>0.4</v>
      </c>
      <c r="DP137" t="n">
        <v>69.23</v>
      </c>
      <c r="DQ137" t="n">
        <v>34.62</v>
      </c>
      <c r="DR137" t="n">
        <v>69.23999999999999</v>
      </c>
      <c r="DS137" t="n">
        <v>-0.01</v>
      </c>
      <c r="DT137" t="n">
        <v>1525</v>
      </c>
      <c r="DU137" t="n">
        <v>40.12</v>
      </c>
      <c r="DV137" t="inlineStr">
        <is>
          <t>flat</t>
        </is>
      </c>
      <c r="DW137" t="n">
        <v>107.05</v>
      </c>
      <c r="DX137" t="n">
        <v>117</v>
      </c>
      <c r="DY137" t="n">
        <v>11.85</v>
      </c>
      <c r="DZ137" t="n">
        <v>81.14</v>
      </c>
      <c r="EA137" t="n">
        <v>117</v>
      </c>
      <c r="EB137" t="n">
        <v>9</v>
      </c>
      <c r="EC137" t="n">
        <v>4.3</v>
      </c>
      <c r="ED137" t="n">
        <v>18.2</v>
      </c>
      <c r="EE137" t="n">
        <v>406</v>
      </c>
      <c r="EF137" t="n">
        <v>113.5</v>
      </c>
      <c r="EG137" t="n">
        <v>26.3</v>
      </c>
      <c r="EH137" t="n">
        <v>129.7</v>
      </c>
      <c r="EI137" t="n">
        <v>995.5</v>
      </c>
      <c r="EJ137" t="n">
        <v>901.6</v>
      </c>
      <c r="EK137" t="n">
        <v>473.1</v>
      </c>
      <c r="EL137" t="n">
        <v>19.1</v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n">
        <v>5.5</v>
      </c>
      <c r="F138" t="b">
        <v>1</v>
      </c>
      <c r="G138" t="b">
        <v>1</v>
      </c>
      <c r="H138" t="n">
        <v>23.8</v>
      </c>
      <c r="I138" t="inlineStr">
        <is>
          <t>a</t>
        </is>
      </c>
      <c r="L138" t="inlineStr">
        <is>
          <t>p586309</t>
        </is>
      </c>
      <c r="M138" t="n">
        <v>249</v>
      </c>
      <c r="N138" t="n">
        <v>2</v>
      </c>
      <c r="Q138" t="n">
        <v>1898</v>
      </c>
      <c r="R138" t="n">
        <v>38</v>
      </c>
      <c r="S138" t="n">
        <v>21</v>
      </c>
      <c r="T138" t="n">
        <v>21.089</v>
      </c>
      <c r="U138" t="n">
        <v>49.9</v>
      </c>
      <c r="V138" t="n">
        <v>95</v>
      </c>
      <c r="W138" t="n">
        <v>4.505</v>
      </c>
      <c r="X138" t="n">
        <v>8</v>
      </c>
      <c r="Y138" t="n">
        <v>0</v>
      </c>
      <c r="AA138" t="n">
        <v>7</v>
      </c>
      <c r="AB138" t="n">
        <v>34</v>
      </c>
      <c r="AC138" t="n">
        <v>9</v>
      </c>
      <c r="AD138" t="n">
        <v>9</v>
      </c>
      <c r="AE138" t="n">
        <v>0</v>
      </c>
      <c r="AF138" t="n">
        <v>295</v>
      </c>
      <c r="AG138" t="n">
        <v>287</v>
      </c>
      <c r="AH138" t="n">
        <v>-8</v>
      </c>
      <c r="AI138" t="n">
        <v>95</v>
      </c>
      <c r="AJ138" t="n">
        <v>0.095</v>
      </c>
      <c r="AK138" t="n">
        <v>0.105</v>
      </c>
      <c r="AL138" t="n">
        <v>74</v>
      </c>
      <c r="AM138" t="n">
        <v>3.509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0.553</v>
      </c>
      <c r="AT138" t="n">
        <v>0.5</v>
      </c>
      <c r="AU138" t="n">
        <v>31</v>
      </c>
      <c r="AV138" t="n">
        <v>1</v>
      </c>
      <c r="AW138" t="n">
        <v>2.51</v>
      </c>
      <c r="AX138" t="n">
        <v>11</v>
      </c>
      <c r="AY138" t="n">
        <v>8.17</v>
      </c>
      <c r="AZ138" t="n">
        <v>9.148999999999999</v>
      </c>
      <c r="BA138" t="n">
        <v>8.66</v>
      </c>
      <c r="BB138" t="n">
        <v>9.148999999999999</v>
      </c>
      <c r="BC138" t="n">
        <v>0.387</v>
      </c>
      <c r="BD138" t="n">
        <v>0.434</v>
      </c>
      <c r="BE138" t="n">
        <v>0.411</v>
      </c>
      <c r="BF138" t="n">
        <v>5.9</v>
      </c>
      <c r="BG138" t="n">
        <v>0.28</v>
      </c>
      <c r="BH138" t="n">
        <v>0.86</v>
      </c>
      <c r="BI138" t="n">
        <v>8.17</v>
      </c>
      <c r="BJ138" t="n">
        <v>7.023</v>
      </c>
      <c r="BK138" t="n">
        <v>0.333</v>
      </c>
      <c r="BL138" t="n">
        <v>-0.66</v>
      </c>
      <c r="BM138" t="n">
        <v>-2.27</v>
      </c>
      <c r="BN138" t="n">
        <v>2.1</v>
      </c>
      <c r="BO138" t="n">
        <v>-0.979</v>
      </c>
      <c r="BP138" t="n">
        <v>38</v>
      </c>
      <c r="BQ138" t="n">
        <v>14</v>
      </c>
      <c r="BR138" t="n">
        <v>10</v>
      </c>
      <c r="BS138" t="n">
        <v>94</v>
      </c>
      <c r="BT138" t="n">
        <v>4.457</v>
      </c>
      <c r="BV138" t="n">
        <v>1</v>
      </c>
      <c r="BW138" t="n">
        <v>0.44</v>
      </c>
      <c r="BX138" t="n">
        <v>1.004</v>
      </c>
      <c r="BY138" t="n">
        <v>0.722</v>
      </c>
      <c r="BZ138" t="n">
        <v>0.034</v>
      </c>
      <c r="CA138" t="n">
        <v>9.382</v>
      </c>
      <c r="CB138" t="n">
        <v>0.445</v>
      </c>
      <c r="CC138" t="n">
        <v>12</v>
      </c>
      <c r="CD138" t="n">
        <v>2</v>
      </c>
      <c r="CE138" t="n">
        <v>12</v>
      </c>
      <c r="CF138" t="n">
        <v>1</v>
      </c>
      <c r="CI138" t="n">
        <v>10.249</v>
      </c>
      <c r="CJ138" t="n">
        <v>2.152</v>
      </c>
      <c r="CK138" t="n">
        <v>34</v>
      </c>
      <c r="CL138" t="n">
        <v>34</v>
      </c>
      <c r="CM138" t="n">
        <v>6</v>
      </c>
      <c r="CN138" t="n">
        <v>4</v>
      </c>
      <c r="CO138" t="n">
        <v>5</v>
      </c>
      <c r="CP138" t="n">
        <v>25</v>
      </c>
      <c r="CQ138" t="n">
        <v>4</v>
      </c>
      <c r="CR138" t="n">
        <v>153</v>
      </c>
      <c r="CS138" t="n">
        <v>130</v>
      </c>
      <c r="CT138" t="n">
        <v>0.4</v>
      </c>
      <c r="CW138" t="n">
        <v>33.49</v>
      </c>
      <c r="CX138" t="n">
        <v>1.588</v>
      </c>
      <c r="CY138" t="n">
        <v>0</v>
      </c>
      <c r="DB138" t="n">
        <v>0</v>
      </c>
      <c r="DE138" t="n">
        <v>6.44</v>
      </c>
      <c r="DF138" t="n">
        <v>3</v>
      </c>
      <c r="DG138" t="n">
        <v>0</v>
      </c>
      <c r="DH138" t="n">
        <v>47</v>
      </c>
      <c r="DI138" t="n">
        <v>8</v>
      </c>
      <c r="DL138" t="n">
        <v>9</v>
      </c>
      <c r="DM138" t="n">
        <v>23</v>
      </c>
      <c r="DN138" t="n">
        <v>12</v>
      </c>
      <c r="DO138" t="n">
        <v>1.1</v>
      </c>
      <c r="DP138" t="n">
        <v>121.22</v>
      </c>
      <c r="DQ138" t="n">
        <v>60.62</v>
      </c>
      <c r="DR138" t="n">
        <v>121.24</v>
      </c>
      <c r="DS138" t="n">
        <v>-0.02</v>
      </c>
      <c r="DT138" t="n">
        <v>2514</v>
      </c>
      <c r="DU138" t="n">
        <v>66.15000000000001</v>
      </c>
      <c r="DV138" t="inlineStr">
        <is>
          <t>flat</t>
        </is>
      </c>
      <c r="DW138" t="n">
        <v>78.01000000000001</v>
      </c>
      <c r="DX138" t="n">
        <v>89.79000000000001</v>
      </c>
      <c r="DY138" t="n">
        <v>25.35</v>
      </c>
      <c r="DZ138" t="n">
        <v>22.86</v>
      </c>
      <c r="EA138" t="n">
        <v>117.6</v>
      </c>
      <c r="EB138" t="n">
        <v>93</v>
      </c>
      <c r="EC138" t="n">
        <v>44.7</v>
      </c>
      <c r="ED138" t="n">
        <v>4.1</v>
      </c>
      <c r="EE138" t="n">
        <v>138</v>
      </c>
      <c r="EF138" t="n">
        <v>49.9</v>
      </c>
      <c r="EG138" t="n">
        <v>20.2</v>
      </c>
      <c r="EH138" t="n">
        <v>158.2</v>
      </c>
      <c r="EI138" t="n">
        <v>219.2</v>
      </c>
      <c r="EJ138" t="n">
        <v>2628.9</v>
      </c>
      <c r="EK138" t="n">
        <v>202.3</v>
      </c>
      <c r="EL138" t="n">
        <v>20</v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n">
        <v>5</v>
      </c>
      <c r="F139" t="b">
        <v>1</v>
      </c>
      <c r="G139" t="b">
        <v>1</v>
      </c>
      <c r="H139" t="n">
        <v>26.8</v>
      </c>
      <c r="I139" t="inlineStr">
        <is>
          <t>a</t>
        </is>
      </c>
      <c r="L139" t="inlineStr">
        <is>
          <t>p467779</t>
        </is>
      </c>
      <c r="M139" t="n">
        <v>130</v>
      </c>
      <c r="Q139" t="n">
        <v>1901</v>
      </c>
      <c r="R139" t="n">
        <v>26</v>
      </c>
      <c r="S139" t="n">
        <v>23</v>
      </c>
      <c r="T139" t="n">
        <v>21.122</v>
      </c>
      <c r="U139" t="n">
        <v>73.09999999999999</v>
      </c>
      <c r="V139" t="n">
        <v>94</v>
      </c>
      <c r="W139" t="n">
        <v>4.45</v>
      </c>
      <c r="X139" t="n">
        <v>2</v>
      </c>
      <c r="Y139" t="n">
        <v>4</v>
      </c>
      <c r="Z139" t="n">
        <v>3</v>
      </c>
      <c r="AA139" t="n">
        <v>6</v>
      </c>
      <c r="AB139" t="n">
        <v>26</v>
      </c>
      <c r="AC139" t="n">
        <v>6</v>
      </c>
      <c r="AD139" t="n">
        <v>5</v>
      </c>
      <c r="AE139" t="n">
        <v>-1</v>
      </c>
      <c r="AF139" t="n">
        <v>398</v>
      </c>
      <c r="AG139" t="n">
        <v>380</v>
      </c>
      <c r="AH139" t="n">
        <v>-18</v>
      </c>
      <c r="AI139" t="n">
        <v>93</v>
      </c>
      <c r="AJ139" t="n">
        <v>0.064</v>
      </c>
      <c r="AK139" t="n">
        <v>0.068</v>
      </c>
      <c r="AL139" t="n">
        <v>269</v>
      </c>
      <c r="AM139" t="n">
        <v>12.735</v>
      </c>
      <c r="AN139" t="n">
        <v>11</v>
      </c>
      <c r="AO139" t="n">
        <v>22</v>
      </c>
      <c r="AP139" t="n">
        <v>0.478</v>
      </c>
      <c r="AQ139" t="n">
        <v>0.609</v>
      </c>
      <c r="AR139" t="n">
        <v>0.478</v>
      </c>
      <c r="AS139" t="n">
        <v>0.605</v>
      </c>
      <c r="AT139" t="n">
        <v>0.769</v>
      </c>
      <c r="AU139" t="n">
        <v>13</v>
      </c>
      <c r="AV139" t="n">
        <v>2</v>
      </c>
      <c r="AW139" t="n">
        <v>3.53</v>
      </c>
      <c r="AX139" t="n">
        <v>18</v>
      </c>
      <c r="AY139" t="n">
        <v>1.92</v>
      </c>
      <c r="AZ139" t="n">
        <v>1.927</v>
      </c>
      <c r="BA139" t="n">
        <v>1.924</v>
      </c>
      <c r="BB139" t="n">
        <v>1.927</v>
      </c>
      <c r="BC139" t="n">
        <v>0.091</v>
      </c>
      <c r="BD139" t="n">
        <v>0.091</v>
      </c>
      <c r="BE139" t="n">
        <v>0.091</v>
      </c>
      <c r="BF139" t="n">
        <v>1.9</v>
      </c>
      <c r="BG139" t="n">
        <v>0.09</v>
      </c>
      <c r="BH139" t="n">
        <v>1.082</v>
      </c>
      <c r="BI139" t="n">
        <v>2.72</v>
      </c>
      <c r="BJ139" t="n">
        <v>2.078</v>
      </c>
      <c r="BK139" t="n">
        <v>0.098</v>
      </c>
      <c r="BL139" t="n">
        <v>0.076</v>
      </c>
      <c r="BM139" t="n">
        <v>-0.02</v>
      </c>
      <c r="BN139" t="n">
        <v>0.1</v>
      </c>
      <c r="BO139" t="n">
        <v>-0.007</v>
      </c>
      <c r="BP139" t="n">
        <v>18</v>
      </c>
      <c r="BQ139" t="n">
        <v>6</v>
      </c>
      <c r="BR139" t="n">
        <v>2</v>
      </c>
      <c r="BS139" t="n">
        <v>52</v>
      </c>
      <c r="BT139" t="n">
        <v>2.462</v>
      </c>
      <c r="BW139" t="n">
        <v>1.86</v>
      </c>
      <c r="BX139" t="n">
        <v>2.869</v>
      </c>
      <c r="BY139" t="n">
        <v>2.365</v>
      </c>
      <c r="BZ139" t="n">
        <v>0.112</v>
      </c>
      <c r="CA139" t="n">
        <v>4.288</v>
      </c>
      <c r="CB139" t="n">
        <v>0.203</v>
      </c>
      <c r="CC139" t="n">
        <v>19</v>
      </c>
      <c r="CD139" t="n">
        <v>4</v>
      </c>
      <c r="CE139" t="n">
        <v>20</v>
      </c>
      <c r="CF139" t="n">
        <v>3</v>
      </c>
      <c r="CG139" t="n">
        <v>1</v>
      </c>
      <c r="CH139" t="n">
        <v>0</v>
      </c>
      <c r="CI139" t="n">
        <v>10.284</v>
      </c>
      <c r="CJ139" t="n">
        <v>8.268000000000001</v>
      </c>
      <c r="CK139" t="n">
        <v>101</v>
      </c>
      <c r="CL139" t="n">
        <v>102</v>
      </c>
      <c r="CM139" t="n">
        <v>66</v>
      </c>
      <c r="CN139" t="n">
        <v>42</v>
      </c>
      <c r="CO139" t="n">
        <v>25</v>
      </c>
      <c r="CP139" t="n">
        <v>71</v>
      </c>
      <c r="CQ139" t="n">
        <v>7</v>
      </c>
      <c r="CR139" t="n">
        <v>140</v>
      </c>
      <c r="CS139" t="n">
        <v>44</v>
      </c>
      <c r="CT139" t="n">
        <v>0.5</v>
      </c>
      <c r="CV139" t="n">
        <v>1</v>
      </c>
      <c r="CW139" t="n">
        <v>23.95</v>
      </c>
      <c r="CX139" t="n">
        <v>1.134</v>
      </c>
      <c r="CY139" t="n">
        <v>0</v>
      </c>
      <c r="DB139" t="n">
        <v>0</v>
      </c>
      <c r="DE139" t="n">
        <v>7.02</v>
      </c>
      <c r="DF139" t="n">
        <v>8</v>
      </c>
      <c r="DG139" t="n">
        <v>0</v>
      </c>
      <c r="DH139" t="n">
        <v>30</v>
      </c>
      <c r="DI139" t="n">
        <v>22</v>
      </c>
      <c r="DL139" t="n">
        <v>9</v>
      </c>
      <c r="DM139" t="n">
        <v>22</v>
      </c>
      <c r="DN139" t="n">
        <v>2</v>
      </c>
      <c r="DO139" t="n">
        <v>0.3</v>
      </c>
      <c r="DP139" t="n">
        <v>125.23</v>
      </c>
      <c r="DQ139" t="n">
        <v>62.74</v>
      </c>
      <c r="DR139" t="n">
        <v>125.48</v>
      </c>
      <c r="DS139" t="n">
        <v>-0.25</v>
      </c>
      <c r="DT139" t="n">
        <v>2787</v>
      </c>
      <c r="DU139" t="n">
        <v>73.34999999999999</v>
      </c>
      <c r="DV139" t="inlineStr">
        <is>
          <t>flat</t>
        </is>
      </c>
      <c r="DW139" t="n">
        <v>99.95999999999999</v>
      </c>
      <c r="DX139" t="n">
        <v>92</v>
      </c>
      <c r="DY139" t="n">
        <v>11.8</v>
      </c>
      <c r="DZ139" t="n">
        <v>58.91</v>
      </c>
      <c r="EA139" t="n">
        <v>118.86</v>
      </c>
      <c r="EB139" t="n">
        <v>30</v>
      </c>
      <c r="EC139" t="n">
        <v>14.4</v>
      </c>
      <c r="ED139" t="n">
        <v>9.1</v>
      </c>
      <c r="EE139" t="n">
        <v>248</v>
      </c>
      <c r="EF139" t="n">
        <v>105.6</v>
      </c>
      <c r="EG139" t="n">
        <v>36.6</v>
      </c>
      <c r="EH139" t="n">
        <v>95</v>
      </c>
      <c r="EI139" t="n">
        <v>988.2</v>
      </c>
      <c r="EJ139" t="n">
        <v>804</v>
      </c>
      <c r="EK139" t="n">
        <v>443.3</v>
      </c>
      <c r="EL139" t="n">
        <v>20.2</v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n">
        <v>4.5</v>
      </c>
      <c r="F140" t="b">
        <v>1</v>
      </c>
      <c r="G140" t="b">
        <v>1</v>
      </c>
      <c r="H140" t="n">
        <v>28.5</v>
      </c>
      <c r="I140" t="inlineStr">
        <is>
          <t>a</t>
        </is>
      </c>
      <c r="L140" t="inlineStr">
        <is>
          <t>p220627</t>
        </is>
      </c>
      <c r="M140" t="n">
        <v>332</v>
      </c>
      <c r="Q140" t="n">
        <v>1893</v>
      </c>
      <c r="R140" t="n">
        <v>29</v>
      </c>
      <c r="S140" t="n">
        <v>21</v>
      </c>
      <c r="T140" t="n">
        <v>21.033</v>
      </c>
      <c r="U140" t="n">
        <v>65.3</v>
      </c>
      <c r="V140" t="n">
        <v>94</v>
      </c>
      <c r="W140" t="n">
        <v>4.469</v>
      </c>
      <c r="X140" t="n">
        <v>2</v>
      </c>
      <c r="Y140" t="n">
        <v>1</v>
      </c>
      <c r="Z140" t="n">
        <v>1</v>
      </c>
      <c r="AA140" t="n">
        <v>6</v>
      </c>
      <c r="AB140" t="n">
        <v>26</v>
      </c>
      <c r="AC140" t="n">
        <v>9</v>
      </c>
      <c r="AD140" t="n">
        <v>8</v>
      </c>
      <c r="AE140" t="n">
        <v>-1</v>
      </c>
      <c r="AF140" t="n">
        <v>338</v>
      </c>
      <c r="AG140" t="n">
        <v>315</v>
      </c>
      <c r="AH140" t="n">
        <v>-23</v>
      </c>
      <c r="AI140" t="n">
        <v>93</v>
      </c>
      <c r="AJ140" t="n">
        <v>0.096</v>
      </c>
      <c r="AK140" t="n">
        <v>0.106</v>
      </c>
      <c r="AL140" t="n">
        <v>183</v>
      </c>
      <c r="AM140" t="n">
        <v>8.699999999999999</v>
      </c>
      <c r="AN140" t="n">
        <v>4</v>
      </c>
      <c r="AO140" t="n">
        <v>8</v>
      </c>
      <c r="AP140" t="n">
        <v>0.19</v>
      </c>
      <c r="AQ140" t="n">
        <v>0.19</v>
      </c>
      <c r="AR140" t="n">
        <v>0.095</v>
      </c>
      <c r="AS140" t="n">
        <v>0.553</v>
      </c>
      <c r="AT140" t="n">
        <v>0.6899999999999999</v>
      </c>
      <c r="AU140" t="n">
        <v>18</v>
      </c>
      <c r="AV140" t="n">
        <v>1</v>
      </c>
      <c r="AW140" t="n">
        <v>3.52</v>
      </c>
      <c r="AX140" t="n">
        <v>16</v>
      </c>
      <c r="AY140" t="n">
        <v>1.83</v>
      </c>
      <c r="AZ140" t="n">
        <v>2.563</v>
      </c>
      <c r="BA140" t="n">
        <v>2.196</v>
      </c>
      <c r="BB140" t="n">
        <v>2.563</v>
      </c>
      <c r="BC140" t="n">
        <v>0.08699999999999999</v>
      </c>
      <c r="BD140" t="n">
        <v>0.122</v>
      </c>
      <c r="BE140" t="n">
        <v>0.104</v>
      </c>
      <c r="BF140" t="n">
        <v>1</v>
      </c>
      <c r="BG140" t="n">
        <v>0.048</v>
      </c>
      <c r="BH140" t="n">
        <v>0.836</v>
      </c>
      <c r="BI140" t="n">
        <v>3.61</v>
      </c>
      <c r="BJ140" t="n">
        <v>1.529</v>
      </c>
      <c r="BK140" t="n">
        <v>0.073</v>
      </c>
      <c r="BL140" t="n">
        <v>-0.196</v>
      </c>
      <c r="BM140" t="n">
        <v>-0.83</v>
      </c>
      <c r="BN140" t="n">
        <v>1</v>
      </c>
      <c r="BO140" t="n">
        <v>-0.733</v>
      </c>
      <c r="BP140" t="n">
        <v>24</v>
      </c>
      <c r="BQ140" t="n">
        <v>6</v>
      </c>
      <c r="BR140" t="n">
        <v>2</v>
      </c>
      <c r="BS140" t="n">
        <v>40</v>
      </c>
      <c r="BT140" t="n">
        <v>1.902</v>
      </c>
      <c r="BW140" t="n">
        <v>1.16</v>
      </c>
      <c r="BX140" t="n">
        <v>2.573</v>
      </c>
      <c r="BY140" t="n">
        <v>1.866</v>
      </c>
      <c r="BZ140" t="n">
        <v>0.089</v>
      </c>
      <c r="CA140" t="n">
        <v>4.063</v>
      </c>
      <c r="CB140" t="n">
        <v>0.193</v>
      </c>
      <c r="CC140" t="n">
        <v>13</v>
      </c>
      <c r="CD140" t="n">
        <v>5</v>
      </c>
      <c r="CE140" t="n">
        <v>12</v>
      </c>
      <c r="CF140" t="n">
        <v>6</v>
      </c>
      <c r="CH140" t="n">
        <v>9</v>
      </c>
      <c r="CI140" t="n">
        <v>5.142</v>
      </c>
      <c r="CJ140" t="n">
        <v>2.756</v>
      </c>
      <c r="CK140" t="n">
        <v>128</v>
      </c>
      <c r="CL140" t="n">
        <v>70</v>
      </c>
      <c r="CM140" t="n">
        <v>55</v>
      </c>
      <c r="CN140" t="n">
        <v>37</v>
      </c>
      <c r="CO140" t="n">
        <v>28</v>
      </c>
      <c r="CP140" t="n">
        <v>90</v>
      </c>
      <c r="CQ140" t="n">
        <v>11</v>
      </c>
      <c r="CR140" t="n">
        <v>127</v>
      </c>
      <c r="CS140" t="n">
        <v>40</v>
      </c>
      <c r="CT140" t="n">
        <v>0.1</v>
      </c>
      <c r="CV140" t="n">
        <v>1</v>
      </c>
      <c r="CW140" t="n">
        <v>33.01</v>
      </c>
      <c r="CX140" t="n">
        <v>1.569</v>
      </c>
      <c r="CY140" t="n">
        <v>0</v>
      </c>
      <c r="DB140" t="n">
        <v>0</v>
      </c>
      <c r="DE140" t="n">
        <v>7.05</v>
      </c>
      <c r="DF140" t="n">
        <v>4</v>
      </c>
      <c r="DG140" t="n">
        <v>0</v>
      </c>
      <c r="DH140" t="n">
        <v>13</v>
      </c>
      <c r="DI140" t="n">
        <v>30</v>
      </c>
      <c r="DL140" t="n">
        <v>3</v>
      </c>
      <c r="DM140" t="n">
        <v>10</v>
      </c>
      <c r="DN140" t="n">
        <v>2</v>
      </c>
      <c r="DO140" t="n">
        <v>0.5</v>
      </c>
      <c r="DP140" t="n">
        <v>99.73999999999999</v>
      </c>
      <c r="DQ140" t="n">
        <v>50.56</v>
      </c>
      <c r="DR140" t="n">
        <v>101.12</v>
      </c>
      <c r="DS140" t="n">
        <v>-1.38</v>
      </c>
      <c r="DT140" t="n">
        <v>2280</v>
      </c>
      <c r="DU140" t="n">
        <v>60</v>
      </c>
      <c r="DV140" t="inlineStr">
        <is>
          <t>flat</t>
        </is>
      </c>
      <c r="DW140" t="n">
        <v>102.76</v>
      </c>
      <c r="DY140" t="n">
        <v>12.23</v>
      </c>
      <c r="DZ140" t="n">
        <v>86.15000000000001</v>
      </c>
      <c r="EA140" t="n">
        <v>119.5</v>
      </c>
      <c r="EB140" t="n">
        <v>5</v>
      </c>
      <c r="EC140" t="n">
        <v>2.4</v>
      </c>
      <c r="ED140" t="n">
        <v>0</v>
      </c>
      <c r="EE140" t="n">
        <v>407</v>
      </c>
      <c r="EF140" t="n">
        <v>78.90000000000001</v>
      </c>
      <c r="EG140" t="n">
        <v>47.3</v>
      </c>
      <c r="EH140" t="n">
        <v>157.8</v>
      </c>
      <c r="EI140" t="n">
        <v>861.9</v>
      </c>
      <c r="EJ140" t="n">
        <v>1014.3</v>
      </c>
      <c r="EK140" t="n">
        <v>465.9</v>
      </c>
      <c r="EL140" t="n">
        <v>20.1</v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n">
        <v>5</v>
      </c>
      <c r="F141" t="b">
        <v>1</v>
      </c>
      <c r="G141" t="b">
        <v>1</v>
      </c>
      <c r="H141" t="n">
        <v>34.3</v>
      </c>
      <c r="I141" t="inlineStr">
        <is>
          <t>a</t>
        </is>
      </c>
      <c r="L141" t="inlineStr">
        <is>
          <t>p78916</t>
        </is>
      </c>
      <c r="M141" t="n">
        <v>448</v>
      </c>
      <c r="Q141" t="n">
        <v>2195</v>
      </c>
      <c r="R141" t="n">
        <v>29</v>
      </c>
      <c r="S141" t="n">
        <v>25</v>
      </c>
      <c r="T141" t="n">
        <v>24.389</v>
      </c>
      <c r="U141" t="n">
        <v>75.7</v>
      </c>
      <c r="V141" t="n">
        <v>93</v>
      </c>
      <c r="W141" t="n">
        <v>3.813</v>
      </c>
      <c r="X141" t="n">
        <v>1</v>
      </c>
      <c r="Y141" t="n">
        <v>3</v>
      </c>
      <c r="Z141" t="n">
        <v>2</v>
      </c>
      <c r="AA141" t="n">
        <v>6</v>
      </c>
      <c r="AB141" t="n">
        <v>36</v>
      </c>
      <c r="AC141" t="n">
        <v>5</v>
      </c>
      <c r="AD141" t="n">
        <v>3</v>
      </c>
      <c r="AE141" t="n">
        <v>-2</v>
      </c>
      <c r="AF141" t="n">
        <v>286</v>
      </c>
      <c r="AG141" t="n">
        <v>256</v>
      </c>
      <c r="AH141" t="n">
        <v>-30</v>
      </c>
      <c r="AI141" t="n">
        <v>91</v>
      </c>
      <c r="AJ141" t="n">
        <v>0.054</v>
      </c>
      <c r="AK141" t="n">
        <v>0.057</v>
      </c>
      <c r="AL141" t="n">
        <v>225</v>
      </c>
      <c r="AM141" t="n">
        <v>9.226000000000001</v>
      </c>
      <c r="AN141" t="n">
        <v>10</v>
      </c>
      <c r="AO141" t="n">
        <v>20</v>
      </c>
      <c r="AP141" t="n">
        <v>0.4</v>
      </c>
      <c r="AQ141" t="n">
        <v>0.4</v>
      </c>
      <c r="AR141" t="n">
        <v>0.32</v>
      </c>
      <c r="AS141" t="n">
        <v>0.658</v>
      </c>
      <c r="AT141" t="n">
        <v>0.828</v>
      </c>
      <c r="AU141" t="n">
        <v>18</v>
      </c>
      <c r="AV141" t="n">
        <v>1</v>
      </c>
      <c r="AW141" t="n">
        <v>3.02</v>
      </c>
      <c r="AX141" t="n">
        <v>11</v>
      </c>
      <c r="AY141" t="n">
        <v>1.08</v>
      </c>
      <c r="AZ141" t="n">
        <v>0.921</v>
      </c>
      <c r="BA141" t="n">
        <v>1.001</v>
      </c>
      <c r="BB141" t="n">
        <v>0.921</v>
      </c>
      <c r="BC141" t="n">
        <v>0.044</v>
      </c>
      <c r="BD141" t="n">
        <v>0.038</v>
      </c>
      <c r="BE141" t="n">
        <v>0.041</v>
      </c>
      <c r="BF141" t="n">
        <v>1.1</v>
      </c>
      <c r="BG141" t="n">
        <v>0.045</v>
      </c>
      <c r="BH141" t="n">
        <v>0.896</v>
      </c>
      <c r="BI141" t="n">
        <v>8.52</v>
      </c>
      <c r="BJ141" t="n">
        <v>0.968</v>
      </c>
      <c r="BK141" t="n">
        <v>0.04</v>
      </c>
      <c r="BL141" t="n">
        <v>-0.001</v>
      </c>
      <c r="BM141" t="n">
        <v>0.02</v>
      </c>
      <c r="BN141" t="n">
        <v>-0.1</v>
      </c>
      <c r="BO141" t="n">
        <v>0.159</v>
      </c>
      <c r="BP141" t="n">
        <v>10</v>
      </c>
      <c r="BQ141" t="n">
        <v>3</v>
      </c>
      <c r="BR141" t="n">
        <v>1</v>
      </c>
      <c r="BS141" t="n">
        <v>45</v>
      </c>
      <c r="BT141" t="n">
        <v>1.845</v>
      </c>
      <c r="BV141" t="n">
        <v>1</v>
      </c>
      <c r="BW141" t="n">
        <v>0.36</v>
      </c>
      <c r="BX141" t="n">
        <v>0.409</v>
      </c>
      <c r="BY141" t="n">
        <v>0.384</v>
      </c>
      <c r="BZ141" t="n">
        <v>0.016</v>
      </c>
      <c r="CA141" t="n">
        <v>1.385</v>
      </c>
      <c r="CB141" t="n">
        <v>0.057</v>
      </c>
      <c r="CC141" t="n">
        <v>7</v>
      </c>
      <c r="CE141" t="n">
        <v>7</v>
      </c>
      <c r="CF141" t="n">
        <v>1</v>
      </c>
      <c r="CI141" t="n">
        <v>5.236</v>
      </c>
      <c r="CJ141" t="n">
        <v>4.939</v>
      </c>
      <c r="CK141" t="n">
        <v>185</v>
      </c>
      <c r="CL141" t="n">
        <v>76</v>
      </c>
      <c r="CM141" t="n">
        <v>40</v>
      </c>
      <c r="CN141" t="n">
        <v>26</v>
      </c>
      <c r="CO141" t="n">
        <v>21</v>
      </c>
      <c r="CP141" t="n">
        <v>152</v>
      </c>
      <c r="CQ141" t="n">
        <v>12</v>
      </c>
      <c r="CR141" t="n">
        <v>151</v>
      </c>
      <c r="CS141" t="n">
        <v>98</v>
      </c>
      <c r="CT141" t="n">
        <v>0.1</v>
      </c>
      <c r="CV141" t="n">
        <v>2</v>
      </c>
      <c r="CW141" t="n">
        <v>30.15</v>
      </c>
      <c r="CX141" t="n">
        <v>1.236</v>
      </c>
      <c r="CY141" t="n">
        <v>0</v>
      </c>
      <c r="DB141" t="n">
        <v>0</v>
      </c>
      <c r="DE141" t="n">
        <v>6.71</v>
      </c>
      <c r="DF141" t="n">
        <v>9</v>
      </c>
      <c r="DG141" t="n">
        <v>1</v>
      </c>
      <c r="DH141" t="n">
        <v>36</v>
      </c>
      <c r="DI141" t="n">
        <v>13</v>
      </c>
      <c r="DJ141" t="n">
        <v>1</v>
      </c>
      <c r="DK141" t="n">
        <v>1</v>
      </c>
      <c r="DL141" t="n">
        <v>2</v>
      </c>
      <c r="DM141" t="n">
        <v>6</v>
      </c>
      <c r="DN141" t="n">
        <v>3</v>
      </c>
      <c r="DO141" t="n">
        <v>2.6</v>
      </c>
      <c r="DP141" t="n">
        <v>58.97</v>
      </c>
      <c r="DQ141" t="n">
        <v>29.5</v>
      </c>
      <c r="DR141" t="n">
        <v>59</v>
      </c>
      <c r="DS141" t="n">
        <v>-0.03</v>
      </c>
      <c r="DT141" t="n">
        <v>1406</v>
      </c>
      <c r="DU141" t="n">
        <v>37</v>
      </c>
      <c r="DV141" t="inlineStr">
        <is>
          <t>flat</t>
        </is>
      </c>
      <c r="DW141" t="n">
        <v>87.7</v>
      </c>
      <c r="DX141" t="n">
        <v>99.88</v>
      </c>
      <c r="DY141" t="n">
        <v>17.8</v>
      </c>
      <c r="DZ141" t="n">
        <v>48</v>
      </c>
      <c r="EA141" t="n">
        <v>119.2</v>
      </c>
      <c r="EB141" t="n">
        <v>60</v>
      </c>
      <c r="EC141" t="n">
        <v>28.8</v>
      </c>
      <c r="ED141" t="n">
        <v>7.7</v>
      </c>
      <c r="EE141" t="n">
        <v>249</v>
      </c>
      <c r="EF141" t="n">
        <v>219.5</v>
      </c>
      <c r="EG141" t="n">
        <v>48.8</v>
      </c>
      <c r="EH141" t="n">
        <v>313.6</v>
      </c>
      <c r="EI141" t="n">
        <v>2193.4</v>
      </c>
      <c r="EJ141" t="n">
        <v>5711.9</v>
      </c>
      <c r="EK141" t="n">
        <v>1584.8</v>
      </c>
      <c r="EL141" t="n">
        <v>23.6</v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n">
        <v>6</v>
      </c>
      <c r="F142" t="b">
        <v>1</v>
      </c>
      <c r="G142" t="b">
        <v>1</v>
      </c>
      <c r="H142" t="n">
        <v>28.1</v>
      </c>
      <c r="I142" t="inlineStr">
        <is>
          <t>a</t>
        </is>
      </c>
      <c r="L142" t="inlineStr">
        <is>
          <t>p433036</t>
        </is>
      </c>
      <c r="M142" t="n">
        <v>404</v>
      </c>
      <c r="O142" t="n">
        <v>4</v>
      </c>
      <c r="P142" t="n">
        <v>4</v>
      </c>
      <c r="Q142" t="n">
        <v>1623</v>
      </c>
      <c r="R142" t="n">
        <v>28</v>
      </c>
      <c r="S142" t="n">
        <v>19</v>
      </c>
      <c r="T142" t="n">
        <v>18.033</v>
      </c>
      <c r="U142" t="n">
        <v>58</v>
      </c>
      <c r="V142" t="n">
        <v>92</v>
      </c>
      <c r="W142" t="n">
        <v>5.102</v>
      </c>
      <c r="X142" t="n">
        <v>5</v>
      </c>
      <c r="Y142" t="n">
        <v>3</v>
      </c>
      <c r="Z142" t="n">
        <v>2</v>
      </c>
      <c r="AA142" t="n">
        <v>7</v>
      </c>
      <c r="AB142" t="n">
        <v>18</v>
      </c>
      <c r="AC142" t="n">
        <v>6</v>
      </c>
      <c r="AD142" t="n">
        <v>6</v>
      </c>
      <c r="AE142" t="n">
        <v>0</v>
      </c>
      <c r="AF142" t="n">
        <v>337</v>
      </c>
      <c r="AG142" t="n">
        <v>332</v>
      </c>
      <c r="AH142" t="n">
        <v>-5</v>
      </c>
      <c r="AI142" t="n">
        <v>92</v>
      </c>
      <c r="AJ142" t="n">
        <v>0.065</v>
      </c>
      <c r="AK142" t="n">
        <v>0.07000000000000001</v>
      </c>
      <c r="AL142" t="n">
        <v>100</v>
      </c>
      <c r="AM142" t="n">
        <v>5.545</v>
      </c>
      <c r="AN142" t="n">
        <v>1</v>
      </c>
      <c r="AO142" t="n">
        <v>2</v>
      </c>
      <c r="AP142" t="n">
        <v>0.053</v>
      </c>
      <c r="AQ142" t="n">
        <v>0.053</v>
      </c>
      <c r="AR142" t="n">
        <v>0.053</v>
      </c>
      <c r="AS142" t="n">
        <v>0.5</v>
      </c>
      <c r="AT142" t="n">
        <v>0.607</v>
      </c>
      <c r="AU142" t="n">
        <v>16</v>
      </c>
      <c r="AV142" t="n">
        <v>2</v>
      </c>
      <c r="AW142" t="n">
        <v>3</v>
      </c>
      <c r="AX142" t="n">
        <v>10</v>
      </c>
      <c r="AY142" t="n">
        <v>4.61</v>
      </c>
      <c r="AZ142" t="n">
        <v>4.862</v>
      </c>
      <c r="BA142" t="n">
        <v>4.736</v>
      </c>
      <c r="BB142" t="n">
        <v>4.862</v>
      </c>
      <c r="BC142" t="n">
        <v>0.256</v>
      </c>
      <c r="BD142" t="n">
        <v>0.27</v>
      </c>
      <c r="BE142" t="n">
        <v>0.263</v>
      </c>
      <c r="BF142" t="n">
        <v>4.2</v>
      </c>
      <c r="BG142" t="n">
        <v>0.233</v>
      </c>
      <c r="BH142" t="n">
        <v>0.968</v>
      </c>
      <c r="BI142" t="n">
        <v>4.61</v>
      </c>
      <c r="BJ142" t="n">
        <v>4.46</v>
      </c>
      <c r="BK142" t="n">
        <v>0.247</v>
      </c>
      <c r="BL142" t="n">
        <v>0.264</v>
      </c>
      <c r="BM142" t="n">
        <v>-0.41</v>
      </c>
      <c r="BN142" t="n">
        <v>0.8</v>
      </c>
      <c r="BO142" t="n">
        <v>-0.252</v>
      </c>
      <c r="BP142" t="n">
        <v>49</v>
      </c>
      <c r="BQ142" t="n">
        <v>16</v>
      </c>
      <c r="BR142" t="n">
        <v>5</v>
      </c>
      <c r="BS142" t="n">
        <v>72</v>
      </c>
      <c r="BT142" t="n">
        <v>3.993</v>
      </c>
      <c r="BW142" t="n">
        <v>2.35</v>
      </c>
      <c r="BX142" t="n">
        <v>3.073</v>
      </c>
      <c r="BY142" t="n">
        <v>2.712</v>
      </c>
      <c r="BZ142" t="n">
        <v>0.15</v>
      </c>
      <c r="CA142" t="n">
        <v>7.448</v>
      </c>
      <c r="CB142" t="n">
        <v>0.413</v>
      </c>
      <c r="CC142" t="n">
        <v>18</v>
      </c>
      <c r="CD142" t="n">
        <v>4</v>
      </c>
      <c r="CE142" t="n">
        <v>17</v>
      </c>
      <c r="CF142" t="n">
        <v>10</v>
      </c>
      <c r="CG142" t="n">
        <v>2</v>
      </c>
      <c r="CH142" t="n">
        <v>28</v>
      </c>
      <c r="CI142" t="n">
        <v>13.192</v>
      </c>
      <c r="CJ142" t="n">
        <v>7.174</v>
      </c>
      <c r="CK142" t="n">
        <v>32</v>
      </c>
      <c r="CL142" t="n">
        <v>58</v>
      </c>
      <c r="CM142" t="n">
        <v>10</v>
      </c>
      <c r="CN142" t="n">
        <v>4</v>
      </c>
      <c r="CO142" t="n">
        <v>10</v>
      </c>
      <c r="CP142" t="n">
        <v>20</v>
      </c>
      <c r="CQ142" t="n">
        <v>1</v>
      </c>
      <c r="CR142" t="n">
        <v>48</v>
      </c>
      <c r="CS142" t="n">
        <v>3</v>
      </c>
      <c r="CT142" t="n">
        <v>0.8</v>
      </c>
      <c r="CV142" t="n">
        <v>1</v>
      </c>
      <c r="CW142" t="n">
        <v>18.82</v>
      </c>
      <c r="CX142" t="n">
        <v>1.044</v>
      </c>
      <c r="CY142" t="n">
        <v>0</v>
      </c>
      <c r="DB142" t="n">
        <v>0</v>
      </c>
      <c r="DE142" t="n">
        <v>6.95</v>
      </c>
      <c r="DF142" t="n">
        <v>2</v>
      </c>
      <c r="DG142" t="n">
        <v>0</v>
      </c>
      <c r="DH142" t="n">
        <v>19</v>
      </c>
      <c r="DI142" t="n">
        <v>15</v>
      </c>
      <c r="DL142" t="n">
        <v>20</v>
      </c>
      <c r="DM142" t="n">
        <v>16</v>
      </c>
      <c r="DN142" t="n">
        <v>4</v>
      </c>
      <c r="DO142" t="n">
        <v>0.4</v>
      </c>
      <c r="DP142" t="n">
        <v>22.15</v>
      </c>
      <c r="DQ142" t="n">
        <v>13.2</v>
      </c>
      <c r="DR142" t="n">
        <v>26.4</v>
      </c>
      <c r="DS142" t="n">
        <v>-4.25</v>
      </c>
      <c r="DT142" t="n">
        <v>247</v>
      </c>
      <c r="DU142" t="n">
        <v>6.5</v>
      </c>
      <c r="DV142" t="inlineStr">
        <is>
          <t>flat</t>
        </is>
      </c>
      <c r="DW142" t="n">
        <v>80.11</v>
      </c>
      <c r="DX142" t="n">
        <v>83.33</v>
      </c>
      <c r="DY142" t="n">
        <v>19.54</v>
      </c>
      <c r="DZ142" t="n">
        <v>46</v>
      </c>
      <c r="EA142" t="n">
        <v>114.67</v>
      </c>
      <c r="EB142" t="n">
        <v>28</v>
      </c>
      <c r="EC142" t="n">
        <v>13.5</v>
      </c>
      <c r="ED142" t="n">
        <v>9.699999999999999</v>
      </c>
      <c r="EE142" t="n">
        <v>83</v>
      </c>
      <c r="EF142" t="n">
        <v>33.1</v>
      </c>
      <c r="EG142" t="n">
        <v>22.5</v>
      </c>
      <c r="EH142" t="n">
        <v>95.5</v>
      </c>
      <c r="EI142" t="n">
        <v>342.7</v>
      </c>
      <c r="EJ142" t="n">
        <v>598.5</v>
      </c>
      <c r="EK142" t="n">
        <v>217.9</v>
      </c>
      <c r="EL142" t="n">
        <v>17.6</v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n">
        <v>6</v>
      </c>
      <c r="F143" t="b">
        <v>1</v>
      </c>
      <c r="G143" t="b">
        <v>1</v>
      </c>
      <c r="H143" t="n">
        <v>24.6</v>
      </c>
      <c r="I143" t="inlineStr">
        <is>
          <t>a</t>
        </is>
      </c>
      <c r="L143" t="inlineStr">
        <is>
          <t>p441264</t>
        </is>
      </c>
      <c r="M143" t="n">
        <v>552</v>
      </c>
      <c r="Q143" t="n">
        <v>1920</v>
      </c>
      <c r="R143" t="n">
        <v>31</v>
      </c>
      <c r="S143" t="n">
        <v>22</v>
      </c>
      <c r="T143" t="n">
        <v>21.333</v>
      </c>
      <c r="U143" t="n">
        <v>61.9</v>
      </c>
      <c r="V143" t="n">
        <v>92</v>
      </c>
      <c r="W143" t="n">
        <v>4.312</v>
      </c>
      <c r="X143" t="n">
        <v>7</v>
      </c>
      <c r="Y143" t="n">
        <v>2</v>
      </c>
      <c r="Z143" t="n">
        <v>1</v>
      </c>
      <c r="AA143" t="n">
        <v>6</v>
      </c>
      <c r="AB143" t="n">
        <v>30</v>
      </c>
      <c r="AC143" t="n">
        <v>12</v>
      </c>
      <c r="AD143" t="n">
        <v>13</v>
      </c>
      <c r="AE143" t="n">
        <v>1</v>
      </c>
      <c r="AF143" t="n">
        <v>309</v>
      </c>
      <c r="AG143" t="n">
        <v>304</v>
      </c>
      <c r="AH143" t="n">
        <v>-5</v>
      </c>
      <c r="AI143" t="n">
        <v>93</v>
      </c>
      <c r="AJ143" t="n">
        <v>0.13</v>
      </c>
      <c r="AK143" t="n">
        <v>0.15</v>
      </c>
      <c r="AL143" t="n">
        <v>74</v>
      </c>
      <c r="AM143" t="n">
        <v>3.469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0.579</v>
      </c>
      <c r="AT143" t="n">
        <v>0.677</v>
      </c>
      <c r="AU143" t="n">
        <v>22</v>
      </c>
      <c r="AV143" t="n">
        <v>0</v>
      </c>
      <c r="AW143" t="n">
        <v>2.64</v>
      </c>
      <c r="AX143" t="n">
        <v>9</v>
      </c>
      <c r="AY143" t="n">
        <v>6.02</v>
      </c>
      <c r="AZ143" t="n">
        <v>7.112</v>
      </c>
      <c r="BA143" t="n">
        <v>6.566</v>
      </c>
      <c r="BB143" t="n">
        <v>7.112</v>
      </c>
      <c r="BC143" t="n">
        <v>0.282</v>
      </c>
      <c r="BD143" t="n">
        <v>0.333</v>
      </c>
      <c r="BE143" t="n">
        <v>0.308</v>
      </c>
      <c r="BF143" t="n">
        <v>7.1</v>
      </c>
      <c r="BG143" t="n">
        <v>0.333</v>
      </c>
      <c r="BH143" t="n">
        <v>1.077</v>
      </c>
      <c r="BI143" t="n">
        <v>6.02</v>
      </c>
      <c r="BJ143" t="n">
        <v>6.484</v>
      </c>
      <c r="BK143" t="n">
        <v>0.304</v>
      </c>
      <c r="BL143" t="n">
        <v>0.434</v>
      </c>
      <c r="BM143" t="n">
        <v>1.08</v>
      </c>
      <c r="BN143" t="n">
        <v>-0.1</v>
      </c>
      <c r="BO143" t="n">
        <v>-1.092</v>
      </c>
      <c r="BP143" t="n">
        <v>36</v>
      </c>
      <c r="BQ143" t="n">
        <v>18</v>
      </c>
      <c r="BR143" t="n">
        <v>12</v>
      </c>
      <c r="BS143" t="n">
        <v>93</v>
      </c>
      <c r="BT143" t="n">
        <v>4.359</v>
      </c>
      <c r="BV143" t="n">
        <v>2</v>
      </c>
      <c r="BW143" t="n">
        <v>0.67</v>
      </c>
      <c r="BX143" t="n">
        <v>1.508</v>
      </c>
      <c r="BY143" t="n">
        <v>1.089</v>
      </c>
      <c r="BZ143" t="n">
        <v>0.051</v>
      </c>
      <c r="CA143" t="n">
        <v>7.655</v>
      </c>
      <c r="CB143" t="n">
        <v>0.359</v>
      </c>
      <c r="CC143" t="n">
        <v>15</v>
      </c>
      <c r="CD143" t="n">
        <v>2</v>
      </c>
      <c r="CE143" t="n">
        <v>15</v>
      </c>
      <c r="CI143" t="n">
        <v>9.288</v>
      </c>
      <c r="CJ143" t="n">
        <v>1.601</v>
      </c>
      <c r="CK143" t="n">
        <v>21</v>
      </c>
      <c r="CL143" t="n">
        <v>44</v>
      </c>
      <c r="CM143" t="n">
        <v>9</v>
      </c>
      <c r="CN143" t="n">
        <v>2</v>
      </c>
      <c r="CP143" t="n">
        <v>15</v>
      </c>
      <c r="CQ143" t="n">
        <v>6</v>
      </c>
      <c r="CR143" t="n">
        <v>112</v>
      </c>
      <c r="CS143" t="n">
        <v>65</v>
      </c>
      <c r="CT143" t="n">
        <v>0.3</v>
      </c>
      <c r="CW143" t="n">
        <v>31.4</v>
      </c>
      <c r="CX143" t="n">
        <v>1.472</v>
      </c>
      <c r="CY143" t="n">
        <v>0</v>
      </c>
      <c r="DB143" t="n">
        <v>0</v>
      </c>
      <c r="DE143" t="n">
        <v>6.53</v>
      </c>
      <c r="DF143" t="n">
        <v>6</v>
      </c>
      <c r="DG143" t="n">
        <v>0</v>
      </c>
      <c r="DH143" t="n">
        <v>32</v>
      </c>
      <c r="DI143" t="n">
        <v>37</v>
      </c>
      <c r="DJ143" t="n">
        <v>1</v>
      </c>
      <c r="DK143" t="n">
        <v>1</v>
      </c>
      <c r="DL143" t="n">
        <v>2</v>
      </c>
      <c r="DM143" t="n">
        <v>29</v>
      </c>
      <c r="DN143" t="n">
        <v>8</v>
      </c>
      <c r="DO143" t="n">
        <v>16.3</v>
      </c>
      <c r="DP143" t="n">
        <v>141.6</v>
      </c>
      <c r="DQ143" t="n">
        <v>70.8</v>
      </c>
      <c r="DR143" t="n">
        <v>141.6</v>
      </c>
      <c r="DS143" t="n">
        <v>0</v>
      </c>
      <c r="DT143" t="n">
        <v>2884</v>
      </c>
      <c r="DU143" t="n">
        <v>75.90000000000001</v>
      </c>
      <c r="DV143" t="inlineStr">
        <is>
          <t>flat</t>
        </is>
      </c>
      <c r="DW143" t="n">
        <v>44.62</v>
      </c>
      <c r="DX143" t="n">
        <v>48.07</v>
      </c>
      <c r="DY143" t="n">
        <v>26.19</v>
      </c>
      <c r="DZ143" t="n">
        <v>6.5</v>
      </c>
      <c r="EA143" t="n">
        <v>120</v>
      </c>
      <c r="EB143" t="n">
        <v>188</v>
      </c>
      <c r="EC143" t="n">
        <v>90.40000000000001</v>
      </c>
      <c r="ED143" t="n">
        <v>9.6</v>
      </c>
      <c r="EE143" t="n">
        <v>84</v>
      </c>
      <c r="EF143" t="n">
        <v>53.3</v>
      </c>
      <c r="EG143" t="n">
        <v>20.6</v>
      </c>
      <c r="EH143" t="n">
        <v>128</v>
      </c>
      <c r="EI143" t="n">
        <v>292.4</v>
      </c>
      <c r="EJ143" t="n">
        <v>1762.7</v>
      </c>
      <c r="EK143" t="n">
        <v>250.8</v>
      </c>
      <c r="EL143" t="n">
        <v>20.9</v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n">
        <v>6</v>
      </c>
      <c r="F144" t="b">
        <v>1</v>
      </c>
      <c r="G144" t="b">
        <v>1</v>
      </c>
      <c r="H144" t="n">
        <v>21.4</v>
      </c>
      <c r="I144" t="inlineStr">
        <is>
          <t>a</t>
        </is>
      </c>
      <c r="L144" t="inlineStr">
        <is>
          <t>p532529</t>
        </is>
      </c>
      <c r="M144" t="n">
        <v>123</v>
      </c>
      <c r="Q144" t="n">
        <v>1736</v>
      </c>
      <c r="R144" t="n">
        <v>27</v>
      </c>
      <c r="S144" t="n">
        <v>20</v>
      </c>
      <c r="T144" t="n">
        <v>19.289</v>
      </c>
      <c r="U144" t="n">
        <v>64.3</v>
      </c>
      <c r="V144" t="n">
        <v>91</v>
      </c>
      <c r="W144" t="n">
        <v>4.718</v>
      </c>
      <c r="X144" t="n">
        <v>4</v>
      </c>
      <c r="Y144" t="n">
        <v>5</v>
      </c>
      <c r="Z144" t="n">
        <v>3</v>
      </c>
      <c r="AA144" t="n">
        <v>7</v>
      </c>
      <c r="AB144" t="n">
        <v>23</v>
      </c>
      <c r="AC144" t="n">
        <v>2</v>
      </c>
      <c r="AD144" t="n">
        <v>2</v>
      </c>
      <c r="AE144" t="n">
        <v>0</v>
      </c>
      <c r="AF144" t="n">
        <v>317</v>
      </c>
      <c r="AG144" t="n">
        <v>310</v>
      </c>
      <c r="AH144" t="n">
        <v>-7</v>
      </c>
      <c r="AI144" t="n">
        <v>91</v>
      </c>
      <c r="AJ144" t="n">
        <v>0.022</v>
      </c>
      <c r="AK144" t="n">
        <v>0.022</v>
      </c>
      <c r="AL144" t="n">
        <v>114</v>
      </c>
      <c r="AM144" t="n">
        <v>5.91</v>
      </c>
      <c r="AN144" t="n">
        <v>1</v>
      </c>
      <c r="AO144" t="n">
        <v>2</v>
      </c>
      <c r="AP144" t="n">
        <v>0.05</v>
      </c>
      <c r="AQ144" t="n">
        <v>0.1</v>
      </c>
      <c r="AR144" t="n">
        <v>0.05</v>
      </c>
      <c r="AS144" t="n">
        <v>0.526</v>
      </c>
      <c r="AT144" t="n">
        <v>0.741</v>
      </c>
      <c r="AU144" t="n">
        <v>14</v>
      </c>
      <c r="AV144" t="n">
        <v>0</v>
      </c>
      <c r="AW144" t="n">
        <v>2.62</v>
      </c>
      <c r="AX144" t="n">
        <v>8</v>
      </c>
      <c r="AY144" t="n">
        <v>4.94</v>
      </c>
      <c r="AZ144" t="n">
        <v>4.762</v>
      </c>
      <c r="BA144" t="n">
        <v>4.851</v>
      </c>
      <c r="BB144" t="n">
        <v>4.762</v>
      </c>
      <c r="BC144" t="n">
        <v>0.256</v>
      </c>
      <c r="BD144" t="n">
        <v>0.247</v>
      </c>
      <c r="BE144" t="n">
        <v>0.251</v>
      </c>
      <c r="BF144" t="n">
        <v>4.5</v>
      </c>
      <c r="BG144" t="n">
        <v>0.233</v>
      </c>
      <c r="BH144" t="n">
        <v>1.119</v>
      </c>
      <c r="BI144" t="n">
        <v>9.779999999999999</v>
      </c>
      <c r="BJ144" t="n">
        <v>5.529</v>
      </c>
      <c r="BK144" t="n">
        <v>0.287</v>
      </c>
      <c r="BL144" t="n">
        <v>-0.851</v>
      </c>
      <c r="BM144" t="n">
        <v>-0.44</v>
      </c>
      <c r="BN144" t="n">
        <v>-0.5</v>
      </c>
      <c r="BO144" t="n">
        <v>0.178</v>
      </c>
      <c r="BP144" t="n">
        <v>37</v>
      </c>
      <c r="BQ144" t="n">
        <v>15</v>
      </c>
      <c r="BR144" t="n">
        <v>6</v>
      </c>
      <c r="BS144" t="n">
        <v>64</v>
      </c>
      <c r="BT144" t="n">
        <v>3.318</v>
      </c>
      <c r="BV144" t="n">
        <v>1</v>
      </c>
      <c r="BW144" t="n">
        <v>2.34</v>
      </c>
      <c r="BX144" t="n">
        <v>2.357</v>
      </c>
      <c r="BY144" t="n">
        <v>2.349</v>
      </c>
      <c r="BZ144" t="n">
        <v>0.122</v>
      </c>
      <c r="CA144" t="n">
        <v>7.2</v>
      </c>
      <c r="CB144" t="n">
        <v>0.373</v>
      </c>
      <c r="CC144" t="n">
        <v>16</v>
      </c>
      <c r="CD144" t="n">
        <v>2</v>
      </c>
      <c r="CE144" t="n">
        <v>15</v>
      </c>
      <c r="CG144" t="n">
        <v>2</v>
      </c>
      <c r="CH144" t="n">
        <v>1</v>
      </c>
      <c r="CI144" t="n">
        <v>11.616</v>
      </c>
      <c r="CJ144" t="n">
        <v>5.945</v>
      </c>
      <c r="CK144" t="n">
        <v>35</v>
      </c>
      <c r="CL144" t="n">
        <v>61</v>
      </c>
      <c r="CM144" t="n">
        <v>18</v>
      </c>
      <c r="CN144" t="n">
        <v>14</v>
      </c>
      <c r="CO144" t="n">
        <v>5</v>
      </c>
      <c r="CP144" t="n">
        <v>25</v>
      </c>
      <c r="CQ144" t="n">
        <v>5</v>
      </c>
      <c r="CR144" t="n">
        <v>46</v>
      </c>
      <c r="CS144" t="n">
        <v>12</v>
      </c>
      <c r="CT144" t="n">
        <v>0.5</v>
      </c>
      <c r="CV144" t="n">
        <v>2</v>
      </c>
      <c r="CW144" t="n">
        <v>27.83</v>
      </c>
      <c r="CX144" t="n">
        <v>1.443</v>
      </c>
      <c r="CY144" t="n">
        <v>0</v>
      </c>
      <c r="DB144" t="n">
        <v>0</v>
      </c>
      <c r="DE144" t="n">
        <v>6.77</v>
      </c>
      <c r="DF144" t="n">
        <v>0</v>
      </c>
      <c r="DG144" t="n">
        <v>0</v>
      </c>
      <c r="DH144" t="n">
        <v>33</v>
      </c>
      <c r="DI144" t="n">
        <v>12</v>
      </c>
      <c r="DL144" t="n">
        <v>3</v>
      </c>
      <c r="DM144" t="n">
        <v>9</v>
      </c>
      <c r="DN144" t="n">
        <v>2</v>
      </c>
      <c r="DO144" t="n">
        <v>0.2</v>
      </c>
      <c r="DP144" t="n">
        <v>149.2</v>
      </c>
      <c r="DQ144" t="n">
        <v>75.06999999999999</v>
      </c>
      <c r="DR144" t="n">
        <v>150.14</v>
      </c>
      <c r="DS144" t="n">
        <v>-0.9399999999999999</v>
      </c>
      <c r="DT144" t="n">
        <v>2782</v>
      </c>
      <c r="DU144" t="n">
        <v>73.2</v>
      </c>
      <c r="DV144" t="inlineStr">
        <is>
          <t>flat</t>
        </is>
      </c>
      <c r="DW144" t="n">
        <v>77.70999999999999</v>
      </c>
      <c r="DX144" t="n">
        <v>71.67</v>
      </c>
      <c r="DY144" t="n">
        <v>16.09</v>
      </c>
      <c r="DZ144" t="n">
        <v>51.2</v>
      </c>
      <c r="EA144" t="n">
        <v>112</v>
      </c>
      <c r="EB144" t="n">
        <v>42</v>
      </c>
      <c r="EC144" t="n">
        <v>20.2</v>
      </c>
      <c r="ED144" t="n">
        <v>4.5</v>
      </c>
      <c r="EE144" t="n">
        <v>85</v>
      </c>
      <c r="EF144" t="n">
        <v>46.9</v>
      </c>
      <c r="EG144" t="n">
        <v>27.1</v>
      </c>
      <c r="EH144" t="n">
        <v>115.7</v>
      </c>
      <c r="EI144" t="n">
        <v>357.9</v>
      </c>
      <c r="EJ144" t="n">
        <v>739.2</v>
      </c>
      <c r="EK144" t="n">
        <v>241.1</v>
      </c>
      <c r="EL144" t="n">
        <v>19.1</v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n">
        <v>5</v>
      </c>
      <c r="F145" t="b">
        <v>1</v>
      </c>
      <c r="G145" t="b">
        <v>1</v>
      </c>
      <c r="H145" t="n">
        <v>28.3</v>
      </c>
      <c r="I145" t="inlineStr">
        <is>
          <t>a</t>
        </is>
      </c>
      <c r="L145" t="inlineStr">
        <is>
          <t>p221632</t>
        </is>
      </c>
      <c r="M145" t="n">
        <v>500</v>
      </c>
      <c r="Q145" t="n">
        <v>1869</v>
      </c>
      <c r="R145" t="n">
        <v>23</v>
      </c>
      <c r="S145" t="n">
        <v>22</v>
      </c>
      <c r="T145" t="n">
        <v>20.767</v>
      </c>
      <c r="U145" t="n">
        <v>81.3</v>
      </c>
      <c r="V145" t="n">
        <v>91</v>
      </c>
      <c r="W145" t="n">
        <v>4.382</v>
      </c>
      <c r="X145" t="n">
        <v>4</v>
      </c>
      <c r="Y145" t="n">
        <v>1</v>
      </c>
      <c r="Z145" t="n">
        <v>1</v>
      </c>
      <c r="AA145" t="n">
        <v>5</v>
      </c>
      <c r="AB145" t="n">
        <v>33</v>
      </c>
      <c r="AC145" t="n">
        <v>10</v>
      </c>
      <c r="AD145" t="n">
        <v>10</v>
      </c>
      <c r="AE145" t="n">
        <v>0</v>
      </c>
      <c r="AF145" t="n">
        <v>305</v>
      </c>
      <c r="AG145" t="n">
        <v>280</v>
      </c>
      <c r="AH145" t="n">
        <v>-25</v>
      </c>
      <c r="AI145" t="n">
        <v>91</v>
      </c>
      <c r="AJ145" t="n">
        <v>0.11</v>
      </c>
      <c r="AK145" t="n">
        <v>0.123</v>
      </c>
      <c r="AL145" t="n">
        <v>197</v>
      </c>
      <c r="AM145" t="n">
        <v>9.486000000000001</v>
      </c>
      <c r="AN145" t="n">
        <v>9</v>
      </c>
      <c r="AO145" t="n">
        <v>18</v>
      </c>
      <c r="AP145" t="n">
        <v>0.409</v>
      </c>
      <c r="AQ145" t="n">
        <v>0.409</v>
      </c>
      <c r="AR145" t="n">
        <v>0.273</v>
      </c>
      <c r="AS145" t="n">
        <v>0.579</v>
      </c>
      <c r="AT145" t="n">
        <v>0.87</v>
      </c>
      <c r="AU145" t="n">
        <v>14</v>
      </c>
      <c r="AV145" t="n">
        <v>3</v>
      </c>
      <c r="AW145" t="n">
        <v>4.17</v>
      </c>
      <c r="AX145" t="n">
        <v>17</v>
      </c>
      <c r="AY145" t="n">
        <v>1.39</v>
      </c>
      <c r="AZ145" t="n">
        <v>1.838</v>
      </c>
      <c r="BA145" t="n">
        <v>1.614</v>
      </c>
      <c r="BB145" t="n">
        <v>1.838</v>
      </c>
      <c r="BC145" t="n">
        <v>0.067</v>
      </c>
      <c r="BD145" t="n">
        <v>0.089</v>
      </c>
      <c r="BE145" t="n">
        <v>0.078</v>
      </c>
      <c r="BF145" t="n">
        <v>2.6</v>
      </c>
      <c r="BG145" t="n">
        <v>0.125</v>
      </c>
      <c r="BH145" t="n">
        <v>1.047</v>
      </c>
      <c r="BI145" t="n">
        <v>7.66</v>
      </c>
      <c r="BJ145" t="n">
        <v>1.456</v>
      </c>
      <c r="BK145" t="n">
        <v>0.07000000000000001</v>
      </c>
      <c r="BL145" t="n">
        <v>2.386</v>
      </c>
      <c r="BM145" t="n">
        <v>1.21</v>
      </c>
      <c r="BN145" t="n">
        <v>1.4</v>
      </c>
      <c r="BO145" t="n">
        <v>-0.448</v>
      </c>
      <c r="BP145" t="n">
        <v>17</v>
      </c>
      <c r="BQ145" t="n">
        <v>6</v>
      </c>
      <c r="BR145" t="n">
        <v>1</v>
      </c>
      <c r="BS145" t="n">
        <v>43</v>
      </c>
      <c r="BT145" t="n">
        <v>2.071</v>
      </c>
      <c r="BV145" t="n">
        <v>3</v>
      </c>
      <c r="BW145" t="n">
        <v>1.25</v>
      </c>
      <c r="BX145" t="n">
        <v>1.817</v>
      </c>
      <c r="BY145" t="n">
        <v>1.533</v>
      </c>
      <c r="BZ145" t="n">
        <v>0.074</v>
      </c>
      <c r="CA145" t="n">
        <v>3.148</v>
      </c>
      <c r="CB145" t="n">
        <v>0.152</v>
      </c>
      <c r="CC145" t="n">
        <v>12</v>
      </c>
      <c r="CD145" t="n">
        <v>4</v>
      </c>
      <c r="CE145" t="n">
        <v>11</v>
      </c>
      <c r="CI145" t="n">
        <v>6.114</v>
      </c>
      <c r="CJ145" t="n">
        <v>4.283</v>
      </c>
      <c r="CK145" t="n">
        <v>139</v>
      </c>
      <c r="CL145" t="n">
        <v>88</v>
      </c>
      <c r="CM145" t="n">
        <v>58</v>
      </c>
      <c r="CN145" t="n">
        <v>29</v>
      </c>
      <c r="CO145" t="n">
        <v>30</v>
      </c>
      <c r="CP145" t="n">
        <v>94</v>
      </c>
      <c r="CQ145" t="n">
        <v>14</v>
      </c>
      <c r="CR145" t="n">
        <v>155</v>
      </c>
      <c r="CS145" t="n">
        <v>73</v>
      </c>
      <c r="CT145" t="n">
        <v>0.1</v>
      </c>
      <c r="CU145" t="n">
        <v>1</v>
      </c>
      <c r="CV145" t="n">
        <v>2</v>
      </c>
      <c r="CW145" t="n">
        <v>28.32</v>
      </c>
      <c r="CX145" t="n">
        <v>1.364</v>
      </c>
      <c r="CY145" t="n">
        <v>0</v>
      </c>
      <c r="DB145" t="n">
        <v>0</v>
      </c>
      <c r="DE145" t="n">
        <v>7.06</v>
      </c>
      <c r="DF145" t="n">
        <v>9</v>
      </c>
      <c r="DG145" t="n">
        <v>2</v>
      </c>
      <c r="DH145" t="n">
        <v>32</v>
      </c>
      <c r="DI145" t="n">
        <v>16</v>
      </c>
      <c r="DL145" t="n">
        <v>8</v>
      </c>
      <c r="DM145" t="n">
        <v>6</v>
      </c>
      <c r="DN145" t="n">
        <v>1</v>
      </c>
      <c r="DO145" t="n">
        <v>1.1</v>
      </c>
      <c r="DP145" t="n">
        <v>9.31</v>
      </c>
      <c r="DQ145" t="n">
        <v>4.56</v>
      </c>
      <c r="DR145" t="n">
        <v>9.119999999999999</v>
      </c>
      <c r="DS145" t="n">
        <v>0.19</v>
      </c>
      <c r="DT145" t="n">
        <v>5</v>
      </c>
      <c r="DU145" t="n">
        <v>0.13</v>
      </c>
      <c r="DV145" t="inlineStr">
        <is>
          <t>flat</t>
        </is>
      </c>
      <c r="DW145" t="n">
        <v>93.45</v>
      </c>
      <c r="DX145" t="n">
        <v>98.59999999999999</v>
      </c>
      <c r="DY145" t="n">
        <v>18.72</v>
      </c>
      <c r="DZ145" t="n">
        <v>30.4</v>
      </c>
      <c r="EA145" t="n">
        <v>119</v>
      </c>
      <c r="EB145" t="n">
        <v>44</v>
      </c>
      <c r="EC145" t="n">
        <v>21.2</v>
      </c>
      <c r="ED145" t="n">
        <v>6.4</v>
      </c>
      <c r="EE145" t="n">
        <v>251</v>
      </c>
      <c r="EF145" t="n">
        <v>109.9</v>
      </c>
      <c r="EG145" t="n">
        <v>43.5</v>
      </c>
      <c r="EH145" t="n">
        <v>169.9</v>
      </c>
      <c r="EI145" t="n">
        <v>1157.9</v>
      </c>
      <c r="EJ145" t="n">
        <v>1218.8</v>
      </c>
      <c r="EK145" t="n">
        <v>593.8</v>
      </c>
      <c r="EL145" t="n">
        <v>20.5</v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n">
        <v>5</v>
      </c>
      <c r="F146" t="b">
        <v>1</v>
      </c>
      <c r="G146" t="b">
        <v>1</v>
      </c>
      <c r="H146" t="n">
        <v>28.5</v>
      </c>
      <c r="I146" t="inlineStr">
        <is>
          <t>a</t>
        </is>
      </c>
      <c r="L146" t="inlineStr">
        <is>
          <t>p207189</t>
        </is>
      </c>
      <c r="M146" t="n">
        <v>265</v>
      </c>
      <c r="Q146" t="n">
        <v>2904</v>
      </c>
      <c r="R146" t="n">
        <v>35</v>
      </c>
      <c r="S146" t="n">
        <v>34</v>
      </c>
      <c r="T146" t="n">
        <v>32.267</v>
      </c>
      <c r="U146" t="n">
        <v>83</v>
      </c>
      <c r="V146" t="n">
        <v>91</v>
      </c>
      <c r="W146" t="n">
        <v>2.82</v>
      </c>
      <c r="X146" t="n">
        <v>0</v>
      </c>
      <c r="Y146" t="n">
        <v>3</v>
      </c>
      <c r="Z146" t="n">
        <v>1</v>
      </c>
      <c r="AA146" t="n">
        <v>8</v>
      </c>
      <c r="AB146" t="n">
        <v>45</v>
      </c>
      <c r="AC146" t="n">
        <v>3</v>
      </c>
      <c r="AD146" t="n">
        <v>3</v>
      </c>
      <c r="AE146" t="n">
        <v>0</v>
      </c>
      <c r="AF146" t="n">
        <v>503</v>
      </c>
      <c r="AG146" t="n">
        <v>484</v>
      </c>
      <c r="AH146" t="n">
        <v>-19</v>
      </c>
      <c r="AI146" t="n">
        <v>91</v>
      </c>
      <c r="AJ146" t="n">
        <v>0.033</v>
      </c>
      <c r="AK146" t="n">
        <v>0.034</v>
      </c>
      <c r="AL146" t="n">
        <v>280</v>
      </c>
      <c r="AM146" t="n">
        <v>8.678000000000001</v>
      </c>
      <c r="AN146" t="n">
        <v>5</v>
      </c>
      <c r="AO146" t="n">
        <v>10</v>
      </c>
      <c r="AP146" t="n">
        <v>0.147</v>
      </c>
      <c r="AQ146" t="n">
        <v>0.382</v>
      </c>
      <c r="AR146" t="n">
        <v>0.147</v>
      </c>
      <c r="AS146" t="n">
        <v>0.895</v>
      </c>
      <c r="AT146" t="n">
        <v>0.9429999999999999</v>
      </c>
      <c r="AU146" t="n">
        <v>24</v>
      </c>
      <c r="AV146" t="n">
        <v>1</v>
      </c>
      <c r="AW146" t="n">
        <v>1.76</v>
      </c>
      <c r="AX146" t="n">
        <v>10</v>
      </c>
      <c r="AY146" t="n">
        <v>1.54</v>
      </c>
      <c r="AZ146" t="n">
        <v>1.346</v>
      </c>
      <c r="BA146" t="n">
        <v>1.443</v>
      </c>
      <c r="BB146" t="n">
        <v>1.346</v>
      </c>
      <c r="BC146" t="n">
        <v>0.048</v>
      </c>
      <c r="BD146" t="n">
        <v>0.042</v>
      </c>
      <c r="BE146" t="n">
        <v>0.045</v>
      </c>
      <c r="BF146" t="n">
        <v>0.2</v>
      </c>
      <c r="BG146" t="n">
        <v>0.006</v>
      </c>
      <c r="BH146" t="n">
        <v>0.781</v>
      </c>
      <c r="BI146" t="n">
        <v>4.03</v>
      </c>
      <c r="BJ146" t="n">
        <v>1.203</v>
      </c>
      <c r="BK146" t="n">
        <v>0.037</v>
      </c>
      <c r="BL146" t="n">
        <v>-1.443</v>
      </c>
      <c r="BM146" t="n">
        <v>-1.34</v>
      </c>
      <c r="BN146" t="n">
        <v>-0.2</v>
      </c>
      <c r="BO146" t="n">
        <v>0.194</v>
      </c>
      <c r="BP146" t="n">
        <v>15</v>
      </c>
      <c r="BQ146" t="n">
        <v>3</v>
      </c>
      <c r="BR146" t="n">
        <v>3</v>
      </c>
      <c r="BS146" t="n">
        <v>27</v>
      </c>
      <c r="BT146" t="n">
        <v>0.837</v>
      </c>
      <c r="BW146" t="n">
        <v>1.5</v>
      </c>
      <c r="BX146" t="n">
        <v>1.985</v>
      </c>
      <c r="BY146" t="n">
        <v>1.743</v>
      </c>
      <c r="BZ146" t="n">
        <v>0.054</v>
      </c>
      <c r="CA146" t="n">
        <v>3.186</v>
      </c>
      <c r="CB146" t="n">
        <v>0.099</v>
      </c>
      <c r="CC146" t="n">
        <v>21</v>
      </c>
      <c r="CD146" t="n">
        <v>3</v>
      </c>
      <c r="CE146" t="n">
        <v>21</v>
      </c>
      <c r="CF146" t="n">
        <v>3</v>
      </c>
      <c r="CG146" t="n">
        <v>2</v>
      </c>
      <c r="CI146" t="n">
        <v>10.622</v>
      </c>
      <c r="CJ146" t="n">
        <v>8.999000000000001</v>
      </c>
      <c r="CK146" t="n">
        <v>91</v>
      </c>
      <c r="CL146" t="n">
        <v>132</v>
      </c>
      <c r="CM146" t="n">
        <v>57</v>
      </c>
      <c r="CN146" t="n">
        <v>40</v>
      </c>
      <c r="CO146" t="n">
        <v>25</v>
      </c>
      <c r="CP146" t="n">
        <v>50</v>
      </c>
      <c r="CQ146" t="n">
        <v>16</v>
      </c>
      <c r="CR146" t="n">
        <v>130</v>
      </c>
      <c r="CS146" t="n">
        <v>50</v>
      </c>
      <c r="CT146" t="n">
        <v>0.2</v>
      </c>
      <c r="CU146" t="n">
        <v>1</v>
      </c>
      <c r="CV146" t="n">
        <v>1</v>
      </c>
      <c r="CW146" t="n">
        <v>43.09</v>
      </c>
      <c r="CX146" t="n">
        <v>1.335</v>
      </c>
      <c r="CY146" t="n">
        <v>0</v>
      </c>
      <c r="DB146" t="n">
        <v>0</v>
      </c>
      <c r="DE146" t="n">
        <v>6.75</v>
      </c>
      <c r="DF146" t="n">
        <v>5</v>
      </c>
      <c r="DG146" t="n">
        <v>0</v>
      </c>
      <c r="DH146" t="n">
        <v>35</v>
      </c>
      <c r="DI146" t="n">
        <v>14</v>
      </c>
      <c r="DK146" t="n">
        <v>1</v>
      </c>
      <c r="DL146" t="n">
        <v>9</v>
      </c>
      <c r="DM146" t="n">
        <v>20</v>
      </c>
      <c r="DN146" t="n">
        <v>1</v>
      </c>
      <c r="DO146" t="n">
        <v>0.4</v>
      </c>
      <c r="DP146" t="n">
        <v>83.09999999999999</v>
      </c>
      <c r="DQ146" t="n">
        <v>41.92</v>
      </c>
      <c r="DR146" t="n">
        <v>83.84</v>
      </c>
      <c r="DS146" t="n">
        <v>-0.74</v>
      </c>
      <c r="DT146" t="n">
        <v>2337</v>
      </c>
      <c r="DU146" t="n">
        <v>61.5</v>
      </c>
      <c r="DV146" t="inlineStr">
        <is>
          <t>flat</t>
        </is>
      </c>
      <c r="EF146" t="n">
        <v>193.6</v>
      </c>
      <c r="EG146" t="n">
        <v>107.6</v>
      </c>
      <c r="EH146" t="n">
        <v>138.3</v>
      </c>
      <c r="EI146" t="n">
        <v>2012.2</v>
      </c>
      <c r="EJ146" t="n">
        <v>1666.5</v>
      </c>
      <c r="EK146" t="n">
        <v>911.6</v>
      </c>
      <c r="EL146" t="n">
        <v>31.9</v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n">
        <v>6</v>
      </c>
      <c r="F147" t="b">
        <v>1</v>
      </c>
      <c r="G147" t="b">
        <v>1</v>
      </c>
      <c r="H147" t="n">
        <v>24.1</v>
      </c>
      <c r="I147" t="inlineStr">
        <is>
          <t>a</t>
        </is>
      </c>
      <c r="L147" t="inlineStr">
        <is>
          <t>p493250</t>
        </is>
      </c>
      <c r="M147" t="n">
        <v>431</v>
      </c>
      <c r="O147" t="n">
        <v>4</v>
      </c>
      <c r="Q147" t="n">
        <v>2339</v>
      </c>
      <c r="R147" t="n">
        <v>32</v>
      </c>
      <c r="S147" t="n">
        <v>27</v>
      </c>
      <c r="T147" t="n">
        <v>25.989</v>
      </c>
      <c r="U147" t="n">
        <v>73.09999999999999</v>
      </c>
      <c r="V147" t="n">
        <v>91</v>
      </c>
      <c r="W147" t="n">
        <v>3.501</v>
      </c>
      <c r="X147" t="n">
        <v>2</v>
      </c>
      <c r="Y147" t="n">
        <v>5</v>
      </c>
      <c r="Z147" t="n">
        <v>3</v>
      </c>
      <c r="AA147" t="n">
        <v>6</v>
      </c>
      <c r="AB147" t="n">
        <v>33</v>
      </c>
      <c r="AC147" t="n">
        <v>7</v>
      </c>
      <c r="AD147" t="n">
        <v>6</v>
      </c>
      <c r="AE147" t="n">
        <v>-1</v>
      </c>
      <c r="AF147" t="n">
        <v>463</v>
      </c>
      <c r="AG147" t="n">
        <v>450</v>
      </c>
      <c r="AH147" t="n">
        <v>-13</v>
      </c>
      <c r="AI147" t="n">
        <v>90</v>
      </c>
      <c r="AJ147" t="n">
        <v>0.077</v>
      </c>
      <c r="AK147" t="n">
        <v>0.083</v>
      </c>
      <c r="AL147" t="n">
        <v>198</v>
      </c>
      <c r="AM147" t="n">
        <v>7.619</v>
      </c>
      <c r="AN147" t="n">
        <v>0</v>
      </c>
      <c r="AO147" t="n">
        <v>0</v>
      </c>
      <c r="AP147" t="n">
        <v>0</v>
      </c>
      <c r="AQ147" t="n">
        <v>0.296</v>
      </c>
      <c r="AR147" t="n">
        <v>0</v>
      </c>
      <c r="AS147" t="n">
        <v>0.711</v>
      </c>
      <c r="AT147" t="n">
        <v>0.719</v>
      </c>
      <c r="AU147" t="n">
        <v>21</v>
      </c>
      <c r="AV147" t="n">
        <v>0</v>
      </c>
      <c r="AW147" t="n">
        <v>2.27</v>
      </c>
      <c r="AX147" t="n">
        <v>9</v>
      </c>
      <c r="AY147" t="n">
        <v>5.46</v>
      </c>
      <c r="AZ147" t="n">
        <v>5.73</v>
      </c>
      <c r="BA147" t="n">
        <v>5.595</v>
      </c>
      <c r="BB147" t="n">
        <v>5.73</v>
      </c>
      <c r="BC147" t="n">
        <v>0.21</v>
      </c>
      <c r="BD147" t="n">
        <v>0.22</v>
      </c>
      <c r="BE147" t="n">
        <v>0.215</v>
      </c>
      <c r="BF147" t="n">
        <v>4.2</v>
      </c>
      <c r="BG147" t="n">
        <v>0.162</v>
      </c>
      <c r="BH147" t="n">
        <v>0.957</v>
      </c>
      <c r="BI147" t="n">
        <v>10.7</v>
      </c>
      <c r="BJ147" t="n">
        <v>5.226</v>
      </c>
      <c r="BK147" t="n">
        <v>0.201</v>
      </c>
      <c r="BL147" t="n">
        <v>-3.595</v>
      </c>
      <c r="BM147" t="n">
        <v>-1.26</v>
      </c>
      <c r="BN147" t="n">
        <v>-2.2</v>
      </c>
      <c r="BO147" t="n">
        <v>-0.27</v>
      </c>
      <c r="BP147" t="n">
        <v>53</v>
      </c>
      <c r="BQ147" t="n">
        <v>23</v>
      </c>
      <c r="BR147" t="n">
        <v>6</v>
      </c>
      <c r="BS147" t="n">
        <v>139</v>
      </c>
      <c r="BT147" t="n">
        <v>5.348</v>
      </c>
      <c r="BV147" t="n">
        <v>1</v>
      </c>
      <c r="BW147" t="n">
        <v>4.74</v>
      </c>
      <c r="BX147" t="n">
        <v>5.647</v>
      </c>
      <c r="BY147" t="n">
        <v>5.194</v>
      </c>
      <c r="BZ147" t="n">
        <v>0.2</v>
      </c>
      <c r="CA147" t="n">
        <v>10.789</v>
      </c>
      <c r="CB147" t="n">
        <v>0.415</v>
      </c>
      <c r="CC147" t="n">
        <v>40</v>
      </c>
      <c r="CD147" t="n">
        <v>7</v>
      </c>
      <c r="CE147" t="n">
        <v>41</v>
      </c>
      <c r="CF147" t="n">
        <v>11</v>
      </c>
      <c r="CG147" t="n">
        <v>3</v>
      </c>
      <c r="CH147" t="n">
        <v>15</v>
      </c>
      <c r="CI147" t="n">
        <v>18.681</v>
      </c>
      <c r="CJ147" t="n">
        <v>10.052</v>
      </c>
      <c r="CK147" t="n">
        <v>48</v>
      </c>
      <c r="CL147" t="n">
        <v>112</v>
      </c>
      <c r="CM147" t="n">
        <v>38</v>
      </c>
      <c r="CN147" t="n">
        <v>25</v>
      </c>
      <c r="CO147" t="n">
        <v>17</v>
      </c>
      <c r="CP147" t="n">
        <v>29</v>
      </c>
      <c r="CQ147" t="n">
        <v>3</v>
      </c>
      <c r="CR147" t="n">
        <v>128</v>
      </c>
      <c r="CS147" t="n">
        <v>13</v>
      </c>
      <c r="CT147" t="n">
        <v>0.4</v>
      </c>
      <c r="CU147" t="n">
        <v>1</v>
      </c>
      <c r="CW147" t="n">
        <v>31.69</v>
      </c>
      <c r="CX147" t="n">
        <v>1.219</v>
      </c>
      <c r="CY147" t="n">
        <v>0</v>
      </c>
      <c r="DB147" t="n">
        <v>0</v>
      </c>
      <c r="DE147" t="n">
        <v>7.19</v>
      </c>
      <c r="DF147" t="n">
        <v>2</v>
      </c>
      <c r="DG147" t="n">
        <v>0</v>
      </c>
      <c r="DH147" t="n">
        <v>23</v>
      </c>
      <c r="DI147" t="n">
        <v>38</v>
      </c>
      <c r="DJ147" t="n">
        <v>1</v>
      </c>
      <c r="DL147" t="n">
        <v>39</v>
      </c>
      <c r="DM147" t="n">
        <v>25</v>
      </c>
      <c r="DN147" t="n">
        <v>12</v>
      </c>
      <c r="DO147" t="n">
        <v>1.7</v>
      </c>
      <c r="DP147" t="n">
        <v>87.73</v>
      </c>
      <c r="DQ147" t="n">
        <v>44.85</v>
      </c>
      <c r="DR147" t="n">
        <v>89.7</v>
      </c>
      <c r="DS147" t="n">
        <v>-1.97</v>
      </c>
      <c r="DT147" t="n">
        <v>1653</v>
      </c>
      <c r="DU147" t="n">
        <v>43.5</v>
      </c>
      <c r="DV147" t="inlineStr">
        <is>
          <t>fade (losing his place)</t>
        </is>
      </c>
      <c r="DW147" t="n">
        <v>75.12</v>
      </c>
      <c r="DX147" t="n">
        <v>78.55</v>
      </c>
      <c r="DY147" t="n">
        <v>24.95</v>
      </c>
      <c r="DZ147" t="n">
        <v>24.5</v>
      </c>
      <c r="EA147" t="n">
        <v>120</v>
      </c>
      <c r="EB147" t="n">
        <v>65</v>
      </c>
      <c r="EC147" t="n">
        <v>31.2</v>
      </c>
      <c r="ED147" t="n">
        <v>8.5</v>
      </c>
      <c r="EE147" t="n">
        <v>86</v>
      </c>
      <c r="EF147" t="n">
        <v>44.1</v>
      </c>
      <c r="EG147" t="n">
        <v>16.8</v>
      </c>
      <c r="EH147" t="n">
        <v>57</v>
      </c>
      <c r="EI147" t="n">
        <v>418.1</v>
      </c>
      <c r="EJ147" t="n">
        <v>450.4</v>
      </c>
      <c r="EK147" t="n">
        <v>216.8</v>
      </c>
      <c r="EL147" t="n">
        <v>25.7</v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n">
        <v>5.5</v>
      </c>
      <c r="F148" t="b">
        <v>1</v>
      </c>
      <c r="G148" t="b">
        <v>1</v>
      </c>
      <c r="H148" t="n">
        <v>33.9</v>
      </c>
      <c r="I148" t="inlineStr">
        <is>
          <t>a</t>
        </is>
      </c>
      <c r="L148" t="inlineStr">
        <is>
          <t>p116535</t>
        </is>
      </c>
      <c r="M148" t="n">
        <v>350</v>
      </c>
      <c r="Q148" t="n">
        <v>2340</v>
      </c>
      <c r="R148" t="n">
        <v>26</v>
      </c>
      <c r="S148" t="n">
        <v>26</v>
      </c>
      <c r="T148" t="n">
        <v>26</v>
      </c>
      <c r="U148" t="n">
        <v>90</v>
      </c>
      <c r="V148" t="n">
        <v>91</v>
      </c>
      <c r="W148" t="n">
        <v>3.5</v>
      </c>
      <c r="X148" t="n">
        <v>0</v>
      </c>
      <c r="Y148" t="n">
        <v>0</v>
      </c>
      <c r="AA148" t="n">
        <v>8</v>
      </c>
      <c r="AB148" t="n">
        <v>31</v>
      </c>
      <c r="AC148" t="n">
        <v>8</v>
      </c>
      <c r="AD148" t="n">
        <v>8</v>
      </c>
      <c r="AE148" t="n">
        <v>0</v>
      </c>
      <c r="AF148" t="n">
        <v>389</v>
      </c>
      <c r="AG148" t="n">
        <v>380</v>
      </c>
      <c r="AH148" t="n">
        <v>-9</v>
      </c>
      <c r="AI148" t="n">
        <v>91</v>
      </c>
      <c r="AJ148" t="n">
        <v>0.08799999999999999</v>
      </c>
      <c r="AK148" t="n">
        <v>0.096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0.6840000000000001</v>
      </c>
      <c r="AT148" t="n">
        <v>1</v>
      </c>
      <c r="AU148" t="n">
        <v>14</v>
      </c>
      <c r="AV148" t="n">
        <v>1</v>
      </c>
      <c r="AW148" t="n">
        <v>2.75</v>
      </c>
      <c r="AX148" t="n">
        <v>10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H148" t="n">
        <v>1</v>
      </c>
      <c r="BI148" t="n">
        <v>0</v>
      </c>
      <c r="BJ148" t="n">
        <v>0</v>
      </c>
      <c r="BK148" t="n">
        <v>0</v>
      </c>
      <c r="BL148" t="n">
        <v>0</v>
      </c>
      <c r="BO148" t="n">
        <v>0</v>
      </c>
      <c r="BW148" t="n">
        <v>0.03</v>
      </c>
      <c r="BX148" t="n">
        <v>0</v>
      </c>
      <c r="BY148" t="n">
        <v>0.015</v>
      </c>
      <c r="BZ148" t="n">
        <v>0.001</v>
      </c>
      <c r="CA148" t="n">
        <v>0.015</v>
      </c>
      <c r="CB148" t="n">
        <v>0.001</v>
      </c>
      <c r="CC148" t="n">
        <v>0</v>
      </c>
      <c r="CI148" t="n">
        <v>4.578</v>
      </c>
      <c r="CJ148" t="n">
        <v>4.578</v>
      </c>
      <c r="CK148" t="n">
        <v>37</v>
      </c>
      <c r="CL148" t="n">
        <v>229</v>
      </c>
      <c r="CM148" t="n">
        <v>0</v>
      </c>
      <c r="CP148" t="n">
        <v>37</v>
      </c>
      <c r="CR148" t="n">
        <v>11</v>
      </c>
      <c r="CS148" t="n">
        <v>6</v>
      </c>
      <c r="CV148" t="n">
        <v>3</v>
      </c>
      <c r="CW148" t="n">
        <v>29.58</v>
      </c>
      <c r="CX148" t="n">
        <v>1.138</v>
      </c>
      <c r="CY148" t="n">
        <v>57</v>
      </c>
      <c r="CZ148" t="n">
        <v>64.8</v>
      </c>
      <c r="DA148" t="n">
        <v>-2.7</v>
      </c>
      <c r="DB148" t="n">
        <v>0</v>
      </c>
      <c r="DC148" t="n">
        <v>19</v>
      </c>
      <c r="DD148" t="n">
        <v>21</v>
      </c>
      <c r="DE148" t="n">
        <v>6.82</v>
      </c>
      <c r="DF148" t="n">
        <v>1</v>
      </c>
      <c r="DG148" t="n">
        <v>0</v>
      </c>
      <c r="DH148" t="n">
        <v>1</v>
      </c>
      <c r="DI148" t="n">
        <v>7</v>
      </c>
      <c r="DK148" t="n">
        <v>1</v>
      </c>
      <c r="DO148" t="n">
        <v>4</v>
      </c>
      <c r="DP148" t="n">
        <v>136.72</v>
      </c>
      <c r="DQ148" t="n">
        <v>68.36</v>
      </c>
      <c r="DR148" t="n">
        <v>136.72</v>
      </c>
      <c r="DS148" t="n">
        <v>0</v>
      </c>
      <c r="DT148" t="n">
        <v>3385</v>
      </c>
      <c r="DU148" t="n">
        <v>89.09</v>
      </c>
      <c r="DV148" t="inlineStr">
        <is>
          <t>flat</t>
        </is>
      </c>
      <c r="DW148" t="n">
        <v>59.4</v>
      </c>
      <c r="DX148" t="n">
        <v>68.33</v>
      </c>
      <c r="DY148" t="n">
        <v>22.28</v>
      </c>
      <c r="DZ148" t="n">
        <v>6.67</v>
      </c>
      <c r="EA148" t="n">
        <v>114.67</v>
      </c>
      <c r="EB148" t="n">
        <v>180</v>
      </c>
      <c r="EC148" t="n">
        <v>86.5</v>
      </c>
      <c r="ED148" t="n">
        <v>15.5</v>
      </c>
      <c r="EE148" t="n">
        <v>139</v>
      </c>
      <c r="EJ148" t="n">
        <v>156000</v>
      </c>
      <c r="EK148" t="n">
        <v>156000</v>
      </c>
      <c r="EL148" t="n">
        <v>25.7</v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n">
        <v>4.5</v>
      </c>
      <c r="F149" t="b">
        <v>1</v>
      </c>
      <c r="G149" t="b">
        <v>1</v>
      </c>
      <c r="H149" t="n">
        <v>29.9</v>
      </c>
      <c r="I149" t="inlineStr">
        <is>
          <t>a</t>
        </is>
      </c>
      <c r="L149" t="inlineStr">
        <is>
          <t>p184254</t>
        </is>
      </c>
      <c r="M149" t="n">
        <v>494</v>
      </c>
      <c r="Q149" t="n">
        <v>2790</v>
      </c>
      <c r="R149" t="n">
        <v>31</v>
      </c>
      <c r="S149" t="n">
        <v>31</v>
      </c>
      <c r="T149" t="n">
        <v>31</v>
      </c>
      <c r="U149" t="n">
        <v>90</v>
      </c>
      <c r="V149" t="n">
        <v>90</v>
      </c>
      <c r="W149" t="n">
        <v>2.903</v>
      </c>
      <c r="X149" t="n">
        <v>0</v>
      </c>
      <c r="Y149" t="n">
        <v>0</v>
      </c>
      <c r="AA149" t="n">
        <v>7</v>
      </c>
      <c r="AB149" t="n">
        <v>50</v>
      </c>
      <c r="AC149" t="n">
        <v>6</v>
      </c>
      <c r="AD149" t="n">
        <v>7</v>
      </c>
      <c r="AE149" t="n">
        <v>1</v>
      </c>
      <c r="AF149" t="n">
        <v>412</v>
      </c>
      <c r="AG149" t="n">
        <v>404</v>
      </c>
      <c r="AH149" t="n">
        <v>-8</v>
      </c>
      <c r="AI149" t="n">
        <v>91</v>
      </c>
      <c r="AJ149" t="n">
        <v>0.067</v>
      </c>
      <c r="AK149" t="n">
        <v>0.07099999999999999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0.8159999999999999</v>
      </c>
      <c r="AT149" t="n">
        <v>1</v>
      </c>
      <c r="AU149" t="n">
        <v>19</v>
      </c>
      <c r="AV149" t="n">
        <v>0</v>
      </c>
      <c r="AW149" t="n">
        <v>2.58</v>
      </c>
      <c r="AX149" t="n">
        <v>9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H149" t="n">
        <v>1</v>
      </c>
      <c r="BI149" t="n">
        <v>0</v>
      </c>
      <c r="BJ149" t="n">
        <v>0</v>
      </c>
      <c r="BK149" t="n">
        <v>0</v>
      </c>
      <c r="BL149" t="n">
        <v>0</v>
      </c>
      <c r="BO149" t="n">
        <v>0</v>
      </c>
      <c r="BW149" t="n">
        <v>0.04</v>
      </c>
      <c r="BX149" t="n">
        <v>0.07199999999999999</v>
      </c>
      <c r="BY149" t="n">
        <v>0.056</v>
      </c>
      <c r="BZ149" t="n">
        <v>0.002</v>
      </c>
      <c r="CA149" t="n">
        <v>0.056</v>
      </c>
      <c r="CB149" t="n">
        <v>0.002</v>
      </c>
      <c r="CC149" t="n">
        <v>1</v>
      </c>
      <c r="CE149" t="n">
        <v>1</v>
      </c>
      <c r="CI149" t="n">
        <v>3.511</v>
      </c>
      <c r="CJ149" t="n">
        <v>3.439</v>
      </c>
      <c r="CK149" t="n">
        <v>35</v>
      </c>
      <c r="CL149" t="n">
        <v>247</v>
      </c>
      <c r="CM149" t="n">
        <v>1</v>
      </c>
      <c r="CN149" t="n">
        <v>1</v>
      </c>
      <c r="CP149" t="n">
        <v>37</v>
      </c>
      <c r="CR149" t="n">
        <v>16</v>
      </c>
      <c r="CS149" t="n">
        <v>12</v>
      </c>
      <c r="CU149" t="n">
        <v>2</v>
      </c>
      <c r="CV149" t="n">
        <v>1</v>
      </c>
      <c r="CW149" t="n">
        <v>46.21</v>
      </c>
      <c r="CX149" t="n">
        <v>1.491</v>
      </c>
      <c r="CY149" t="n">
        <v>83</v>
      </c>
      <c r="CZ149" t="n">
        <v>62.4</v>
      </c>
      <c r="DA149" t="n">
        <v>-5.2</v>
      </c>
      <c r="DB149" t="n">
        <v>0</v>
      </c>
      <c r="DC149" t="n">
        <v>22</v>
      </c>
      <c r="DD149" t="n">
        <v>19</v>
      </c>
      <c r="DE149" t="n">
        <v>6.68</v>
      </c>
      <c r="DF149" t="n">
        <v>1</v>
      </c>
      <c r="DG149" t="n">
        <v>0</v>
      </c>
      <c r="DI149" t="n">
        <v>3</v>
      </c>
      <c r="DO149" t="n">
        <v>1.4</v>
      </c>
      <c r="DP149" t="n">
        <v>0.38</v>
      </c>
      <c r="DQ149" t="n">
        <v>0.19</v>
      </c>
      <c r="DR149" t="n">
        <v>0.38</v>
      </c>
      <c r="DS149" t="n">
        <v>0</v>
      </c>
      <c r="DT149" t="n">
        <v>0</v>
      </c>
      <c r="DU149" t="n">
        <v>0.01</v>
      </c>
      <c r="DV149" t="inlineStr">
        <is>
          <t>flat</t>
        </is>
      </c>
      <c r="DW149" t="n">
        <v>108.43</v>
      </c>
      <c r="DX149" t="n">
        <v>103.4</v>
      </c>
      <c r="DY149" t="n">
        <v>17.89</v>
      </c>
      <c r="DZ149" t="n">
        <v>42.67</v>
      </c>
      <c r="EA149" t="n">
        <v>120</v>
      </c>
      <c r="EB149" t="n">
        <v>50</v>
      </c>
      <c r="EC149" t="n">
        <v>24</v>
      </c>
      <c r="ED149" t="n">
        <v>2</v>
      </c>
      <c r="EE149" t="n">
        <v>408</v>
      </c>
      <c r="EH149" t="n">
        <v>2790</v>
      </c>
      <c r="EJ149" t="n">
        <v>49881.5</v>
      </c>
      <c r="EK149" t="n">
        <v>49881.5</v>
      </c>
      <c r="EL149" t="n">
        <v>31</v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n">
        <v>5</v>
      </c>
      <c r="F150" t="b">
        <v>1</v>
      </c>
      <c r="G150" t="b">
        <v>1</v>
      </c>
      <c r="H150" t="n">
        <v>33.5</v>
      </c>
      <c r="I150" t="inlineStr">
        <is>
          <t>a</t>
        </is>
      </c>
      <c r="L150" t="inlineStr">
        <is>
          <t>p95658</t>
        </is>
      </c>
      <c r="M150" t="n">
        <v>418</v>
      </c>
      <c r="Q150" t="n">
        <v>1649</v>
      </c>
      <c r="R150" t="n">
        <v>23</v>
      </c>
      <c r="S150" t="n">
        <v>19</v>
      </c>
      <c r="T150" t="n">
        <v>18.322</v>
      </c>
      <c r="U150" t="n">
        <v>71.7</v>
      </c>
      <c r="V150" t="n">
        <v>90</v>
      </c>
      <c r="W150" t="n">
        <v>4.912</v>
      </c>
      <c r="X150" t="n">
        <v>1</v>
      </c>
      <c r="Y150" t="n">
        <v>2</v>
      </c>
      <c r="Z150" t="n">
        <v>2</v>
      </c>
      <c r="AA150" t="n">
        <v>7</v>
      </c>
      <c r="AB150" t="n">
        <v>20</v>
      </c>
      <c r="AC150" t="n">
        <v>5</v>
      </c>
      <c r="AD150" t="n">
        <v>4</v>
      </c>
      <c r="AE150" t="n">
        <v>-1</v>
      </c>
      <c r="AF150" t="n">
        <v>315</v>
      </c>
      <c r="AG150" t="n">
        <v>292</v>
      </c>
      <c r="AH150" t="n">
        <v>-23</v>
      </c>
      <c r="AI150" t="n">
        <v>89</v>
      </c>
      <c r="AJ150" t="n">
        <v>0.056</v>
      </c>
      <c r="AK150" t="n">
        <v>0.059</v>
      </c>
      <c r="AL150" t="n">
        <v>151</v>
      </c>
      <c r="AM150" t="n">
        <v>8.241</v>
      </c>
      <c r="AN150" t="n">
        <v>8</v>
      </c>
      <c r="AO150" t="n">
        <v>16</v>
      </c>
      <c r="AP150" t="n">
        <v>0.421</v>
      </c>
      <c r="AQ150" t="n">
        <v>0.421</v>
      </c>
      <c r="AR150" t="n">
        <v>0.105</v>
      </c>
      <c r="AS150" t="n">
        <v>0.5</v>
      </c>
      <c r="AT150" t="n">
        <v>0.826</v>
      </c>
      <c r="AU150" t="n">
        <v>12</v>
      </c>
      <c r="AV150" t="n">
        <v>3</v>
      </c>
      <c r="AW150" t="n">
        <v>3.32</v>
      </c>
      <c r="AX150" t="n">
        <v>11</v>
      </c>
      <c r="AY150" t="n">
        <v>1.12</v>
      </c>
      <c r="AZ150" t="n">
        <v>1.177</v>
      </c>
      <c r="BA150" t="n">
        <v>1.148</v>
      </c>
      <c r="BB150" t="n">
        <v>1.177</v>
      </c>
      <c r="BC150" t="n">
        <v>0.061</v>
      </c>
      <c r="BD150" t="n">
        <v>0.064</v>
      </c>
      <c r="BE150" t="n">
        <v>0.063</v>
      </c>
      <c r="BF150" t="n">
        <v>1</v>
      </c>
      <c r="BG150" t="n">
        <v>0.055</v>
      </c>
      <c r="BH150" t="n">
        <v>0.885</v>
      </c>
      <c r="BI150" t="n">
        <v>5.22</v>
      </c>
      <c r="BJ150" t="n">
        <v>0.991</v>
      </c>
      <c r="BK150" t="n">
        <v>0.054</v>
      </c>
      <c r="BL150" t="n">
        <v>-0.148</v>
      </c>
      <c r="BM150" t="n">
        <v>-0.12</v>
      </c>
      <c r="BN150" t="n">
        <v>0</v>
      </c>
      <c r="BO150" t="n">
        <v>-0.057</v>
      </c>
      <c r="BP150" t="n">
        <v>14</v>
      </c>
      <c r="BQ150" t="n">
        <v>4</v>
      </c>
      <c r="BR150" t="n">
        <v>1</v>
      </c>
      <c r="BS150" t="n">
        <v>27</v>
      </c>
      <c r="BT150" t="n">
        <v>1.474</v>
      </c>
      <c r="BV150" t="n">
        <v>1</v>
      </c>
      <c r="BW150" t="n">
        <v>0.5</v>
      </c>
      <c r="BX150" t="n">
        <v>0.725</v>
      </c>
      <c r="BY150" t="n">
        <v>0.613</v>
      </c>
      <c r="BZ150" t="n">
        <v>0.033</v>
      </c>
      <c r="CA150" t="n">
        <v>1.761</v>
      </c>
      <c r="CB150" t="n">
        <v>0.096</v>
      </c>
      <c r="CC150" t="n">
        <v>4</v>
      </c>
      <c r="CD150" t="n">
        <v>2</v>
      </c>
      <c r="CE150" t="n">
        <v>4</v>
      </c>
      <c r="CF150" t="n">
        <v>1</v>
      </c>
      <c r="CI150" t="n">
        <v>5.069</v>
      </c>
      <c r="CJ150" t="n">
        <v>5.069</v>
      </c>
      <c r="CK150" t="n">
        <v>129</v>
      </c>
      <c r="CL150" t="n">
        <v>62</v>
      </c>
      <c r="CM150" t="n">
        <v>22</v>
      </c>
      <c r="CN150" t="n">
        <v>17</v>
      </c>
      <c r="CO150" t="n">
        <v>13</v>
      </c>
      <c r="CP150" t="n">
        <v>105</v>
      </c>
      <c r="CQ150" t="n">
        <v>11</v>
      </c>
      <c r="CR150" t="n">
        <v>98</v>
      </c>
      <c r="CS150" t="n">
        <v>59</v>
      </c>
      <c r="CT150" t="n">
        <v>0.1</v>
      </c>
      <c r="CU150" t="n">
        <v>1</v>
      </c>
      <c r="CV150" t="n">
        <v>1</v>
      </c>
      <c r="CW150" t="n">
        <v>22.95</v>
      </c>
      <c r="CX150" t="n">
        <v>1.253</v>
      </c>
      <c r="CY150" t="n">
        <v>0</v>
      </c>
      <c r="DB150" t="n">
        <v>0</v>
      </c>
      <c r="DE150" t="n">
        <v>7.05</v>
      </c>
      <c r="DF150" t="n">
        <v>3</v>
      </c>
      <c r="DG150" t="n">
        <v>1</v>
      </c>
      <c r="DH150" t="n">
        <v>16</v>
      </c>
      <c r="DI150" t="n">
        <v>16</v>
      </c>
      <c r="DK150" t="n">
        <v>2</v>
      </c>
      <c r="DL150" t="n">
        <v>1</v>
      </c>
      <c r="DM150" t="n">
        <v>2</v>
      </c>
      <c r="DO150" t="n">
        <v>9.9</v>
      </c>
      <c r="DP150" t="n">
        <v>95.09999999999999</v>
      </c>
      <c r="DQ150" t="n">
        <v>49.44</v>
      </c>
      <c r="DR150" t="n">
        <v>98.88</v>
      </c>
      <c r="DS150" t="n">
        <v>-3.78</v>
      </c>
      <c r="DT150" t="n">
        <v>1972</v>
      </c>
      <c r="DU150" t="n">
        <v>51.9</v>
      </c>
      <c r="DV150" t="inlineStr">
        <is>
          <t>flat</t>
        </is>
      </c>
      <c r="DW150" t="n">
        <v>83.54000000000001</v>
      </c>
      <c r="DX150" t="n">
        <v>88.95</v>
      </c>
      <c r="DY150" t="n">
        <v>20.98</v>
      </c>
      <c r="DZ150" t="n">
        <v>9.33</v>
      </c>
      <c r="EA150" t="n">
        <v>120</v>
      </c>
      <c r="EB150" t="n">
        <v>146</v>
      </c>
      <c r="EC150" t="n">
        <v>70.2</v>
      </c>
      <c r="ED150" t="n">
        <v>3.9</v>
      </c>
      <c r="EE150" t="n">
        <v>252</v>
      </c>
      <c r="EF150" t="n">
        <v>117.8</v>
      </c>
      <c r="EG150" t="n">
        <v>61.1</v>
      </c>
      <c r="EH150" t="n">
        <v>412.2</v>
      </c>
      <c r="EI150" t="n">
        <v>1436</v>
      </c>
      <c r="EJ150" t="n">
        <v>2692</v>
      </c>
      <c r="EK150" t="n">
        <v>936.5</v>
      </c>
      <c r="EL150" t="n">
        <v>18.3</v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n">
        <v>5</v>
      </c>
      <c r="F151" t="b">
        <v>1</v>
      </c>
      <c r="G151" t="b">
        <v>1</v>
      </c>
      <c r="H151" t="n">
        <v>26.6</v>
      </c>
      <c r="I151" t="inlineStr">
        <is>
          <t>a</t>
        </is>
      </c>
      <c r="L151" t="inlineStr">
        <is>
          <t>p220237</t>
        </is>
      </c>
      <c r="M151" t="n">
        <v>447</v>
      </c>
      <c r="Q151" t="n">
        <v>1834</v>
      </c>
      <c r="R151" t="n">
        <v>25</v>
      </c>
      <c r="S151" t="n">
        <v>21</v>
      </c>
      <c r="T151" t="n">
        <v>20.378</v>
      </c>
      <c r="U151" t="n">
        <v>73.40000000000001</v>
      </c>
      <c r="V151" t="n">
        <v>89</v>
      </c>
      <c r="W151" t="n">
        <v>4.368</v>
      </c>
      <c r="X151" t="n">
        <v>1</v>
      </c>
      <c r="Y151" t="n">
        <v>1</v>
      </c>
      <c r="Z151" t="n">
        <v>1</v>
      </c>
      <c r="AA151" t="n">
        <v>5</v>
      </c>
      <c r="AB151" t="n">
        <v>27</v>
      </c>
      <c r="AC151" t="n">
        <v>6</v>
      </c>
      <c r="AD151" t="n">
        <v>6</v>
      </c>
      <c r="AE151" t="n">
        <v>0</v>
      </c>
      <c r="AF151" t="n">
        <v>332</v>
      </c>
      <c r="AG151" t="n">
        <v>299</v>
      </c>
      <c r="AH151" t="n">
        <v>-33</v>
      </c>
      <c r="AI151" t="n">
        <v>89</v>
      </c>
      <c r="AJ151" t="n">
        <v>0.067</v>
      </c>
      <c r="AK151" t="n">
        <v>0.07199999999999999</v>
      </c>
      <c r="AL151" t="n">
        <v>216</v>
      </c>
      <c r="AM151" t="n">
        <v>10.6</v>
      </c>
      <c r="AN151" t="n">
        <v>11</v>
      </c>
      <c r="AO151" t="n">
        <v>22</v>
      </c>
      <c r="AP151" t="n">
        <v>0.524</v>
      </c>
      <c r="AQ151" t="n">
        <v>0.524</v>
      </c>
      <c r="AR151" t="n">
        <v>0.381</v>
      </c>
      <c r="AS151" t="n">
        <v>0.553</v>
      </c>
      <c r="AT151" t="n">
        <v>0.8</v>
      </c>
      <c r="AU151" t="n">
        <v>9</v>
      </c>
      <c r="AV151" t="n">
        <v>1</v>
      </c>
      <c r="AW151" t="n">
        <v>2.71</v>
      </c>
      <c r="AX151" t="n">
        <v>10</v>
      </c>
      <c r="AY151" t="n">
        <v>1.73</v>
      </c>
      <c r="AZ151" t="n">
        <v>1.551</v>
      </c>
      <c r="BA151" t="n">
        <v>1.641</v>
      </c>
      <c r="BB151" t="n">
        <v>1.551</v>
      </c>
      <c r="BC151" t="n">
        <v>0.08500000000000001</v>
      </c>
      <c r="BD151" t="n">
        <v>0.076</v>
      </c>
      <c r="BE151" t="n">
        <v>0.081</v>
      </c>
      <c r="BF151" t="n">
        <v>1</v>
      </c>
      <c r="BG151" t="n">
        <v>0.049</v>
      </c>
      <c r="BH151" t="n">
        <v>0.9350000000000001</v>
      </c>
      <c r="BI151" t="n">
        <v>5.69</v>
      </c>
      <c r="BJ151" t="n">
        <v>1.618</v>
      </c>
      <c r="BK151" t="n">
        <v>0.079</v>
      </c>
      <c r="BL151" t="n">
        <v>-0.641</v>
      </c>
      <c r="BM151" t="n">
        <v>-0.73</v>
      </c>
      <c r="BN151" t="n">
        <v>0</v>
      </c>
      <c r="BO151" t="n">
        <v>0.179</v>
      </c>
      <c r="BP151" t="n">
        <v>15</v>
      </c>
      <c r="BQ151" t="n">
        <v>4</v>
      </c>
      <c r="BR151" t="n">
        <v>1</v>
      </c>
      <c r="BS151" t="n">
        <v>42</v>
      </c>
      <c r="BT151" t="n">
        <v>2.061</v>
      </c>
      <c r="BV151" t="n">
        <v>1</v>
      </c>
      <c r="BW151" t="n">
        <v>0.86</v>
      </c>
      <c r="BX151" t="n">
        <v>1.483</v>
      </c>
      <c r="BY151" t="n">
        <v>1.172</v>
      </c>
      <c r="BZ151" t="n">
        <v>0.057</v>
      </c>
      <c r="CA151" t="n">
        <v>2.812</v>
      </c>
      <c r="CB151" t="n">
        <v>0.138</v>
      </c>
      <c r="CC151" t="n">
        <v>6</v>
      </c>
      <c r="CD151" t="n">
        <v>3</v>
      </c>
      <c r="CE151" t="n">
        <v>8</v>
      </c>
      <c r="CH151" t="n">
        <v>0</v>
      </c>
      <c r="CI151" t="n">
        <v>6.021</v>
      </c>
      <c r="CJ151" t="n">
        <v>5.722</v>
      </c>
      <c r="CK151" t="n">
        <v>195</v>
      </c>
      <c r="CL151" t="n">
        <v>89</v>
      </c>
      <c r="CM151" t="n">
        <v>21</v>
      </c>
      <c r="CN151" t="n">
        <v>14</v>
      </c>
      <c r="CO151" t="n">
        <v>27</v>
      </c>
      <c r="CP151" t="n">
        <v>141</v>
      </c>
      <c r="CQ151" t="n">
        <v>26</v>
      </c>
      <c r="CR151" t="n">
        <v>131</v>
      </c>
      <c r="CS151" t="n">
        <v>87</v>
      </c>
      <c r="CT151" t="n">
        <v>0</v>
      </c>
      <c r="CV151" t="n">
        <v>4</v>
      </c>
      <c r="CW151" t="n">
        <v>27.58</v>
      </c>
      <c r="CX151" t="n">
        <v>1.353</v>
      </c>
      <c r="CY151" t="n">
        <v>0</v>
      </c>
      <c r="DB151" t="n">
        <v>0</v>
      </c>
      <c r="DE151" t="n">
        <v>7</v>
      </c>
      <c r="DF151" t="n">
        <v>2</v>
      </c>
      <c r="DG151" t="n">
        <v>0</v>
      </c>
      <c r="DH151" t="n">
        <v>13</v>
      </c>
      <c r="DI151" t="n">
        <v>19</v>
      </c>
      <c r="DK151" t="n">
        <v>1</v>
      </c>
      <c r="DL151" t="n">
        <v>4</v>
      </c>
      <c r="DM151" t="n">
        <v>5</v>
      </c>
      <c r="DN151" t="n">
        <v>1</v>
      </c>
      <c r="DO151" t="n">
        <v>0.4</v>
      </c>
      <c r="DP151" t="n">
        <v>111.56</v>
      </c>
      <c r="DQ151" t="n">
        <v>55.78</v>
      </c>
      <c r="DR151" t="n">
        <v>111.56</v>
      </c>
      <c r="DS151" t="n">
        <v>0</v>
      </c>
      <c r="DT151" t="n">
        <v>2440</v>
      </c>
      <c r="DU151" t="n">
        <v>64.2</v>
      </c>
      <c r="DV151" t="inlineStr">
        <is>
          <t>flat</t>
        </is>
      </c>
      <c r="DW151" t="n">
        <v>102.32</v>
      </c>
      <c r="DX151" t="n">
        <v>117</v>
      </c>
      <c r="DY151" t="n">
        <v>12.05</v>
      </c>
      <c r="DZ151" t="n">
        <v>69</v>
      </c>
      <c r="EA151" t="n">
        <v>120</v>
      </c>
      <c r="EB151" t="n">
        <v>29</v>
      </c>
      <c r="EC151" t="n">
        <v>13.9</v>
      </c>
      <c r="ED151" t="n">
        <v>21.6</v>
      </c>
      <c r="EE151" t="n">
        <v>253</v>
      </c>
      <c r="EF151" t="n">
        <v>122.3</v>
      </c>
      <c r="EG151" t="n">
        <v>43.7</v>
      </c>
      <c r="EH151" t="n">
        <v>229.2</v>
      </c>
      <c r="EI151" t="n">
        <v>1117.9</v>
      </c>
      <c r="EJ151" t="n">
        <v>1565.4</v>
      </c>
      <c r="EK151" t="n">
        <v>652.2</v>
      </c>
      <c r="EL151" t="n">
        <v>20.6</v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n">
        <v>5</v>
      </c>
      <c r="F152" t="b">
        <v>1</v>
      </c>
      <c r="G152" t="b">
        <v>1</v>
      </c>
      <c r="H152" t="n">
        <v>28.7</v>
      </c>
      <c r="I152" t="inlineStr">
        <is>
          <t>a</t>
        </is>
      </c>
      <c r="L152" t="inlineStr">
        <is>
          <t>p210462</t>
        </is>
      </c>
      <c r="M152" t="n">
        <v>488</v>
      </c>
      <c r="Q152" t="n">
        <v>2073</v>
      </c>
      <c r="R152" t="n">
        <v>28</v>
      </c>
      <c r="S152" t="n">
        <v>25</v>
      </c>
      <c r="T152" t="n">
        <v>23.033</v>
      </c>
      <c r="U152" t="n">
        <v>74</v>
      </c>
      <c r="V152" t="n">
        <v>89</v>
      </c>
      <c r="W152" t="n">
        <v>3.864</v>
      </c>
      <c r="X152" t="n">
        <v>2</v>
      </c>
      <c r="Y152" t="n">
        <v>2</v>
      </c>
      <c r="Z152" t="n">
        <v>2</v>
      </c>
      <c r="AA152" t="n">
        <v>8</v>
      </c>
      <c r="AB152" t="n">
        <v>26</v>
      </c>
      <c r="AC152" t="n">
        <v>2</v>
      </c>
      <c r="AD152" t="n">
        <v>2</v>
      </c>
      <c r="AE152" t="n">
        <v>0</v>
      </c>
      <c r="AF152" t="n">
        <v>366</v>
      </c>
      <c r="AG152" t="n">
        <v>349</v>
      </c>
      <c r="AH152" t="n">
        <v>-17</v>
      </c>
      <c r="AI152" t="n">
        <v>89</v>
      </c>
      <c r="AJ152" t="n">
        <v>0.022</v>
      </c>
      <c r="AK152" t="n">
        <v>0.023</v>
      </c>
      <c r="AL152" t="n">
        <v>267</v>
      </c>
      <c r="AM152" t="n">
        <v>11.592</v>
      </c>
      <c r="AN152" t="n">
        <v>9</v>
      </c>
      <c r="AO152" t="n">
        <v>18</v>
      </c>
      <c r="AP152" t="n">
        <v>0.36</v>
      </c>
      <c r="AQ152" t="n">
        <v>0.48</v>
      </c>
      <c r="AR152" t="n">
        <v>0.36</v>
      </c>
      <c r="AS152" t="n">
        <v>0.658</v>
      </c>
      <c r="AT152" t="n">
        <v>0.786</v>
      </c>
      <c r="AU152" t="n">
        <v>13</v>
      </c>
      <c r="AV152" t="n">
        <v>1</v>
      </c>
      <c r="AW152" t="n">
        <v>3.08</v>
      </c>
      <c r="AX152" t="n">
        <v>18</v>
      </c>
      <c r="AY152" t="n">
        <v>1.16</v>
      </c>
      <c r="AZ152" t="n">
        <v>1.57</v>
      </c>
      <c r="BA152" t="n">
        <v>1.365</v>
      </c>
      <c r="BB152" t="n">
        <v>1.57</v>
      </c>
      <c r="BC152" t="n">
        <v>0.05</v>
      </c>
      <c r="BD152" t="n">
        <v>0.068</v>
      </c>
      <c r="BE152" t="n">
        <v>0.059</v>
      </c>
      <c r="BF152" t="n">
        <v>2</v>
      </c>
      <c r="BG152" t="n">
        <v>0.08699999999999999</v>
      </c>
      <c r="BH152" t="n">
        <v>1.015</v>
      </c>
      <c r="BI152" t="n">
        <v>1.85</v>
      </c>
      <c r="BJ152" t="n">
        <v>1.178</v>
      </c>
      <c r="BK152" t="n">
        <v>0.051</v>
      </c>
      <c r="BL152" t="n">
        <v>0.635</v>
      </c>
      <c r="BM152" t="n">
        <v>0.84</v>
      </c>
      <c r="BN152" t="n">
        <v>0</v>
      </c>
      <c r="BO152" t="n">
        <v>-0.41</v>
      </c>
      <c r="BP152" t="n">
        <v>16</v>
      </c>
      <c r="BQ152" t="n">
        <v>5</v>
      </c>
      <c r="BR152" t="n">
        <v>1</v>
      </c>
      <c r="BS152" t="n">
        <v>18</v>
      </c>
      <c r="BT152" t="n">
        <v>0.781</v>
      </c>
      <c r="BW152" t="n">
        <v>1.8</v>
      </c>
      <c r="BX152" t="n">
        <v>1.449</v>
      </c>
      <c r="BY152" t="n">
        <v>1.625</v>
      </c>
      <c r="BZ152" t="n">
        <v>0.07099999999999999</v>
      </c>
      <c r="CA152" t="n">
        <v>2.99</v>
      </c>
      <c r="CB152" t="n">
        <v>0.13</v>
      </c>
      <c r="CC152" t="n">
        <v>12</v>
      </c>
      <c r="CD152" t="n">
        <v>2</v>
      </c>
      <c r="CE152" t="n">
        <v>12</v>
      </c>
      <c r="CG152" t="n">
        <v>2</v>
      </c>
      <c r="CI152" t="n">
        <v>7.422</v>
      </c>
      <c r="CJ152" t="n">
        <v>5.289</v>
      </c>
      <c r="CK152" t="n">
        <v>95</v>
      </c>
      <c r="CL152" t="n">
        <v>114</v>
      </c>
      <c r="CM152" t="n">
        <v>58</v>
      </c>
      <c r="CN152" t="n">
        <v>30</v>
      </c>
      <c r="CO152" t="n">
        <v>25</v>
      </c>
      <c r="CP152" t="n">
        <v>50</v>
      </c>
      <c r="CQ152" t="n">
        <v>19</v>
      </c>
      <c r="CR152" t="n">
        <v>111</v>
      </c>
      <c r="CS152" t="n">
        <v>24</v>
      </c>
      <c r="CT152" t="n">
        <v>0.3</v>
      </c>
      <c r="CV152" t="n">
        <v>3</v>
      </c>
      <c r="CW152" t="n">
        <v>33.17</v>
      </c>
      <c r="CX152" t="n">
        <v>1.44</v>
      </c>
      <c r="CY152" t="n">
        <v>0</v>
      </c>
      <c r="DB152" t="n">
        <v>0</v>
      </c>
      <c r="DE152" t="n">
        <v>6.94</v>
      </c>
      <c r="DF152" t="n">
        <v>5</v>
      </c>
      <c r="DG152" t="n">
        <v>0</v>
      </c>
      <c r="DH152" t="n">
        <v>42</v>
      </c>
      <c r="DI152" t="n">
        <v>18</v>
      </c>
      <c r="DK152" t="n">
        <v>2</v>
      </c>
      <c r="DL152" t="n">
        <v>11</v>
      </c>
      <c r="DM152" t="n">
        <v>15</v>
      </c>
      <c r="DO152" t="n">
        <v>0.6</v>
      </c>
      <c r="DP152" t="n">
        <v>126.86</v>
      </c>
      <c r="DQ152" t="n">
        <v>63.43</v>
      </c>
      <c r="DR152" t="n">
        <v>126.86</v>
      </c>
      <c r="DS152" t="n">
        <v>0</v>
      </c>
      <c r="DT152" t="n">
        <v>2998</v>
      </c>
      <c r="DU152" t="n">
        <v>78.90000000000001</v>
      </c>
      <c r="DV152" t="inlineStr">
        <is>
          <t>flat</t>
        </is>
      </c>
      <c r="DW152" t="n">
        <v>84.04000000000001</v>
      </c>
      <c r="DX152" t="n">
        <v>104</v>
      </c>
      <c r="DY152" t="n">
        <v>20.21</v>
      </c>
      <c r="DZ152" t="n">
        <v>64</v>
      </c>
      <c r="EA152" t="n">
        <v>104</v>
      </c>
      <c r="EB152" t="n">
        <v>4</v>
      </c>
      <c r="EC152" t="n">
        <v>1.9</v>
      </c>
      <c r="ED152" t="n">
        <v>0</v>
      </c>
      <c r="EE152" t="n">
        <v>254</v>
      </c>
      <c r="EF152" t="n">
        <v>129.6</v>
      </c>
      <c r="EG152" t="n">
        <v>115.2</v>
      </c>
      <c r="EH152" t="n">
        <v>172.8</v>
      </c>
      <c r="EI152" t="n">
        <v>1518.5</v>
      </c>
      <c r="EJ152" t="n">
        <v>1276</v>
      </c>
      <c r="EK152" t="n">
        <v>693.4</v>
      </c>
      <c r="EL152" t="n">
        <v>23.3</v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n">
        <v>6</v>
      </c>
      <c r="F153" t="b">
        <v>1</v>
      </c>
      <c r="G153" t="b">
        <v>1</v>
      </c>
      <c r="H153" t="n">
        <v>25.8</v>
      </c>
      <c r="I153" t="inlineStr">
        <is>
          <t>a</t>
        </is>
      </c>
      <c r="K153" t="n">
        <v>100</v>
      </c>
      <c r="L153" t="inlineStr">
        <is>
          <t>p209046</t>
        </is>
      </c>
      <c r="M153" t="n">
        <v>482</v>
      </c>
      <c r="P153" t="n">
        <v>4</v>
      </c>
      <c r="Q153" t="n">
        <v>1838</v>
      </c>
      <c r="R153" t="n">
        <v>30</v>
      </c>
      <c r="S153" t="n">
        <v>21</v>
      </c>
      <c r="T153" t="n">
        <v>20.422</v>
      </c>
      <c r="U153" t="n">
        <v>61.3</v>
      </c>
      <c r="V153" t="n">
        <v>88</v>
      </c>
      <c r="W153" t="n">
        <v>4.309</v>
      </c>
      <c r="X153" t="n">
        <v>3</v>
      </c>
      <c r="Y153" t="n">
        <v>4</v>
      </c>
      <c r="Z153" t="n">
        <v>4</v>
      </c>
      <c r="AA153" t="n">
        <v>6</v>
      </c>
      <c r="AB153" t="n">
        <v>26</v>
      </c>
      <c r="AC153" t="n">
        <v>8</v>
      </c>
      <c r="AD153" t="n">
        <v>8</v>
      </c>
      <c r="AE153" t="n">
        <v>0</v>
      </c>
      <c r="AF153" t="n">
        <v>358</v>
      </c>
      <c r="AG153" t="n">
        <v>355</v>
      </c>
      <c r="AH153" t="n">
        <v>-3</v>
      </c>
      <c r="AI153" t="n">
        <v>88</v>
      </c>
      <c r="AJ153" t="n">
        <v>0.091</v>
      </c>
      <c r="AK153" t="n">
        <v>0.1</v>
      </c>
      <c r="AL153" t="n">
        <v>106</v>
      </c>
      <c r="AM153" t="n">
        <v>5.19</v>
      </c>
      <c r="AN153" t="n">
        <v>0</v>
      </c>
      <c r="AO153" t="n">
        <v>0</v>
      </c>
      <c r="AP153" t="n">
        <v>0</v>
      </c>
      <c r="AQ153" t="n">
        <v>0.048</v>
      </c>
      <c r="AR153" t="n">
        <v>0</v>
      </c>
      <c r="AS153" t="n">
        <v>0.553</v>
      </c>
      <c r="AT153" t="n">
        <v>0.5669999999999999</v>
      </c>
      <c r="AU153" t="n">
        <v>21</v>
      </c>
      <c r="AV153" t="n">
        <v>2</v>
      </c>
      <c r="AW153" t="n">
        <v>3.46</v>
      </c>
      <c r="AX153" t="n">
        <v>19</v>
      </c>
      <c r="AY153" t="n">
        <v>2.77</v>
      </c>
      <c r="AZ153" t="n">
        <v>2.952</v>
      </c>
      <c r="BA153" t="n">
        <v>2.861</v>
      </c>
      <c r="BB153" t="n">
        <v>2.952</v>
      </c>
      <c r="BC153" t="n">
        <v>0.136</v>
      </c>
      <c r="BD153" t="n">
        <v>0.145</v>
      </c>
      <c r="BE153" t="n">
        <v>0.14</v>
      </c>
      <c r="BF153" t="n">
        <v>2.7</v>
      </c>
      <c r="BG153" t="n">
        <v>0.132</v>
      </c>
      <c r="BH153" t="n">
        <v>1.167</v>
      </c>
      <c r="BI153" t="n">
        <v>7.94</v>
      </c>
      <c r="BJ153" t="n">
        <v>3.232</v>
      </c>
      <c r="BK153" t="n">
        <v>0.158</v>
      </c>
      <c r="BL153" t="n">
        <v>0.139</v>
      </c>
      <c r="BM153" t="n">
        <v>-0.07000000000000001</v>
      </c>
      <c r="BN153" t="n">
        <v>0.3</v>
      </c>
      <c r="BO153" t="n">
        <v>-0.182</v>
      </c>
      <c r="BP153" t="n">
        <v>30</v>
      </c>
      <c r="BQ153" t="n">
        <v>10</v>
      </c>
      <c r="BR153" t="n">
        <v>1</v>
      </c>
      <c r="BS153" t="n">
        <v>66</v>
      </c>
      <c r="BT153" t="n">
        <v>3.232</v>
      </c>
      <c r="BW153" t="n">
        <v>3.02</v>
      </c>
      <c r="BX153" t="n">
        <v>3.934</v>
      </c>
      <c r="BY153" t="n">
        <v>3.477</v>
      </c>
      <c r="BZ153" t="n">
        <v>0.17</v>
      </c>
      <c r="CA153" t="n">
        <v>6.338</v>
      </c>
      <c r="CB153" t="n">
        <v>0.31</v>
      </c>
      <c r="CC153" t="n">
        <v>44</v>
      </c>
      <c r="CD153" t="n">
        <v>5</v>
      </c>
      <c r="CE153" t="n">
        <v>44</v>
      </c>
      <c r="CF153" t="n">
        <v>13</v>
      </c>
      <c r="CH153" t="n">
        <v>7</v>
      </c>
      <c r="CI153" t="n">
        <v>11.128</v>
      </c>
      <c r="CJ153" t="n">
        <v>5.729</v>
      </c>
      <c r="CK153" t="n">
        <v>24</v>
      </c>
      <c r="CL153" t="n">
        <v>68</v>
      </c>
      <c r="CM153" t="n">
        <v>14</v>
      </c>
      <c r="CN153" t="n">
        <v>7</v>
      </c>
      <c r="CO153" t="n">
        <v>8</v>
      </c>
      <c r="CP153" t="n">
        <v>14</v>
      </c>
      <c r="CQ153" t="n">
        <v>2</v>
      </c>
      <c r="CR153" t="n">
        <v>59</v>
      </c>
      <c r="CS153" t="n">
        <v>3</v>
      </c>
      <c r="CT153" t="n">
        <v>0.4</v>
      </c>
      <c r="CV153" t="n">
        <v>1</v>
      </c>
      <c r="CW153" t="n">
        <v>30.88</v>
      </c>
      <c r="CX153" t="n">
        <v>1.512</v>
      </c>
      <c r="CY153" t="n">
        <v>0</v>
      </c>
      <c r="DB153" t="n">
        <v>0</v>
      </c>
      <c r="DE153" t="n">
        <v>6.85</v>
      </c>
      <c r="DF153" t="n">
        <v>0</v>
      </c>
      <c r="DG153" t="n">
        <v>0</v>
      </c>
      <c r="DH153" t="n">
        <v>12</v>
      </c>
      <c r="DI153" t="n">
        <v>12</v>
      </c>
      <c r="DL153" t="n">
        <v>30</v>
      </c>
      <c r="DM153" t="n">
        <v>22</v>
      </c>
      <c r="DN153" t="n">
        <v>3</v>
      </c>
      <c r="DO153" t="n">
        <v>0.1</v>
      </c>
      <c r="DP153" t="n">
        <v>50.18</v>
      </c>
      <c r="DQ153" t="n">
        <v>25.09</v>
      </c>
      <c r="DR153" t="n">
        <v>50.18</v>
      </c>
      <c r="DS153" t="n">
        <v>0</v>
      </c>
      <c r="DT153" t="n">
        <v>739</v>
      </c>
      <c r="DU153" t="n">
        <v>19.44</v>
      </c>
      <c r="DV153" t="inlineStr">
        <is>
          <t>flat</t>
        </is>
      </c>
      <c r="DW153" t="n">
        <v>90.56</v>
      </c>
      <c r="DX153" t="n">
        <v>99.33</v>
      </c>
      <c r="DY153" t="n">
        <v>18.48</v>
      </c>
      <c r="DZ153" t="n">
        <v>52</v>
      </c>
      <c r="EA153" t="n">
        <v>120</v>
      </c>
      <c r="EB153" t="n">
        <v>24</v>
      </c>
      <c r="EC153" t="n">
        <v>11.5</v>
      </c>
      <c r="ED153" t="n">
        <v>4</v>
      </c>
      <c r="EE153" t="n">
        <v>87</v>
      </c>
      <c r="EF153" t="n">
        <v>61.3</v>
      </c>
      <c r="EG153" t="n">
        <v>27.8</v>
      </c>
      <c r="EH153" t="n">
        <v>41.8</v>
      </c>
      <c r="EI153" t="n">
        <v>642.5</v>
      </c>
      <c r="EJ153" t="n">
        <v>528.6</v>
      </c>
      <c r="EK153" t="n">
        <v>290</v>
      </c>
      <c r="EL153" t="n">
        <v>20.9</v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n">
        <v>5.5</v>
      </c>
      <c r="F154" t="b">
        <v>1</v>
      </c>
      <c r="G154" t="b">
        <v>1</v>
      </c>
      <c r="H154" t="n">
        <v>24.3</v>
      </c>
      <c r="I154" t="inlineStr">
        <is>
          <t>a</t>
        </is>
      </c>
      <c r="L154" t="inlineStr">
        <is>
          <t>p463067</t>
        </is>
      </c>
      <c r="M154" t="n">
        <v>125</v>
      </c>
      <c r="Q154" t="n">
        <v>1776</v>
      </c>
      <c r="R154" t="n">
        <v>32</v>
      </c>
      <c r="S154" t="n">
        <v>20</v>
      </c>
      <c r="T154" t="n">
        <v>19.733</v>
      </c>
      <c r="U154" t="n">
        <v>55.5</v>
      </c>
      <c r="V154" t="n">
        <v>87</v>
      </c>
      <c r="W154" t="n">
        <v>4.409</v>
      </c>
      <c r="X154" t="n">
        <v>3</v>
      </c>
      <c r="Y154" t="n">
        <v>5</v>
      </c>
      <c r="Z154" t="n">
        <v>3</v>
      </c>
      <c r="AA154" t="n">
        <v>7</v>
      </c>
      <c r="AB154" t="n">
        <v>20</v>
      </c>
      <c r="AC154" t="n">
        <v>2</v>
      </c>
      <c r="AD154" t="n">
        <v>2</v>
      </c>
      <c r="AE154" t="n">
        <v>0</v>
      </c>
      <c r="AF154" t="n">
        <v>290</v>
      </c>
      <c r="AG154" t="n">
        <v>279</v>
      </c>
      <c r="AH154" t="n">
        <v>-11</v>
      </c>
      <c r="AI154" t="n">
        <v>87</v>
      </c>
      <c r="AJ154" t="n">
        <v>0.023</v>
      </c>
      <c r="AK154" t="n">
        <v>0.024</v>
      </c>
      <c r="AL154" t="n">
        <v>131</v>
      </c>
      <c r="AM154" t="n">
        <v>6.639</v>
      </c>
      <c r="AN154" t="n">
        <v>1</v>
      </c>
      <c r="AO154" t="n">
        <v>2</v>
      </c>
      <c r="AP154" t="n">
        <v>0.05</v>
      </c>
      <c r="AQ154" t="n">
        <v>0.05</v>
      </c>
      <c r="AR154" t="n">
        <v>0.05</v>
      </c>
      <c r="AS154" t="n">
        <v>0.526</v>
      </c>
      <c r="AT154" t="n">
        <v>0.5620000000000001</v>
      </c>
      <c r="AU154" t="n">
        <v>21</v>
      </c>
      <c r="AV154" t="n">
        <v>0</v>
      </c>
      <c r="AW154" t="n">
        <v>2.34</v>
      </c>
      <c r="AX154" t="n">
        <v>8</v>
      </c>
      <c r="AY154" t="n">
        <v>2.9</v>
      </c>
      <c r="AZ154" t="n">
        <v>2.933</v>
      </c>
      <c r="BA154" t="n">
        <v>2.917</v>
      </c>
      <c r="BB154" t="n">
        <v>2.933</v>
      </c>
      <c r="BC154" t="n">
        <v>0.147</v>
      </c>
      <c r="BD154" t="n">
        <v>0.149</v>
      </c>
      <c r="BE154" t="n">
        <v>0.148</v>
      </c>
      <c r="BF154" t="n">
        <v>3.3</v>
      </c>
      <c r="BG154" t="n">
        <v>0.167</v>
      </c>
      <c r="BH154" t="n">
        <v>0.97</v>
      </c>
      <c r="BI154" t="n">
        <v>7.88</v>
      </c>
      <c r="BJ154" t="n">
        <v>2.812</v>
      </c>
      <c r="BK154" t="n">
        <v>0.142</v>
      </c>
      <c r="BL154" t="n">
        <v>0.083</v>
      </c>
      <c r="BM154" t="n">
        <v>0.4</v>
      </c>
      <c r="BN154" t="n">
        <v>-0.3</v>
      </c>
      <c r="BO154" t="n">
        <v>-0.033</v>
      </c>
      <c r="BP154" t="n">
        <v>42</v>
      </c>
      <c r="BQ154" t="n">
        <v>14</v>
      </c>
      <c r="BR154" t="n">
        <v>3</v>
      </c>
      <c r="BS154" t="n">
        <v>100</v>
      </c>
      <c r="BT154" t="n">
        <v>5.068</v>
      </c>
      <c r="BW154" t="n">
        <v>2.9</v>
      </c>
      <c r="BX154" t="n">
        <v>4.599</v>
      </c>
      <c r="BY154" t="n">
        <v>3.749</v>
      </c>
      <c r="BZ154" t="n">
        <v>0.19</v>
      </c>
      <c r="CA154" t="n">
        <v>6.666</v>
      </c>
      <c r="CB154" t="n">
        <v>0.338</v>
      </c>
      <c r="CC154" t="n">
        <v>25</v>
      </c>
      <c r="CD154" t="n">
        <v>8</v>
      </c>
      <c r="CE154" t="n">
        <v>25</v>
      </c>
      <c r="CF154" t="n">
        <v>3</v>
      </c>
      <c r="CG154" t="n">
        <v>5</v>
      </c>
      <c r="CH154" t="n">
        <v>0</v>
      </c>
      <c r="CI154" t="n">
        <v>10.858</v>
      </c>
      <c r="CJ154" t="n">
        <v>4.214</v>
      </c>
      <c r="CK154" t="n">
        <v>38</v>
      </c>
      <c r="CL154" t="n">
        <v>61</v>
      </c>
      <c r="CM154" t="n">
        <v>32</v>
      </c>
      <c r="CN154" t="n">
        <v>20</v>
      </c>
      <c r="CO154" t="n">
        <v>11</v>
      </c>
      <c r="CP154" t="n">
        <v>26</v>
      </c>
      <c r="CQ154" t="n">
        <v>1</v>
      </c>
      <c r="CR154" t="n">
        <v>113</v>
      </c>
      <c r="CS154" t="n">
        <v>19</v>
      </c>
      <c r="CT154" t="n">
        <v>1</v>
      </c>
      <c r="CW154" t="n">
        <v>21.59</v>
      </c>
      <c r="CX154" t="n">
        <v>1.094</v>
      </c>
      <c r="CY154" t="n">
        <v>0</v>
      </c>
      <c r="DB154" t="n">
        <v>0</v>
      </c>
      <c r="DE154" t="n">
        <v>6.6</v>
      </c>
      <c r="DF154" t="n">
        <v>2</v>
      </c>
      <c r="DG154" t="n">
        <v>0</v>
      </c>
      <c r="DH154" t="n">
        <v>30</v>
      </c>
      <c r="DI154" t="n">
        <v>34</v>
      </c>
      <c r="DJ154" t="n">
        <v>1</v>
      </c>
      <c r="DL154" t="n">
        <v>28</v>
      </c>
      <c r="DM154" t="n">
        <v>59</v>
      </c>
      <c r="DN154" t="n">
        <v>11</v>
      </c>
      <c r="DO154" t="n">
        <v>1</v>
      </c>
      <c r="DP154" t="n">
        <v>129.32</v>
      </c>
      <c r="DQ154" t="n">
        <v>65.08</v>
      </c>
      <c r="DR154" t="n">
        <v>130.16</v>
      </c>
      <c r="DS154" t="n">
        <v>-0.84</v>
      </c>
      <c r="DT154" t="n">
        <v>2611</v>
      </c>
      <c r="DU154" t="n">
        <v>68.7</v>
      </c>
      <c r="DV154" t="inlineStr">
        <is>
          <t>flat</t>
        </is>
      </c>
      <c r="DW154" t="n">
        <v>73</v>
      </c>
      <c r="DX154" t="n">
        <v>82.42</v>
      </c>
      <c r="DY154" t="n">
        <v>26.97</v>
      </c>
      <c r="DZ154" t="n">
        <v>16</v>
      </c>
      <c r="EA154" t="n">
        <v>119.2</v>
      </c>
      <c r="EB154" t="n">
        <v>103</v>
      </c>
      <c r="EC154" t="n">
        <v>49.5</v>
      </c>
      <c r="ED154" t="n">
        <v>5.5</v>
      </c>
      <c r="EE154" t="n">
        <v>141</v>
      </c>
      <c r="EF154" t="n">
        <v>42.3</v>
      </c>
      <c r="EG154" t="n">
        <v>17.8</v>
      </c>
      <c r="EH154" t="n">
        <v>71</v>
      </c>
      <c r="EI154" t="n">
        <v>608.9</v>
      </c>
      <c r="EJ154" t="n">
        <v>473.7</v>
      </c>
      <c r="EK154" t="n">
        <v>266.4</v>
      </c>
      <c r="EL154" t="n">
        <v>20.4</v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n">
        <v>5.5</v>
      </c>
      <c r="F155" t="b">
        <v>1</v>
      </c>
      <c r="G155" t="b">
        <v>1</v>
      </c>
      <c r="H155" t="n">
        <v>24.6</v>
      </c>
      <c r="I155" t="inlineStr">
        <is>
          <t>a</t>
        </is>
      </c>
      <c r="L155" t="inlineStr">
        <is>
          <t>p448104</t>
        </is>
      </c>
      <c r="M155" t="n">
        <v>9</v>
      </c>
      <c r="Q155" t="n">
        <v>1787</v>
      </c>
      <c r="R155" t="n">
        <v>25</v>
      </c>
      <c r="S155" t="n">
        <v>20</v>
      </c>
      <c r="T155" t="n">
        <v>19.856</v>
      </c>
      <c r="U155" t="n">
        <v>71.5</v>
      </c>
      <c r="V155" t="n">
        <v>87</v>
      </c>
      <c r="W155" t="n">
        <v>4.382</v>
      </c>
      <c r="X155" t="n">
        <v>1</v>
      </c>
      <c r="Y155" t="n">
        <v>2</v>
      </c>
      <c r="Z155" t="n">
        <v>2</v>
      </c>
      <c r="AA155" t="n">
        <v>5</v>
      </c>
      <c r="AB155" t="n">
        <v>19</v>
      </c>
      <c r="AC155" t="n">
        <v>7</v>
      </c>
      <c r="AD155" t="n">
        <v>5</v>
      </c>
      <c r="AE155" t="n">
        <v>-2</v>
      </c>
      <c r="AF155" t="n">
        <v>335</v>
      </c>
      <c r="AG155" t="n">
        <v>309</v>
      </c>
      <c r="AH155" t="n">
        <v>-26</v>
      </c>
      <c r="AI155" t="n">
        <v>85</v>
      </c>
      <c r="AJ155" t="n">
        <v>0.08</v>
      </c>
      <c r="AK155" t="n">
        <v>0.08799999999999999</v>
      </c>
      <c r="AL155" t="n">
        <v>171</v>
      </c>
      <c r="AM155" t="n">
        <v>8.612</v>
      </c>
      <c r="AN155" t="n">
        <v>7</v>
      </c>
      <c r="AO155" t="n">
        <v>14</v>
      </c>
      <c r="AP155" t="n">
        <v>0.35</v>
      </c>
      <c r="AQ155" t="n">
        <v>0.35</v>
      </c>
      <c r="AR155" t="n">
        <v>0.25</v>
      </c>
      <c r="AS155" t="n">
        <v>0.526</v>
      </c>
      <c r="AT155" t="n">
        <v>0.72</v>
      </c>
      <c r="AU155" t="n">
        <v>14</v>
      </c>
      <c r="AV155" t="n">
        <v>1</v>
      </c>
      <c r="AW155" t="n">
        <v>3.15</v>
      </c>
      <c r="AX155" t="n">
        <v>10</v>
      </c>
      <c r="AY155" t="n">
        <v>0.36</v>
      </c>
      <c r="AZ155" t="n">
        <v>0.413</v>
      </c>
      <c r="BA155" t="n">
        <v>0.386</v>
      </c>
      <c r="BB155" t="n">
        <v>0.413</v>
      </c>
      <c r="BC155" t="n">
        <v>0.018</v>
      </c>
      <c r="BD155" t="n">
        <v>0.021</v>
      </c>
      <c r="BE155" t="n">
        <v>0.019</v>
      </c>
      <c r="BF155" t="n">
        <v>0.3</v>
      </c>
      <c r="BG155" t="n">
        <v>0.015</v>
      </c>
      <c r="BH155" t="n">
        <v>0.993</v>
      </c>
      <c r="BI155" t="n">
        <v>0.36</v>
      </c>
      <c r="BJ155" t="n">
        <v>0.357</v>
      </c>
      <c r="BK155" t="n">
        <v>0.018</v>
      </c>
      <c r="BL155" t="n">
        <v>0.614</v>
      </c>
      <c r="BM155" t="n">
        <v>-0.06</v>
      </c>
      <c r="BN155" t="n">
        <v>0.7</v>
      </c>
      <c r="BO155" t="n">
        <v>-0.053</v>
      </c>
      <c r="BP155" t="n">
        <v>3</v>
      </c>
      <c r="BQ155" t="n">
        <v>2</v>
      </c>
      <c r="BR155" t="n">
        <v>0</v>
      </c>
      <c r="BS155" t="n">
        <v>26</v>
      </c>
      <c r="BT155" t="n">
        <v>1.309</v>
      </c>
      <c r="BW155" t="n">
        <v>1.67</v>
      </c>
      <c r="BX155" t="n">
        <v>2.127</v>
      </c>
      <c r="BY155" t="n">
        <v>1.899</v>
      </c>
      <c r="BZ155" t="n">
        <v>0.096</v>
      </c>
      <c r="CA155" t="n">
        <v>2.285</v>
      </c>
      <c r="CB155" t="n">
        <v>0.115</v>
      </c>
      <c r="CC155" t="n">
        <v>13</v>
      </c>
      <c r="CD155" t="n">
        <v>2</v>
      </c>
      <c r="CE155" t="n">
        <v>13</v>
      </c>
      <c r="CF155" t="n">
        <v>4</v>
      </c>
      <c r="CG155" t="n">
        <v>1</v>
      </c>
      <c r="CI155" t="n">
        <v>8.478999999999999</v>
      </c>
      <c r="CJ155" t="n">
        <v>6.883</v>
      </c>
      <c r="CK155" t="n">
        <v>123</v>
      </c>
      <c r="CL155" t="n">
        <v>63</v>
      </c>
      <c r="CM155" t="n">
        <v>48</v>
      </c>
      <c r="CN155" t="n">
        <v>27</v>
      </c>
      <c r="CO155" t="n">
        <v>26</v>
      </c>
      <c r="CP155" t="n">
        <v>88</v>
      </c>
      <c r="CQ155" t="n">
        <v>9</v>
      </c>
      <c r="CR155" t="n">
        <v>100</v>
      </c>
      <c r="CS155" t="n">
        <v>32</v>
      </c>
      <c r="CT155" t="n">
        <v>0.2</v>
      </c>
      <c r="CW155" t="n">
        <v>17.53</v>
      </c>
      <c r="CX155" t="n">
        <v>0.883</v>
      </c>
      <c r="CY155" t="n">
        <v>0</v>
      </c>
      <c r="DB155" t="n">
        <v>0</v>
      </c>
      <c r="DE155" t="n">
        <v>7.07</v>
      </c>
      <c r="DF155" t="n">
        <v>2</v>
      </c>
      <c r="DG155" t="n">
        <v>0</v>
      </c>
      <c r="DH155" t="n">
        <v>18</v>
      </c>
      <c r="DI155" t="n">
        <v>14</v>
      </c>
      <c r="DL155" t="n">
        <v>7</v>
      </c>
      <c r="DM155" t="n">
        <v>5</v>
      </c>
      <c r="DN155" t="n">
        <v>1</v>
      </c>
      <c r="DO155" t="n">
        <v>3.8</v>
      </c>
      <c r="DP155" t="n">
        <v>53.21</v>
      </c>
      <c r="DQ155" t="n">
        <v>27.51</v>
      </c>
      <c r="DR155" t="n">
        <v>55.02</v>
      </c>
      <c r="DS155" t="n">
        <v>-1.81</v>
      </c>
      <c r="DT155" t="n">
        <v>1043</v>
      </c>
      <c r="DU155" t="n">
        <v>27.45</v>
      </c>
      <c r="DV155" t="inlineStr">
        <is>
          <t>flat</t>
        </is>
      </c>
      <c r="DW155" t="n">
        <v>71.23999999999999</v>
      </c>
      <c r="DX155" t="n">
        <v>78.62</v>
      </c>
      <c r="DY155" t="n">
        <v>23.08</v>
      </c>
      <c r="DZ155" t="n">
        <v>18.29</v>
      </c>
      <c r="EA155" t="n">
        <v>120</v>
      </c>
      <c r="EB155" t="n">
        <v>150</v>
      </c>
      <c r="EC155" t="n">
        <v>72.09999999999999</v>
      </c>
      <c r="ED155" t="n">
        <v>19.8</v>
      </c>
      <c r="EE155" t="n">
        <v>140</v>
      </c>
      <c r="EF155" t="n">
        <v>595.7</v>
      </c>
      <c r="EG155" t="n">
        <v>68.7</v>
      </c>
      <c r="EH155" t="n">
        <v>137.5</v>
      </c>
      <c r="EI155" t="n">
        <v>4625.7</v>
      </c>
      <c r="EJ155" t="n">
        <v>941.2</v>
      </c>
      <c r="EK155" t="n">
        <v>782</v>
      </c>
      <c r="EL155" t="n">
        <v>20.5</v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n">
        <v>5.5</v>
      </c>
      <c r="F156" t="b">
        <v>1</v>
      </c>
      <c r="G156" t="b">
        <v>1</v>
      </c>
      <c r="H156" t="n">
        <v>29.2</v>
      </c>
      <c r="I156" t="inlineStr">
        <is>
          <t>a</t>
        </is>
      </c>
      <c r="L156" t="inlineStr">
        <is>
          <t>p202993</t>
        </is>
      </c>
      <c r="M156" t="n">
        <v>516</v>
      </c>
      <c r="Q156" t="n">
        <v>1880</v>
      </c>
      <c r="R156" t="n">
        <v>26</v>
      </c>
      <c r="S156" t="n">
        <v>23</v>
      </c>
      <c r="T156" t="n">
        <v>20.889</v>
      </c>
      <c r="U156" t="n">
        <v>72.3</v>
      </c>
      <c r="V156" t="n">
        <v>86</v>
      </c>
      <c r="W156" t="n">
        <v>4.117</v>
      </c>
      <c r="X156" t="n">
        <v>1</v>
      </c>
      <c r="Y156" t="n">
        <v>1</v>
      </c>
      <c r="Z156" t="n">
        <v>1</v>
      </c>
      <c r="AA156" t="n">
        <v>8</v>
      </c>
      <c r="AB156" t="n">
        <v>25</v>
      </c>
      <c r="AC156" t="n">
        <v>4</v>
      </c>
      <c r="AD156" t="n">
        <v>4</v>
      </c>
      <c r="AE156" t="n">
        <v>0</v>
      </c>
      <c r="AF156" t="n">
        <v>366</v>
      </c>
      <c r="AG156" t="n">
        <v>352</v>
      </c>
      <c r="AH156" t="n">
        <v>-14</v>
      </c>
      <c r="AI156" t="n">
        <v>86</v>
      </c>
      <c r="AJ156" t="n">
        <v>0.047</v>
      </c>
      <c r="AK156" t="n">
        <v>0.049</v>
      </c>
      <c r="AL156" t="n">
        <v>278</v>
      </c>
      <c r="AM156" t="n">
        <v>13.309</v>
      </c>
      <c r="AN156" t="n">
        <v>13</v>
      </c>
      <c r="AO156" t="n">
        <v>26</v>
      </c>
      <c r="AP156" t="n">
        <v>0.5649999999999999</v>
      </c>
      <c r="AQ156" t="n">
        <v>0.783</v>
      </c>
      <c r="AR156" t="n">
        <v>0.5649999999999999</v>
      </c>
      <c r="AS156" t="n">
        <v>0.605</v>
      </c>
      <c r="AT156" t="n">
        <v>0.8080000000000001</v>
      </c>
      <c r="AU156" t="n">
        <v>12</v>
      </c>
      <c r="AV156" t="n">
        <v>1</v>
      </c>
      <c r="AW156" t="n">
        <v>2.61</v>
      </c>
      <c r="AX156" t="n">
        <v>12</v>
      </c>
      <c r="AY156" t="n">
        <v>0.72</v>
      </c>
      <c r="AZ156" t="n">
        <v>0.977</v>
      </c>
      <c r="BA156" t="n">
        <v>0.849</v>
      </c>
      <c r="BB156" t="n">
        <v>0.977</v>
      </c>
      <c r="BC156" t="n">
        <v>0.034</v>
      </c>
      <c r="BD156" t="n">
        <v>0.047</v>
      </c>
      <c r="BE156" t="n">
        <v>0.041</v>
      </c>
      <c r="BF156" t="n">
        <v>0.9</v>
      </c>
      <c r="BG156" t="n">
        <v>0.043</v>
      </c>
      <c r="BH156" t="n">
        <v>1.004</v>
      </c>
      <c r="BI156" t="n">
        <v>6.35</v>
      </c>
      <c r="BJ156" t="n">
        <v>0.723</v>
      </c>
      <c r="BK156" t="n">
        <v>0.035</v>
      </c>
      <c r="BL156" t="n">
        <v>0.151</v>
      </c>
      <c r="BM156" t="n">
        <v>0.18</v>
      </c>
      <c r="BN156" t="n">
        <v>0.1</v>
      </c>
      <c r="BO156" t="n">
        <v>-0.257</v>
      </c>
      <c r="BP156" t="n">
        <v>13</v>
      </c>
      <c r="BQ156" t="n">
        <v>3</v>
      </c>
      <c r="BR156" t="n">
        <v>1</v>
      </c>
      <c r="BS156" t="n">
        <v>29</v>
      </c>
      <c r="BT156" t="n">
        <v>1.388</v>
      </c>
      <c r="BW156" t="n">
        <v>0.84</v>
      </c>
      <c r="BX156" t="n">
        <v>0.877</v>
      </c>
      <c r="BY156" t="n">
        <v>0.859</v>
      </c>
      <c r="BZ156" t="n">
        <v>0.041</v>
      </c>
      <c r="CA156" t="n">
        <v>1.707</v>
      </c>
      <c r="CB156" t="n">
        <v>0.082</v>
      </c>
      <c r="CC156" t="n">
        <v>10</v>
      </c>
      <c r="CD156" t="n">
        <v>1</v>
      </c>
      <c r="CE156" t="n">
        <v>10</v>
      </c>
      <c r="CF156" t="n">
        <v>1</v>
      </c>
      <c r="CI156" t="n">
        <v>4.669</v>
      </c>
      <c r="CJ156" t="n">
        <v>4.176</v>
      </c>
      <c r="CK156" t="n">
        <v>91</v>
      </c>
      <c r="CL156" t="n">
        <v>131</v>
      </c>
      <c r="CM156" t="n">
        <v>56</v>
      </c>
      <c r="CN156" t="n">
        <v>36</v>
      </c>
      <c r="CO156" t="n">
        <v>35</v>
      </c>
      <c r="CP156" t="n">
        <v>48</v>
      </c>
      <c r="CQ156" t="n">
        <v>7</v>
      </c>
      <c r="CR156" t="n">
        <v>115</v>
      </c>
      <c r="CS156" t="n">
        <v>31</v>
      </c>
      <c r="CT156" t="n">
        <v>0.3</v>
      </c>
      <c r="CV156" t="n">
        <v>2</v>
      </c>
      <c r="CW156" t="n">
        <v>23.65</v>
      </c>
      <c r="CX156" t="n">
        <v>1.132</v>
      </c>
      <c r="CY156" t="n">
        <v>0</v>
      </c>
      <c r="DB156" t="n">
        <v>0</v>
      </c>
      <c r="DE156" t="n">
        <v>7.11</v>
      </c>
      <c r="DF156" t="n">
        <v>7</v>
      </c>
      <c r="DG156" t="n">
        <v>0</v>
      </c>
      <c r="DH156" t="n">
        <v>19</v>
      </c>
      <c r="DI156" t="n">
        <v>8</v>
      </c>
      <c r="DK156" t="n">
        <v>1</v>
      </c>
      <c r="DL156" t="n">
        <v>20</v>
      </c>
      <c r="DM156" t="n">
        <v>8</v>
      </c>
      <c r="DN156" t="n">
        <v>1</v>
      </c>
      <c r="DO156" t="n">
        <v>0.2</v>
      </c>
      <c r="DP156" t="n">
        <v>31.85</v>
      </c>
      <c r="DQ156" t="n">
        <v>17.37</v>
      </c>
      <c r="DR156" t="n">
        <v>34.74</v>
      </c>
      <c r="DS156" t="n">
        <v>-2.89</v>
      </c>
      <c r="DT156" t="n">
        <v>356</v>
      </c>
      <c r="DU156" t="n">
        <v>9.359999999999999</v>
      </c>
      <c r="DV156" t="inlineStr">
        <is>
          <t>fade (losing his place)</t>
        </is>
      </c>
      <c r="DW156" t="n">
        <v>36.8</v>
      </c>
      <c r="DZ156" t="n">
        <v>36.8</v>
      </c>
      <c r="EA156" t="n">
        <v>36.8</v>
      </c>
      <c r="EB156" t="n">
        <v>1</v>
      </c>
      <c r="EC156" t="n">
        <v>0.5</v>
      </c>
      <c r="ED156" t="n">
        <v>0</v>
      </c>
      <c r="EE156" t="n">
        <v>142</v>
      </c>
      <c r="EF156" t="n">
        <v>144.6</v>
      </c>
      <c r="EG156" t="n">
        <v>64.8</v>
      </c>
      <c r="EH156" t="n">
        <v>188</v>
      </c>
      <c r="EI156" t="n">
        <v>2215.4</v>
      </c>
      <c r="EJ156" t="n">
        <v>2189.4</v>
      </c>
      <c r="EK156" t="n">
        <v>1101.2</v>
      </c>
      <c r="EL156" t="n">
        <v>21.9</v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n">
        <v>5.5</v>
      </c>
      <c r="F157" t="b">
        <v>1</v>
      </c>
      <c r="G157" t="b">
        <v>1</v>
      </c>
      <c r="H157" t="n">
        <v>22.8</v>
      </c>
      <c r="I157" t="inlineStr">
        <is>
          <t>a</t>
        </is>
      </c>
      <c r="L157" t="inlineStr">
        <is>
          <t>p544877</t>
        </is>
      </c>
      <c r="M157" t="n">
        <v>358</v>
      </c>
      <c r="Q157" t="n">
        <v>2251</v>
      </c>
      <c r="R157" t="n">
        <v>34</v>
      </c>
      <c r="S157" t="n">
        <v>27</v>
      </c>
      <c r="T157" t="n">
        <v>25.011</v>
      </c>
      <c r="U157" t="n">
        <v>66.2</v>
      </c>
      <c r="V157" t="n">
        <v>85</v>
      </c>
      <c r="W157" t="n">
        <v>3.398</v>
      </c>
      <c r="X157" t="n">
        <v>2</v>
      </c>
      <c r="Y157" t="n">
        <v>1</v>
      </c>
      <c r="Z157" t="n">
        <v>1</v>
      </c>
      <c r="AA157" t="n">
        <v>6</v>
      </c>
      <c r="AB157" t="n">
        <v>37</v>
      </c>
      <c r="AC157" t="n">
        <v>4</v>
      </c>
      <c r="AD157" t="n">
        <v>3</v>
      </c>
      <c r="AE157" t="n">
        <v>-1</v>
      </c>
      <c r="AF157" t="n">
        <v>357</v>
      </c>
      <c r="AG157" t="n">
        <v>339</v>
      </c>
      <c r="AH157" t="n">
        <v>-18</v>
      </c>
      <c r="AI157" t="n">
        <v>84</v>
      </c>
      <c r="AJ157" t="n">
        <v>0.047</v>
      </c>
      <c r="AK157" t="n">
        <v>0.049</v>
      </c>
      <c r="AL157" t="n">
        <v>134</v>
      </c>
      <c r="AM157" t="n">
        <v>5.358</v>
      </c>
      <c r="AN157" t="n">
        <v>1</v>
      </c>
      <c r="AO157" t="n">
        <v>2</v>
      </c>
      <c r="AP157" t="n">
        <v>0.037</v>
      </c>
      <c r="AQ157" t="n">
        <v>0.037</v>
      </c>
      <c r="AR157" t="n">
        <v>0</v>
      </c>
      <c r="AS157" t="n">
        <v>0.711</v>
      </c>
      <c r="AT157" t="n">
        <v>0.676</v>
      </c>
      <c r="AU157" t="n">
        <v>24</v>
      </c>
      <c r="AV157" t="n">
        <v>0</v>
      </c>
      <c r="AW157" t="n">
        <v>2.54</v>
      </c>
      <c r="AX157" t="n">
        <v>9</v>
      </c>
      <c r="AY157" t="n">
        <v>1.5</v>
      </c>
      <c r="AZ157" t="n">
        <v>1.394</v>
      </c>
      <c r="BA157" t="n">
        <v>1.447</v>
      </c>
      <c r="BB157" t="n">
        <v>1.394</v>
      </c>
      <c r="BC157" t="n">
        <v>0.06</v>
      </c>
      <c r="BD157" t="n">
        <v>0.056</v>
      </c>
      <c r="BE157" t="n">
        <v>0.058</v>
      </c>
      <c r="BF157" t="n">
        <v>1.1</v>
      </c>
      <c r="BG157" t="n">
        <v>0.044</v>
      </c>
      <c r="BH157" t="n">
        <v>0.954</v>
      </c>
      <c r="BI157" t="n">
        <v>3.42</v>
      </c>
      <c r="BJ157" t="n">
        <v>1.432</v>
      </c>
      <c r="BK157" t="n">
        <v>0.057</v>
      </c>
      <c r="BL157" t="n">
        <v>0.553</v>
      </c>
      <c r="BM157" t="n">
        <v>-0.4</v>
      </c>
      <c r="BN157" t="n">
        <v>0.9</v>
      </c>
      <c r="BO157" t="n">
        <v>0.106</v>
      </c>
      <c r="BP157" t="n">
        <v>9</v>
      </c>
      <c r="BQ157" t="n">
        <v>2</v>
      </c>
      <c r="BS157" t="n">
        <v>43</v>
      </c>
      <c r="BT157" t="n">
        <v>1.719</v>
      </c>
      <c r="BW157" t="n">
        <v>0.6899999999999999</v>
      </c>
      <c r="BX157" t="n">
        <v>1.863</v>
      </c>
      <c r="BY157" t="n">
        <v>1.277</v>
      </c>
      <c r="BZ157" t="n">
        <v>0.051</v>
      </c>
      <c r="CA157" t="n">
        <v>2.724</v>
      </c>
      <c r="CB157" t="n">
        <v>0.109</v>
      </c>
      <c r="CC157" t="n">
        <v>26</v>
      </c>
      <c r="CD157" t="n">
        <v>3</v>
      </c>
      <c r="CE157" t="n">
        <v>26</v>
      </c>
      <c r="CF157" t="n">
        <v>15</v>
      </c>
      <c r="CI157" t="n">
        <v>9.489000000000001</v>
      </c>
      <c r="CJ157" t="n">
        <v>6.859</v>
      </c>
      <c r="CK157" t="n">
        <v>93</v>
      </c>
      <c r="CL157" t="n">
        <v>88</v>
      </c>
      <c r="CM157" t="n">
        <v>41</v>
      </c>
      <c r="CN157" t="n">
        <v>26</v>
      </c>
      <c r="CO157" t="n">
        <v>14</v>
      </c>
      <c r="CP157" t="n">
        <v>71</v>
      </c>
      <c r="CQ157" t="n">
        <v>8</v>
      </c>
      <c r="CR157" t="n">
        <v>114</v>
      </c>
      <c r="CS157" t="n">
        <v>33</v>
      </c>
      <c r="CT157" t="n">
        <v>0.1</v>
      </c>
      <c r="CU157" t="n">
        <v>1</v>
      </c>
      <c r="CV157" t="n">
        <v>1</v>
      </c>
      <c r="CW157" t="n">
        <v>30.1</v>
      </c>
      <c r="CX157" t="n">
        <v>1.203</v>
      </c>
      <c r="CY157" t="n">
        <v>0</v>
      </c>
      <c r="DB157" t="n">
        <v>0</v>
      </c>
      <c r="DE157" t="n">
        <v>6.89</v>
      </c>
      <c r="DF157" t="n">
        <v>4</v>
      </c>
      <c r="DG157" t="n">
        <v>0</v>
      </c>
      <c r="DH157" t="n">
        <v>22</v>
      </c>
      <c r="DI157" t="n">
        <v>30</v>
      </c>
      <c r="DL157" t="n">
        <v>12</v>
      </c>
      <c r="DM157" t="n">
        <v>7</v>
      </c>
      <c r="DN157" t="n">
        <v>4</v>
      </c>
      <c r="DO157" t="n">
        <v>4.9</v>
      </c>
      <c r="DP157" t="n">
        <v>141.09</v>
      </c>
      <c r="DQ157" t="n">
        <v>70.62</v>
      </c>
      <c r="DR157" t="n">
        <v>141.24</v>
      </c>
      <c r="DS157" t="n">
        <v>-0.15</v>
      </c>
      <c r="DT157" t="n">
        <v>3137</v>
      </c>
      <c r="DU157" t="n">
        <v>82.55</v>
      </c>
      <c r="DV157" t="inlineStr">
        <is>
          <t>flat</t>
        </is>
      </c>
      <c r="DW157" t="n">
        <v>65.41</v>
      </c>
      <c r="DX157" t="n">
        <v>74.48</v>
      </c>
      <c r="DY157" t="n">
        <v>21.15</v>
      </c>
      <c r="DZ157" t="n">
        <v>18.4</v>
      </c>
      <c r="EA157" t="n">
        <v>118</v>
      </c>
      <c r="EB157" t="n">
        <v>180</v>
      </c>
      <c r="EC157" t="n">
        <v>86.5</v>
      </c>
      <c r="ED157" t="n">
        <v>12.6</v>
      </c>
      <c r="EE157" t="n">
        <v>144</v>
      </c>
      <c r="EF157" t="n">
        <v>250.1</v>
      </c>
      <c r="EG157" t="n">
        <v>52.3</v>
      </c>
      <c r="EH157" t="n">
        <v>86.59999999999999</v>
      </c>
      <c r="EI157" t="n">
        <v>1555.9</v>
      </c>
      <c r="EJ157" t="n">
        <v>1763.1</v>
      </c>
      <c r="EK157" t="n">
        <v>826.5</v>
      </c>
      <c r="EL157" t="n">
        <v>26.5</v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n">
        <v>4.5</v>
      </c>
      <c r="F158" t="b">
        <v>1</v>
      </c>
      <c r="G158" t="b">
        <v>1</v>
      </c>
      <c r="H158" t="n">
        <v>25.7</v>
      </c>
      <c r="I158" t="inlineStr">
        <is>
          <t>a</t>
        </is>
      </c>
      <c r="L158" t="inlineStr">
        <is>
          <t>p465730</t>
        </is>
      </c>
      <c r="M158" t="n">
        <v>115</v>
      </c>
      <c r="O158" t="n">
        <v>4</v>
      </c>
      <c r="P158" t="n">
        <v>3</v>
      </c>
      <c r="Q158" t="n">
        <v>1404</v>
      </c>
      <c r="R158" t="n">
        <v>30</v>
      </c>
      <c r="S158" t="n">
        <v>17</v>
      </c>
      <c r="T158" t="n">
        <v>15.6</v>
      </c>
      <c r="U158" t="n">
        <v>46.8</v>
      </c>
      <c r="V158" t="n">
        <v>84</v>
      </c>
      <c r="W158" t="n">
        <v>5.385</v>
      </c>
      <c r="X158" t="n">
        <v>2</v>
      </c>
      <c r="Y158" t="n">
        <v>3</v>
      </c>
      <c r="Z158" t="n">
        <v>3</v>
      </c>
      <c r="AA158" t="n">
        <v>5</v>
      </c>
      <c r="AB158" t="n">
        <v>23</v>
      </c>
      <c r="AC158" t="n">
        <v>9</v>
      </c>
      <c r="AD158" t="n">
        <v>9</v>
      </c>
      <c r="AE158" t="n">
        <v>0</v>
      </c>
      <c r="AF158" t="n">
        <v>318</v>
      </c>
      <c r="AG158" t="n">
        <v>308</v>
      </c>
      <c r="AH158" t="n">
        <v>-10</v>
      </c>
      <c r="AI158" t="n">
        <v>84</v>
      </c>
      <c r="AJ158" t="n">
        <v>0.107</v>
      </c>
      <c r="AK158" t="n">
        <v>0.12</v>
      </c>
      <c r="AL158" t="n">
        <v>64</v>
      </c>
      <c r="AM158" t="n">
        <v>4.103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0.447</v>
      </c>
      <c r="AT158" t="n">
        <v>0.4</v>
      </c>
      <c r="AU158" t="n">
        <v>23</v>
      </c>
      <c r="AV158" t="n">
        <v>2</v>
      </c>
      <c r="AW158" t="n">
        <v>3.71</v>
      </c>
      <c r="AX158" t="n">
        <v>15</v>
      </c>
      <c r="AY158" t="n">
        <v>1.66</v>
      </c>
      <c r="AZ158" t="n">
        <v>1.742</v>
      </c>
      <c r="BA158" t="n">
        <v>1.701</v>
      </c>
      <c r="BB158" t="n">
        <v>1.742</v>
      </c>
      <c r="BC158" t="n">
        <v>0.106</v>
      </c>
      <c r="BD158" t="n">
        <v>0.112</v>
      </c>
      <c r="BE158" t="n">
        <v>0.109</v>
      </c>
      <c r="BF158" t="n">
        <v>1.9</v>
      </c>
      <c r="BG158" t="n">
        <v>0.122</v>
      </c>
      <c r="BH158" t="n">
        <v>1.025</v>
      </c>
      <c r="BI158" t="n">
        <v>1.66</v>
      </c>
      <c r="BJ158" t="n">
        <v>1.701</v>
      </c>
      <c r="BK158" t="n">
        <v>0.109</v>
      </c>
      <c r="BL158" t="n">
        <v>0.299</v>
      </c>
      <c r="BM158" t="n">
        <v>0.24</v>
      </c>
      <c r="BN158" t="n">
        <v>0.1</v>
      </c>
      <c r="BO158" t="n">
        <v>-0.082</v>
      </c>
      <c r="BP158" t="n">
        <v>13</v>
      </c>
      <c r="BQ158" t="n">
        <v>6</v>
      </c>
      <c r="BR158" t="n">
        <v>1</v>
      </c>
      <c r="BS158" t="n">
        <v>29</v>
      </c>
      <c r="BT158" t="n">
        <v>1.859</v>
      </c>
      <c r="BV158" t="n">
        <v>1</v>
      </c>
      <c r="BW158" t="n">
        <v>4.08</v>
      </c>
      <c r="BX158" t="n">
        <v>4.686</v>
      </c>
      <c r="BY158" t="n">
        <v>4.383</v>
      </c>
      <c r="BZ158" t="n">
        <v>0.281</v>
      </c>
      <c r="CA158" t="n">
        <v>6.084</v>
      </c>
      <c r="CB158" t="n">
        <v>0.39</v>
      </c>
      <c r="CC158" t="n">
        <v>32</v>
      </c>
      <c r="CD158" t="n">
        <v>9</v>
      </c>
      <c r="CE158" t="n">
        <v>32</v>
      </c>
      <c r="CF158" t="n">
        <v>36</v>
      </c>
      <c r="CH158" t="n">
        <v>35</v>
      </c>
      <c r="CI158" t="n">
        <v>6.84</v>
      </c>
      <c r="CJ158" t="n">
        <v>3.495</v>
      </c>
      <c r="CK158" t="n">
        <v>42</v>
      </c>
      <c r="CL158" t="n">
        <v>68</v>
      </c>
      <c r="CM158" t="n">
        <v>22</v>
      </c>
      <c r="CN158" t="n">
        <v>12</v>
      </c>
      <c r="CO158" t="n">
        <v>12</v>
      </c>
      <c r="CP158" t="n">
        <v>28</v>
      </c>
      <c r="CQ158" t="n">
        <v>2</v>
      </c>
      <c r="CR158" t="n">
        <v>61</v>
      </c>
      <c r="CS158" t="n">
        <v>10</v>
      </c>
      <c r="CT158" t="n">
        <v>0.6</v>
      </c>
      <c r="CV158" t="n">
        <v>1</v>
      </c>
      <c r="CW158" t="n">
        <v>24.09</v>
      </c>
      <c r="CX158" t="n">
        <v>1.544</v>
      </c>
      <c r="CY158" t="n">
        <v>0</v>
      </c>
      <c r="DB158" t="n">
        <v>0</v>
      </c>
      <c r="DE158" t="n">
        <v>6.75</v>
      </c>
      <c r="DF158" t="n">
        <v>2</v>
      </c>
      <c r="DG158" t="n">
        <v>0</v>
      </c>
      <c r="DH158" t="n">
        <v>18</v>
      </c>
      <c r="DI158" t="n">
        <v>21</v>
      </c>
      <c r="DK158" t="n">
        <v>1</v>
      </c>
      <c r="DL158" t="n">
        <v>7</v>
      </c>
      <c r="DM158" t="n">
        <v>5</v>
      </c>
      <c r="DN158" t="n">
        <v>1</v>
      </c>
      <c r="DO158" t="n">
        <v>1.3</v>
      </c>
      <c r="DP158" t="n">
        <v>50.22</v>
      </c>
      <c r="DQ158" t="n">
        <v>28.83</v>
      </c>
      <c r="DR158" t="n">
        <v>57.66</v>
      </c>
      <c r="DS158" t="n">
        <v>-7.44</v>
      </c>
      <c r="DT158" t="n">
        <v>830</v>
      </c>
      <c r="DU158" t="n">
        <v>21.85</v>
      </c>
      <c r="DV158" t="inlineStr">
        <is>
          <t>fade (losing his place)</t>
        </is>
      </c>
      <c r="DW158" t="n">
        <v>97.97</v>
      </c>
      <c r="DX158" t="n">
        <v>111</v>
      </c>
      <c r="DY158" t="n">
        <v>16.36</v>
      </c>
      <c r="DZ158" t="n">
        <v>61.5</v>
      </c>
      <c r="EA158" t="n">
        <v>120</v>
      </c>
      <c r="EB158" t="n">
        <v>23</v>
      </c>
      <c r="EC158" t="n">
        <v>11.1</v>
      </c>
      <c r="ED158" t="n">
        <v>0</v>
      </c>
      <c r="EE158" t="n">
        <v>409</v>
      </c>
      <c r="EF158" t="n">
        <v>108</v>
      </c>
      <c r="EG158" t="n">
        <v>48.4</v>
      </c>
      <c r="EH158" t="n">
        <v>43.9</v>
      </c>
      <c r="EI158" t="n">
        <v>825.4</v>
      </c>
      <c r="EJ158" t="n">
        <v>320.3</v>
      </c>
      <c r="EK158" t="n">
        <v>230.8</v>
      </c>
      <c r="EL158" t="n">
        <v>16.7</v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n">
        <v>5</v>
      </c>
      <c r="F159" t="b">
        <v>1</v>
      </c>
      <c r="G159" t="b">
        <v>1</v>
      </c>
      <c r="H159" t="n">
        <v>27</v>
      </c>
      <c r="I159" t="inlineStr">
        <is>
          <t>a</t>
        </is>
      </c>
      <c r="L159" t="inlineStr">
        <is>
          <t>p216055</t>
        </is>
      </c>
      <c r="M159" t="n">
        <v>571</v>
      </c>
      <c r="Q159" t="n">
        <v>2100</v>
      </c>
      <c r="R159" t="n">
        <v>31</v>
      </c>
      <c r="S159" t="n">
        <v>25</v>
      </c>
      <c r="T159" t="n">
        <v>23.333</v>
      </c>
      <c r="U159" t="n">
        <v>67.7</v>
      </c>
      <c r="V159" t="n">
        <v>84</v>
      </c>
      <c r="W159" t="n">
        <v>3.6</v>
      </c>
      <c r="X159" t="n">
        <v>0</v>
      </c>
      <c r="Y159" t="n">
        <v>2</v>
      </c>
      <c r="Z159" t="n">
        <v>2</v>
      </c>
      <c r="AA159" t="n">
        <v>2</v>
      </c>
      <c r="AB159" t="n">
        <v>45</v>
      </c>
      <c r="AC159" t="n">
        <v>0</v>
      </c>
      <c r="AD159" t="n">
        <v>0</v>
      </c>
      <c r="AE159" t="n">
        <v>0</v>
      </c>
      <c r="AF159" t="n">
        <v>357</v>
      </c>
      <c r="AG159" t="n">
        <v>337</v>
      </c>
      <c r="AH159" t="n">
        <v>-20</v>
      </c>
      <c r="AI159" t="n">
        <v>84</v>
      </c>
      <c r="AJ159" t="n">
        <v>0</v>
      </c>
      <c r="AK159" t="n">
        <v>0</v>
      </c>
      <c r="AL159" t="n">
        <v>313</v>
      </c>
      <c r="AM159" t="n">
        <v>13.414</v>
      </c>
      <c r="AN159" t="n">
        <v>14</v>
      </c>
      <c r="AO159" t="n">
        <v>28</v>
      </c>
      <c r="AP159" t="n">
        <v>0.5600000000000001</v>
      </c>
      <c r="AQ159" t="n">
        <v>0.6</v>
      </c>
      <c r="AR159" t="n">
        <v>0.5600000000000001</v>
      </c>
      <c r="AS159" t="n">
        <v>0.658</v>
      </c>
      <c r="AT159" t="n">
        <v>0.742</v>
      </c>
      <c r="AU159" t="n">
        <v>17</v>
      </c>
      <c r="AV159" t="n">
        <v>0</v>
      </c>
      <c r="AW159" t="n">
        <v>1.91</v>
      </c>
      <c r="AX159" t="n">
        <v>8</v>
      </c>
      <c r="AY159" t="n">
        <v>0.64</v>
      </c>
      <c r="AZ159" t="n">
        <v>1.038</v>
      </c>
      <c r="BA159" t="n">
        <v>0.839</v>
      </c>
      <c r="BB159" t="n">
        <v>1.038</v>
      </c>
      <c r="BC159" t="n">
        <v>0.027</v>
      </c>
      <c r="BD159" t="n">
        <v>0.044</v>
      </c>
      <c r="BE159" t="n">
        <v>0.036</v>
      </c>
      <c r="BF159" t="n">
        <v>0.1</v>
      </c>
      <c r="BG159" t="n">
        <v>0.004</v>
      </c>
      <c r="BH159" t="n">
        <v>0.9379999999999999</v>
      </c>
      <c r="BI159" t="n">
        <v>0.64</v>
      </c>
      <c r="BJ159" t="n">
        <v>0.6</v>
      </c>
      <c r="BK159" t="n">
        <v>0.026</v>
      </c>
      <c r="BL159" t="n">
        <v>-0.839</v>
      </c>
      <c r="BM159" t="n">
        <v>-0.54</v>
      </c>
      <c r="BN159" t="n">
        <v>-0.1</v>
      </c>
      <c r="BO159" t="n">
        <v>-0.398</v>
      </c>
      <c r="BP159" t="n">
        <v>13</v>
      </c>
      <c r="BQ159" t="n">
        <v>2</v>
      </c>
      <c r="BR159" t="n">
        <v>2</v>
      </c>
      <c r="BS159" t="n">
        <v>8</v>
      </c>
      <c r="BT159" t="n">
        <v>0.343</v>
      </c>
      <c r="BW159" t="n">
        <v>0.52</v>
      </c>
      <c r="BX159" t="n">
        <v>0.538</v>
      </c>
      <c r="BY159" t="n">
        <v>0.529</v>
      </c>
      <c r="BZ159" t="n">
        <v>0.023</v>
      </c>
      <c r="CA159" t="n">
        <v>1.368</v>
      </c>
      <c r="CB159" t="n">
        <v>0.059</v>
      </c>
      <c r="CC159" t="n">
        <v>13</v>
      </c>
      <c r="CE159" t="n">
        <v>13</v>
      </c>
      <c r="CF159" t="n">
        <v>1</v>
      </c>
      <c r="CI159" t="n">
        <v>4.912</v>
      </c>
      <c r="CJ159" t="n">
        <v>4.165</v>
      </c>
      <c r="CK159" t="n">
        <v>111</v>
      </c>
      <c r="CL159" t="n">
        <v>113</v>
      </c>
      <c r="CM159" t="n">
        <v>89</v>
      </c>
      <c r="CN159" t="n">
        <v>49</v>
      </c>
      <c r="CO159" t="n">
        <v>41</v>
      </c>
      <c r="CP159" t="n">
        <v>56</v>
      </c>
      <c r="CQ159" t="n">
        <v>14</v>
      </c>
      <c r="CR159" t="n">
        <v>129</v>
      </c>
      <c r="CS159" t="n">
        <v>24</v>
      </c>
      <c r="CT159" t="n">
        <v>0.2</v>
      </c>
      <c r="CU159" t="n">
        <v>1</v>
      </c>
      <c r="CV159" t="n">
        <v>3</v>
      </c>
      <c r="CW159" t="n">
        <v>46.26</v>
      </c>
      <c r="CX159" t="n">
        <v>1.983</v>
      </c>
      <c r="CY159" t="n">
        <v>0</v>
      </c>
      <c r="DB159" t="n">
        <v>0</v>
      </c>
      <c r="DE159" t="n">
        <v>6.71</v>
      </c>
      <c r="DF159" t="n">
        <v>6</v>
      </c>
      <c r="DG159" t="n">
        <v>0</v>
      </c>
      <c r="DH159" t="n">
        <v>40</v>
      </c>
      <c r="DI159" t="n">
        <v>8</v>
      </c>
      <c r="DK159" t="n">
        <v>2</v>
      </c>
      <c r="DL159" t="n">
        <v>7</v>
      </c>
      <c r="DM159" t="n">
        <v>17</v>
      </c>
      <c r="DN159" t="n">
        <v>1</v>
      </c>
      <c r="DO159" t="n">
        <v>0.1</v>
      </c>
      <c r="DP159" t="n">
        <v>73.37</v>
      </c>
      <c r="DQ159" t="n">
        <v>37.03</v>
      </c>
      <c r="DR159" t="n">
        <v>74.06</v>
      </c>
      <c r="DS159" t="n">
        <v>-0.6899999999999999</v>
      </c>
      <c r="DT159" t="n">
        <v>1881</v>
      </c>
      <c r="DU159" t="n">
        <v>49.5</v>
      </c>
      <c r="DV159" t="inlineStr">
        <is>
          <t>flat</t>
        </is>
      </c>
      <c r="EF159" t="n">
        <v>161.5</v>
      </c>
      <c r="EG159" t="n">
        <v>262.5</v>
      </c>
      <c r="EH159" t="n">
        <v>161.5</v>
      </c>
      <c r="EI159" t="n">
        <v>2502.7</v>
      </c>
      <c r="EJ159" t="n">
        <v>3971.5</v>
      </c>
      <c r="EK159" t="n">
        <v>1535.2</v>
      </c>
      <c r="EL159" t="n">
        <v>25</v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n">
        <v>5.5</v>
      </c>
      <c r="F160" t="b">
        <v>1</v>
      </c>
      <c r="G160" t="b">
        <v>1</v>
      </c>
      <c r="H160" t="n">
        <v>24.1</v>
      </c>
      <c r="I160" t="inlineStr">
        <is>
          <t>a</t>
        </is>
      </c>
      <c r="K160" t="n">
        <v>100</v>
      </c>
      <c r="L160" t="inlineStr">
        <is>
          <t>p575476</t>
        </is>
      </c>
      <c r="M160" t="n">
        <v>472</v>
      </c>
      <c r="P160" t="n">
        <v>3</v>
      </c>
      <c r="Q160" t="n">
        <v>2130</v>
      </c>
      <c r="R160" t="n">
        <v>25</v>
      </c>
      <c r="S160" t="n">
        <v>25</v>
      </c>
      <c r="T160" t="n">
        <v>23.667</v>
      </c>
      <c r="U160" t="n">
        <v>85.2</v>
      </c>
      <c r="V160" t="n">
        <v>83</v>
      </c>
      <c r="W160" t="n">
        <v>3.507</v>
      </c>
      <c r="X160" t="n">
        <v>1</v>
      </c>
      <c r="Y160" t="n">
        <v>0</v>
      </c>
      <c r="AA160" t="n">
        <v>6</v>
      </c>
      <c r="AB160" t="n">
        <v>29</v>
      </c>
      <c r="AC160" t="n">
        <v>3</v>
      </c>
      <c r="AD160" t="n">
        <v>3</v>
      </c>
      <c r="AE160" t="n">
        <v>0</v>
      </c>
      <c r="AF160" t="n">
        <v>333</v>
      </c>
      <c r="AG160" t="n">
        <v>300</v>
      </c>
      <c r="AH160" t="n">
        <v>-33</v>
      </c>
      <c r="AI160" t="n">
        <v>83</v>
      </c>
      <c r="AJ160" t="n">
        <v>0.036</v>
      </c>
      <c r="AK160" t="n">
        <v>0.038</v>
      </c>
      <c r="AL160" t="n">
        <v>223</v>
      </c>
      <c r="AM160" t="n">
        <v>9.423</v>
      </c>
      <c r="AN160" t="n">
        <v>10</v>
      </c>
      <c r="AO160" t="n">
        <v>20</v>
      </c>
      <c r="AP160" t="n">
        <v>0.4</v>
      </c>
      <c r="AQ160" t="n">
        <v>0.4</v>
      </c>
      <c r="AR160" t="n">
        <v>0.24</v>
      </c>
      <c r="AS160" t="n">
        <v>0.658</v>
      </c>
      <c r="AT160" t="n">
        <v>0.92</v>
      </c>
      <c r="AU160" t="n">
        <v>15</v>
      </c>
      <c r="AV160" t="n">
        <v>1</v>
      </c>
      <c r="AW160" t="n">
        <v>3.44</v>
      </c>
      <c r="AX160" t="n">
        <v>17</v>
      </c>
      <c r="AY160" t="n">
        <v>0.73</v>
      </c>
      <c r="AZ160" t="n">
        <v>0.596</v>
      </c>
      <c r="BA160" t="n">
        <v>0.663</v>
      </c>
      <c r="BB160" t="n">
        <v>0.596</v>
      </c>
      <c r="BC160" t="n">
        <v>0.031</v>
      </c>
      <c r="BD160" t="n">
        <v>0.025</v>
      </c>
      <c r="BE160" t="n">
        <v>0.028</v>
      </c>
      <c r="BF160" t="n">
        <v>1.3</v>
      </c>
      <c r="BG160" t="n">
        <v>0.055</v>
      </c>
      <c r="BH160" t="n">
        <v>0.968</v>
      </c>
      <c r="BI160" t="n">
        <v>3.98</v>
      </c>
      <c r="BJ160" t="n">
        <v>0.707</v>
      </c>
      <c r="BK160" t="n">
        <v>0.03</v>
      </c>
      <c r="BL160" t="n">
        <v>0.337</v>
      </c>
      <c r="BM160" t="n">
        <v>0.57</v>
      </c>
      <c r="BN160" t="n">
        <v>-0.3</v>
      </c>
      <c r="BO160" t="n">
        <v>0.134</v>
      </c>
      <c r="BP160" t="n">
        <v>11</v>
      </c>
      <c r="BQ160" t="n">
        <v>4</v>
      </c>
      <c r="BS160" t="n">
        <v>10</v>
      </c>
      <c r="BT160" t="n">
        <v>0.423</v>
      </c>
      <c r="BW160" t="n">
        <v>0.47</v>
      </c>
      <c r="BX160" t="n">
        <v>0.299</v>
      </c>
      <c r="BY160" t="n">
        <v>0.385</v>
      </c>
      <c r="BZ160" t="n">
        <v>0.016</v>
      </c>
      <c r="CA160" t="n">
        <v>1.048</v>
      </c>
      <c r="CB160" t="n">
        <v>0.044</v>
      </c>
      <c r="CC160" t="n">
        <v>8</v>
      </c>
      <c r="CD160" t="n">
        <v>1</v>
      </c>
      <c r="CE160" t="n">
        <v>8</v>
      </c>
      <c r="CG160" t="n">
        <v>1</v>
      </c>
      <c r="CI160" t="n">
        <v>6.359</v>
      </c>
      <c r="CJ160" t="n">
        <v>6.05</v>
      </c>
      <c r="CK160" t="n">
        <v>188</v>
      </c>
      <c r="CL160" t="n">
        <v>102</v>
      </c>
      <c r="CM160" t="n">
        <v>35</v>
      </c>
      <c r="CN160" t="n">
        <v>22</v>
      </c>
      <c r="CO160" t="n">
        <v>34</v>
      </c>
      <c r="CP160" t="n">
        <v>130</v>
      </c>
      <c r="CQ160" t="n">
        <v>24</v>
      </c>
      <c r="CR160" t="n">
        <v>74</v>
      </c>
      <c r="CS160" t="n">
        <v>24</v>
      </c>
      <c r="CT160" t="n">
        <v>0.1</v>
      </c>
      <c r="CV160" t="n">
        <v>2</v>
      </c>
      <c r="CW160" t="n">
        <v>32.99</v>
      </c>
      <c r="CX160" t="n">
        <v>1.394</v>
      </c>
      <c r="CY160" t="n">
        <v>0</v>
      </c>
      <c r="DB160" t="n">
        <v>0</v>
      </c>
      <c r="DE160" t="n">
        <v>6.94</v>
      </c>
      <c r="DF160" t="n">
        <v>5</v>
      </c>
      <c r="DG160" t="n">
        <v>0</v>
      </c>
      <c r="DH160" t="n">
        <v>23</v>
      </c>
      <c r="DI160" t="n">
        <v>7</v>
      </c>
      <c r="DL160" t="n">
        <v>9</v>
      </c>
      <c r="DM160" t="n">
        <v>9</v>
      </c>
      <c r="DO160" t="n">
        <v>0.8</v>
      </c>
      <c r="DP160" t="n">
        <v>138.2</v>
      </c>
      <c r="DQ160" t="n">
        <v>69.09999999999999</v>
      </c>
      <c r="DR160" t="n">
        <v>138.2</v>
      </c>
      <c r="DS160" t="n">
        <v>0</v>
      </c>
      <c r="DT160" t="n">
        <v>3101</v>
      </c>
      <c r="DU160" t="n">
        <v>81.59999999999999</v>
      </c>
      <c r="DV160" t="inlineStr">
        <is>
          <t>flat</t>
        </is>
      </c>
      <c r="DW160" t="n">
        <v>85.73</v>
      </c>
      <c r="DX160" t="n">
        <v>90.19</v>
      </c>
      <c r="DY160" t="n">
        <v>19.25</v>
      </c>
      <c r="DZ160" t="n">
        <v>35.08</v>
      </c>
      <c r="EA160" t="n">
        <v>120</v>
      </c>
      <c r="EB160" t="n">
        <v>85</v>
      </c>
      <c r="EC160" t="n">
        <v>40.9</v>
      </c>
      <c r="ED160" t="n">
        <v>38</v>
      </c>
      <c r="EE160" t="n">
        <v>145</v>
      </c>
      <c r="EF160" t="n">
        <v>193.6</v>
      </c>
      <c r="EG160" t="n">
        <v>213</v>
      </c>
      <c r="EH160" t="n">
        <v>266.2</v>
      </c>
      <c r="EI160" t="n">
        <v>3213.4</v>
      </c>
      <c r="EJ160" t="n">
        <v>5536.8</v>
      </c>
      <c r="EK160" t="n">
        <v>2033.3</v>
      </c>
      <c r="EL160" t="n">
        <v>25.7</v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n">
        <v>5.5</v>
      </c>
      <c r="F161" t="b">
        <v>1</v>
      </c>
      <c r="G161" t="b">
        <v>1</v>
      </c>
      <c r="H161" t="n">
        <v>21.3</v>
      </c>
      <c r="I161" t="inlineStr">
        <is>
          <t>a</t>
        </is>
      </c>
      <c r="L161" t="inlineStr">
        <is>
          <t>p549912</t>
        </is>
      </c>
      <c r="M161" t="n">
        <v>549</v>
      </c>
      <c r="Q161" t="n">
        <v>1553</v>
      </c>
      <c r="R161" t="n">
        <v>28</v>
      </c>
      <c r="S161" t="n">
        <v>16</v>
      </c>
      <c r="T161" t="n">
        <v>17.256</v>
      </c>
      <c r="U161" t="n">
        <v>55.5</v>
      </c>
      <c r="V161" t="n">
        <v>83</v>
      </c>
      <c r="W161" t="n">
        <v>4.81</v>
      </c>
      <c r="X161" t="n">
        <v>4</v>
      </c>
      <c r="Y161" t="n">
        <v>2</v>
      </c>
      <c r="Z161" t="n">
        <v>1</v>
      </c>
      <c r="AA161" t="n">
        <v>7</v>
      </c>
      <c r="AB161" t="n">
        <v>14</v>
      </c>
      <c r="AC161" t="n">
        <v>6</v>
      </c>
      <c r="AD161" t="n">
        <v>7</v>
      </c>
      <c r="AE161" t="n">
        <v>1</v>
      </c>
      <c r="AF161" t="n">
        <v>248</v>
      </c>
      <c r="AG161" t="n">
        <v>243</v>
      </c>
      <c r="AH161" t="n">
        <v>-5</v>
      </c>
      <c r="AI161" t="n">
        <v>84</v>
      </c>
      <c r="AJ161" t="n">
        <v>0.07199999999999999</v>
      </c>
      <c r="AK161" t="n">
        <v>0.078</v>
      </c>
      <c r="AL161" t="n">
        <v>92</v>
      </c>
      <c r="AM161" t="n">
        <v>5.332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0.421</v>
      </c>
      <c r="AT161" t="n">
        <v>0.571</v>
      </c>
      <c r="AU161" t="n">
        <v>17</v>
      </c>
      <c r="AV161" t="n">
        <v>1</v>
      </c>
      <c r="AW161" t="n">
        <v>2.58</v>
      </c>
      <c r="AX161" t="n">
        <v>10</v>
      </c>
      <c r="AY161" t="n">
        <v>2.13</v>
      </c>
      <c r="AZ161" t="n">
        <v>2.324</v>
      </c>
      <c r="BA161" t="n">
        <v>2.227</v>
      </c>
      <c r="BB161" t="n">
        <v>2.324</v>
      </c>
      <c r="BC161" t="n">
        <v>0.123</v>
      </c>
      <c r="BD161" t="n">
        <v>0.135</v>
      </c>
      <c r="BE161" t="n">
        <v>0.129</v>
      </c>
      <c r="BF161" t="n">
        <v>3.8</v>
      </c>
      <c r="BG161" t="n">
        <v>0.22</v>
      </c>
      <c r="BH161" t="n">
        <v>1.165</v>
      </c>
      <c r="BI161" t="n">
        <v>2.13</v>
      </c>
      <c r="BJ161" t="n">
        <v>2.481</v>
      </c>
      <c r="BK161" t="n">
        <v>0.144</v>
      </c>
      <c r="BL161" t="n">
        <v>1.773</v>
      </c>
      <c r="BM161" t="n">
        <v>1.67</v>
      </c>
      <c r="BN161" t="n">
        <v>0.2</v>
      </c>
      <c r="BO161" t="n">
        <v>-0.194</v>
      </c>
      <c r="BP161" t="n">
        <v>25</v>
      </c>
      <c r="BQ161" t="n">
        <v>10</v>
      </c>
      <c r="BR161" t="n">
        <v>2</v>
      </c>
      <c r="BS161" t="n">
        <v>48</v>
      </c>
      <c r="BT161" t="n">
        <v>2.782</v>
      </c>
      <c r="BW161" t="n">
        <v>1.18</v>
      </c>
      <c r="BX161" t="n">
        <v>0.6</v>
      </c>
      <c r="BY161" t="n">
        <v>0.89</v>
      </c>
      <c r="BZ161" t="n">
        <v>0.052</v>
      </c>
      <c r="CA161" t="n">
        <v>3.117</v>
      </c>
      <c r="CB161" t="n">
        <v>0.181</v>
      </c>
      <c r="CC161" t="n">
        <v>12</v>
      </c>
      <c r="CE161" t="n">
        <v>12</v>
      </c>
      <c r="CF161" t="n">
        <v>7</v>
      </c>
      <c r="CH161" t="n">
        <v>1</v>
      </c>
      <c r="CI161" t="n">
        <v>3.228</v>
      </c>
      <c r="CJ161" t="n">
        <v>1.189</v>
      </c>
      <c r="CK161" t="n">
        <v>20</v>
      </c>
      <c r="CL161" t="n">
        <v>61</v>
      </c>
      <c r="CM161" t="n">
        <v>11</v>
      </c>
      <c r="CN161" t="n">
        <v>6</v>
      </c>
      <c r="CO161" t="n">
        <v>2</v>
      </c>
      <c r="CP161" t="n">
        <v>17</v>
      </c>
      <c r="CQ161" t="n">
        <v>1</v>
      </c>
      <c r="CR161" t="n">
        <v>29</v>
      </c>
      <c r="CS161" t="n">
        <v>1</v>
      </c>
      <c r="CT161" t="n">
        <v>0.2</v>
      </c>
      <c r="CU161" t="n">
        <v>2</v>
      </c>
      <c r="CW161" t="n">
        <v>22.26</v>
      </c>
      <c r="CX161" t="n">
        <v>1.29</v>
      </c>
      <c r="CY161" t="n">
        <v>0</v>
      </c>
      <c r="DB161" t="n">
        <v>0</v>
      </c>
      <c r="DE161" t="n">
        <v>6.55</v>
      </c>
      <c r="DF161" t="n">
        <v>0</v>
      </c>
      <c r="DG161" t="n">
        <v>0</v>
      </c>
      <c r="DH161" t="n">
        <v>5</v>
      </c>
      <c r="DI161" t="n">
        <v>1</v>
      </c>
      <c r="DL161" t="n">
        <v>16</v>
      </c>
      <c r="DM161" t="n">
        <v>11</v>
      </c>
      <c r="DN161" t="n">
        <v>2</v>
      </c>
      <c r="DO161" t="n">
        <v>0.2</v>
      </c>
      <c r="DP161" t="n">
        <v>91.81999999999999</v>
      </c>
      <c r="DQ161" t="n">
        <v>45.91</v>
      </c>
      <c r="DR161" t="n">
        <v>91.81999999999999</v>
      </c>
      <c r="DS161" t="n">
        <v>0</v>
      </c>
      <c r="DT161" t="n">
        <v>2263</v>
      </c>
      <c r="DU161" t="n">
        <v>59.55</v>
      </c>
      <c r="DV161" t="inlineStr">
        <is>
          <t>flat</t>
        </is>
      </c>
      <c r="DW161" t="n">
        <v>79</v>
      </c>
      <c r="DX161" t="n">
        <v>79</v>
      </c>
      <c r="DZ161" t="n">
        <v>79</v>
      </c>
      <c r="EA161" t="n">
        <v>79</v>
      </c>
      <c r="EB161" t="n">
        <v>1</v>
      </c>
      <c r="EC161" t="n">
        <v>0.5</v>
      </c>
      <c r="ED161" t="n">
        <v>50</v>
      </c>
      <c r="EE161" t="n">
        <v>146</v>
      </c>
      <c r="EF161" t="n">
        <v>62.1</v>
      </c>
      <c r="EG161" t="n">
        <v>32.4</v>
      </c>
      <c r="EH161" t="n">
        <v>129.4</v>
      </c>
      <c r="EI161" t="n">
        <v>697.4</v>
      </c>
      <c r="EJ161" t="n">
        <v>1744.6</v>
      </c>
      <c r="EK161" t="n">
        <v>498.2</v>
      </c>
      <c r="EL161" t="n">
        <v>18.7</v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n">
        <v>5.5</v>
      </c>
      <c r="F162" t="b">
        <v>1</v>
      </c>
      <c r="G162" t="b">
        <v>1</v>
      </c>
      <c r="H162" t="n">
        <v>22.8</v>
      </c>
      <c r="I162" t="inlineStr">
        <is>
          <t>a</t>
        </is>
      </c>
      <c r="L162" t="inlineStr">
        <is>
          <t>p503301</t>
        </is>
      </c>
      <c r="M162" t="n">
        <v>484</v>
      </c>
      <c r="O162" t="n">
        <v>4</v>
      </c>
      <c r="Q162" t="n">
        <v>1676</v>
      </c>
      <c r="R162" t="n">
        <v>31</v>
      </c>
      <c r="S162" t="n">
        <v>17</v>
      </c>
      <c r="T162" t="n">
        <v>18.622</v>
      </c>
      <c r="U162" t="n">
        <v>54.1</v>
      </c>
      <c r="V162" t="n">
        <v>82</v>
      </c>
      <c r="W162" t="n">
        <v>4.403</v>
      </c>
      <c r="X162" t="n">
        <v>1</v>
      </c>
      <c r="Y162" t="n">
        <v>7</v>
      </c>
      <c r="Z162" t="n">
        <v>5</v>
      </c>
      <c r="AA162" t="n">
        <v>6</v>
      </c>
      <c r="AB162" t="n">
        <v>24</v>
      </c>
      <c r="AC162" t="n">
        <v>3</v>
      </c>
      <c r="AD162" t="n">
        <v>3</v>
      </c>
      <c r="AE162" t="n">
        <v>0</v>
      </c>
      <c r="AF162" t="n">
        <v>329</v>
      </c>
      <c r="AG162" t="n">
        <v>324</v>
      </c>
      <c r="AH162" t="n">
        <v>-5</v>
      </c>
      <c r="AI162" t="n">
        <v>82</v>
      </c>
      <c r="AJ162" t="n">
        <v>0.037</v>
      </c>
      <c r="AK162" t="n">
        <v>0.038</v>
      </c>
      <c r="AL162" t="n">
        <v>129</v>
      </c>
      <c r="AM162" t="n">
        <v>6.927</v>
      </c>
      <c r="AN162" t="n">
        <v>1</v>
      </c>
      <c r="AO162" t="n">
        <v>2</v>
      </c>
      <c r="AP162" t="n">
        <v>0.059</v>
      </c>
      <c r="AQ162" t="n">
        <v>0.059</v>
      </c>
      <c r="AR162" t="n">
        <v>0.059</v>
      </c>
      <c r="AS162" t="n">
        <v>0.447</v>
      </c>
      <c r="AT162" t="n">
        <v>0.484</v>
      </c>
      <c r="AU162" t="n">
        <v>19</v>
      </c>
      <c r="AV162" t="n">
        <v>0</v>
      </c>
      <c r="AW162" t="n">
        <v>2.21</v>
      </c>
      <c r="AX162" t="n">
        <v>9</v>
      </c>
      <c r="AY162" t="n">
        <v>2.01</v>
      </c>
      <c r="AZ162" t="n">
        <v>2.178</v>
      </c>
      <c r="BA162" t="n">
        <v>2.094</v>
      </c>
      <c r="BB162" t="n">
        <v>2.178</v>
      </c>
      <c r="BC162" t="n">
        <v>0.108</v>
      </c>
      <c r="BD162" t="n">
        <v>0.117</v>
      </c>
      <c r="BE162" t="n">
        <v>0.112</v>
      </c>
      <c r="BF162" t="n">
        <v>2.2</v>
      </c>
      <c r="BG162" t="n">
        <v>0.118</v>
      </c>
      <c r="BH162" t="n">
        <v>1.043</v>
      </c>
      <c r="BI162" t="n">
        <v>4.94</v>
      </c>
      <c r="BJ162" t="n">
        <v>2.097</v>
      </c>
      <c r="BK162" t="n">
        <v>0.113</v>
      </c>
      <c r="BL162" t="n">
        <v>-1.094</v>
      </c>
      <c r="BM162" t="n">
        <v>0.19</v>
      </c>
      <c r="BN162" t="n">
        <v>-1.2</v>
      </c>
      <c r="BO162" t="n">
        <v>-0.168</v>
      </c>
      <c r="BP162" t="n">
        <v>25</v>
      </c>
      <c r="BQ162" t="n">
        <v>11</v>
      </c>
      <c r="BR162" t="n">
        <v>2</v>
      </c>
      <c r="BS162" t="n">
        <v>84</v>
      </c>
      <c r="BT162" t="n">
        <v>4.511</v>
      </c>
      <c r="BW162" t="n">
        <v>3.87</v>
      </c>
      <c r="BX162" t="n">
        <v>4.932</v>
      </c>
      <c r="BY162" t="n">
        <v>4.401</v>
      </c>
      <c r="BZ162" t="n">
        <v>0.236</v>
      </c>
      <c r="CA162" t="n">
        <v>6.495</v>
      </c>
      <c r="CB162" t="n">
        <v>0.349</v>
      </c>
      <c r="CC162" t="n">
        <v>33</v>
      </c>
      <c r="CD162" t="n">
        <v>8</v>
      </c>
      <c r="CE162" t="n">
        <v>33</v>
      </c>
      <c r="CF162" t="n">
        <v>28</v>
      </c>
      <c r="CG162" t="n">
        <v>1</v>
      </c>
      <c r="CH162" t="n">
        <v>45</v>
      </c>
      <c r="CI162" t="n">
        <v>10.329</v>
      </c>
      <c r="CJ162" t="n">
        <v>5.619</v>
      </c>
      <c r="CK162" t="n">
        <v>20</v>
      </c>
      <c r="CL162" t="n">
        <v>87</v>
      </c>
      <c r="CM162" t="n">
        <v>22</v>
      </c>
      <c r="CN162" t="n">
        <v>12</v>
      </c>
      <c r="CO162" t="n">
        <v>12</v>
      </c>
      <c r="CP162" t="n">
        <v>8</v>
      </c>
      <c r="CQ162" t="n">
        <v>0</v>
      </c>
      <c r="CR162" t="n">
        <v>91</v>
      </c>
      <c r="CS162" t="n">
        <v>5</v>
      </c>
      <c r="CT162" t="n">
        <v>0.7</v>
      </c>
      <c r="CU162" t="n">
        <v>1</v>
      </c>
      <c r="CV162" t="n">
        <v>1</v>
      </c>
      <c r="CW162" t="n">
        <v>24.42</v>
      </c>
      <c r="CX162" t="n">
        <v>1.311</v>
      </c>
      <c r="CY162" t="n">
        <v>0</v>
      </c>
      <c r="DB162" t="n">
        <v>0</v>
      </c>
      <c r="DE162" t="n">
        <v>6.76</v>
      </c>
      <c r="DF162" t="n">
        <v>1</v>
      </c>
      <c r="DG162" t="n">
        <v>0</v>
      </c>
      <c r="DH162" t="n">
        <v>23</v>
      </c>
      <c r="DI162" t="n">
        <v>24</v>
      </c>
      <c r="DJ162" t="n">
        <v>1</v>
      </c>
      <c r="DL162" t="n">
        <v>41</v>
      </c>
      <c r="DM162" t="n">
        <v>29</v>
      </c>
      <c r="DN162" t="n">
        <v>8</v>
      </c>
      <c r="DO162" t="n">
        <v>0.2</v>
      </c>
      <c r="DP162" t="n">
        <v>36.09</v>
      </c>
      <c r="DQ162" t="n">
        <v>18.06</v>
      </c>
      <c r="DR162" t="n">
        <v>36.12</v>
      </c>
      <c r="DS162" t="n">
        <v>-0.03</v>
      </c>
      <c r="DT162" t="n">
        <v>443</v>
      </c>
      <c r="DU162" t="n">
        <v>11.66</v>
      </c>
      <c r="DV162" t="inlineStr">
        <is>
          <t>flat</t>
        </is>
      </c>
      <c r="DW162" t="n">
        <v>80.75</v>
      </c>
      <c r="DY162" t="n">
        <v>21.57</v>
      </c>
      <c r="DZ162" t="n">
        <v>65.5</v>
      </c>
      <c r="EA162" t="n">
        <v>96</v>
      </c>
      <c r="EB162" t="n">
        <v>2</v>
      </c>
      <c r="EC162" t="n">
        <v>1</v>
      </c>
      <c r="ED162" t="n">
        <v>0</v>
      </c>
      <c r="EE162" t="n">
        <v>147</v>
      </c>
      <c r="EF162" t="n">
        <v>67</v>
      </c>
      <c r="EG162" t="n">
        <v>20</v>
      </c>
      <c r="EH162" t="n">
        <v>50.8</v>
      </c>
      <c r="EI162" t="n">
        <v>800.4</v>
      </c>
      <c r="EJ162" t="n">
        <v>380.8</v>
      </c>
      <c r="EK162" t="n">
        <v>258.1</v>
      </c>
      <c r="EL162" t="n">
        <v>20.4</v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n">
        <v>6</v>
      </c>
      <c r="F163" t="b">
        <v>1</v>
      </c>
      <c r="G163" t="b">
        <v>1</v>
      </c>
      <c r="H163" t="n">
        <v>31.5</v>
      </c>
      <c r="I163" t="inlineStr">
        <is>
          <t>a</t>
        </is>
      </c>
      <c r="L163" t="inlineStr">
        <is>
          <t>p114243</t>
        </is>
      </c>
      <c r="M163" t="n">
        <v>457</v>
      </c>
      <c r="O163" t="n">
        <v>3</v>
      </c>
      <c r="Q163" t="n">
        <v>1606</v>
      </c>
      <c r="R163" t="n">
        <v>33</v>
      </c>
      <c r="S163" t="n">
        <v>19</v>
      </c>
      <c r="T163" t="n">
        <v>17.844</v>
      </c>
      <c r="U163" t="n">
        <v>48.7</v>
      </c>
      <c r="V163" t="n">
        <v>82</v>
      </c>
      <c r="W163" t="n">
        <v>4.595</v>
      </c>
      <c r="X163" t="n">
        <v>3</v>
      </c>
      <c r="Y163" t="n">
        <v>2</v>
      </c>
      <c r="Z163" t="n">
        <v>2</v>
      </c>
      <c r="AA163" t="n">
        <v>8</v>
      </c>
      <c r="AB163" t="n">
        <v>20</v>
      </c>
      <c r="AC163" t="n">
        <v>5</v>
      </c>
      <c r="AD163" t="n">
        <v>5</v>
      </c>
      <c r="AE163" t="n">
        <v>0</v>
      </c>
      <c r="AF163" t="n">
        <v>314</v>
      </c>
      <c r="AG163" t="n">
        <v>311</v>
      </c>
      <c r="AH163" t="n">
        <v>-3</v>
      </c>
      <c r="AI163" t="n">
        <v>82</v>
      </c>
      <c r="AJ163" t="n">
        <v>0.061</v>
      </c>
      <c r="AK163" t="n">
        <v>0.065</v>
      </c>
      <c r="AL163" t="n">
        <v>90</v>
      </c>
      <c r="AM163" t="n">
        <v>5.044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0.5</v>
      </c>
      <c r="AT163" t="n">
        <v>0.515</v>
      </c>
      <c r="AU163" t="n">
        <v>21</v>
      </c>
      <c r="AV163" t="n">
        <v>0</v>
      </c>
      <c r="AW163" t="n">
        <v>2.25</v>
      </c>
      <c r="AX163" t="n">
        <v>8</v>
      </c>
      <c r="AY163" t="n">
        <v>3.07</v>
      </c>
      <c r="AZ163" t="n">
        <v>3.12</v>
      </c>
      <c r="BA163" t="n">
        <v>3.095</v>
      </c>
      <c r="BB163" t="n">
        <v>3.12</v>
      </c>
      <c r="BC163" t="n">
        <v>0.172</v>
      </c>
      <c r="BD163" t="n">
        <v>0.175</v>
      </c>
      <c r="BE163" t="n">
        <v>0.173</v>
      </c>
      <c r="BF163" t="n">
        <v>1.7</v>
      </c>
      <c r="BG163" t="n">
        <v>0.095</v>
      </c>
      <c r="BH163" t="n">
        <v>0.923</v>
      </c>
      <c r="BI163" t="n">
        <v>14.65</v>
      </c>
      <c r="BJ163" t="n">
        <v>2.833</v>
      </c>
      <c r="BK163" t="n">
        <v>0.159</v>
      </c>
      <c r="BL163" t="n">
        <v>-0.095</v>
      </c>
      <c r="BM163" t="n">
        <v>-1.37</v>
      </c>
      <c r="BN163" t="n">
        <v>1.3</v>
      </c>
      <c r="BO163" t="n">
        <v>-0.05</v>
      </c>
      <c r="BP163" t="n">
        <v>42</v>
      </c>
      <c r="BQ163" t="n">
        <v>13</v>
      </c>
      <c r="BR163" t="n">
        <v>3</v>
      </c>
      <c r="BS163" t="n">
        <v>57</v>
      </c>
      <c r="BT163" t="n">
        <v>3.194</v>
      </c>
      <c r="BW163" t="n">
        <v>2.66</v>
      </c>
      <c r="BX163" t="n">
        <v>4.786</v>
      </c>
      <c r="BY163" t="n">
        <v>3.723</v>
      </c>
      <c r="BZ163" t="n">
        <v>0.209</v>
      </c>
      <c r="CA163" t="n">
        <v>6.818</v>
      </c>
      <c r="CB163" t="n">
        <v>0.382</v>
      </c>
      <c r="CC163" t="n">
        <v>23</v>
      </c>
      <c r="CD163" t="n">
        <v>10</v>
      </c>
      <c r="CE163" t="n">
        <v>23</v>
      </c>
      <c r="CF163" t="n">
        <v>24</v>
      </c>
      <c r="CG163" t="n">
        <v>3</v>
      </c>
      <c r="CH163" t="n">
        <v>7</v>
      </c>
      <c r="CI163" t="n">
        <v>8.43</v>
      </c>
      <c r="CJ163" t="n">
        <v>2.733</v>
      </c>
      <c r="CK163" t="n">
        <v>27</v>
      </c>
      <c r="CL163" t="n">
        <v>47</v>
      </c>
      <c r="CM163" t="n">
        <v>16</v>
      </c>
      <c r="CN163" t="n">
        <v>12</v>
      </c>
      <c r="CO163" t="n">
        <v>6</v>
      </c>
      <c r="CP163" t="n">
        <v>17</v>
      </c>
      <c r="CQ163" t="n">
        <v>4</v>
      </c>
      <c r="CR163" t="n">
        <v>56</v>
      </c>
      <c r="CS163" t="n">
        <v>7</v>
      </c>
      <c r="CT163" t="n">
        <v>0.4</v>
      </c>
      <c r="CV163" t="n">
        <v>1</v>
      </c>
      <c r="CW163" t="n">
        <v>24.35</v>
      </c>
      <c r="CX163" t="n">
        <v>1.365</v>
      </c>
      <c r="CY163" t="n">
        <v>0</v>
      </c>
      <c r="DB163" t="n">
        <v>0</v>
      </c>
      <c r="DE163" t="n">
        <v>6.59</v>
      </c>
      <c r="DF163" t="n">
        <v>2</v>
      </c>
      <c r="DG163" t="n">
        <v>0</v>
      </c>
      <c r="DH163" t="n">
        <v>9</v>
      </c>
      <c r="DI163" t="n">
        <v>13</v>
      </c>
      <c r="DK163" t="n">
        <v>1</v>
      </c>
      <c r="DL163" t="n">
        <v>20</v>
      </c>
      <c r="DM163" t="n">
        <v>19</v>
      </c>
      <c r="DN163" t="n">
        <v>5</v>
      </c>
      <c r="DO163" t="n">
        <v>0.2</v>
      </c>
      <c r="DP163" t="n">
        <v>90.89</v>
      </c>
      <c r="DQ163" t="n">
        <v>45.46</v>
      </c>
      <c r="DR163" t="n">
        <v>90.92</v>
      </c>
      <c r="DS163" t="n">
        <v>-0.03</v>
      </c>
      <c r="DT163" t="n">
        <v>1835</v>
      </c>
      <c r="DU163" t="n">
        <v>48.3</v>
      </c>
      <c r="DV163" t="inlineStr">
        <is>
          <t>flat</t>
        </is>
      </c>
      <c r="DW163" t="n">
        <v>99.2</v>
      </c>
      <c r="DY163" t="n">
        <v>8.550000000000001</v>
      </c>
      <c r="DZ163" t="n">
        <v>89.14</v>
      </c>
      <c r="EA163" t="n">
        <v>109</v>
      </c>
      <c r="EB163" t="n">
        <v>4</v>
      </c>
      <c r="EC163" t="n">
        <v>1.9</v>
      </c>
      <c r="ED163" t="n">
        <v>0</v>
      </c>
      <c r="EE163" t="n">
        <v>88</v>
      </c>
      <c r="EF163" t="n">
        <v>38.2</v>
      </c>
      <c r="EG163" t="n">
        <v>28.2</v>
      </c>
      <c r="EH163" t="n">
        <v>69.8</v>
      </c>
      <c r="EI163" t="n">
        <v>518.9</v>
      </c>
      <c r="EJ163" t="n">
        <v>431.4</v>
      </c>
      <c r="EK163" t="n">
        <v>235.6</v>
      </c>
      <c r="EL163" t="n">
        <v>19.6</v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n">
        <v>4.5</v>
      </c>
      <c r="F164" t="b">
        <v>1</v>
      </c>
      <c r="G164" t="b">
        <v>1</v>
      </c>
      <c r="H164" t="n">
        <v>30.9</v>
      </c>
      <c r="I164" t="inlineStr">
        <is>
          <t>a</t>
        </is>
      </c>
      <c r="L164" t="inlineStr">
        <is>
          <t>p167074</t>
        </is>
      </c>
      <c r="M164" t="n">
        <v>256</v>
      </c>
      <c r="Q164" t="n">
        <v>1791</v>
      </c>
      <c r="R164" t="n">
        <v>22</v>
      </c>
      <c r="S164" t="n">
        <v>21</v>
      </c>
      <c r="T164" t="n">
        <v>19.9</v>
      </c>
      <c r="U164" t="n">
        <v>81.40000000000001</v>
      </c>
      <c r="V164" t="n">
        <v>81</v>
      </c>
      <c r="W164" t="n">
        <v>4.07</v>
      </c>
      <c r="X164" t="n">
        <v>1</v>
      </c>
      <c r="Y164" t="n">
        <v>0</v>
      </c>
      <c r="AA164" t="n">
        <v>6</v>
      </c>
      <c r="AB164" t="n">
        <v>25</v>
      </c>
      <c r="AC164" t="n">
        <v>5</v>
      </c>
      <c r="AD164" t="n">
        <v>5</v>
      </c>
      <c r="AE164" t="n">
        <v>0</v>
      </c>
      <c r="AF164" t="n">
        <v>318</v>
      </c>
      <c r="AG164" t="n">
        <v>298</v>
      </c>
      <c r="AH164" t="n">
        <v>-20</v>
      </c>
      <c r="AI164" t="n">
        <v>81</v>
      </c>
      <c r="AJ164" t="n">
        <v>0.062</v>
      </c>
      <c r="AK164" t="n">
        <v>0.066</v>
      </c>
      <c r="AL164" t="n">
        <v>165</v>
      </c>
      <c r="AM164" t="n">
        <v>8.291</v>
      </c>
      <c r="AN164" t="n">
        <v>7</v>
      </c>
      <c r="AO164" t="n">
        <v>14</v>
      </c>
      <c r="AP164" t="n">
        <v>0.333</v>
      </c>
      <c r="AQ164" t="n">
        <v>0.333</v>
      </c>
      <c r="AR164" t="n">
        <v>0.143</v>
      </c>
      <c r="AS164" t="n">
        <v>0.553</v>
      </c>
      <c r="AT164" t="n">
        <v>0.864</v>
      </c>
      <c r="AU164" t="n">
        <v>11</v>
      </c>
      <c r="AV164" t="n">
        <v>1</v>
      </c>
      <c r="AW164" t="n">
        <v>2.88</v>
      </c>
      <c r="AX164" t="n">
        <v>12</v>
      </c>
      <c r="AY164" t="n">
        <v>0.92</v>
      </c>
      <c r="AZ164" t="n">
        <v>0.729</v>
      </c>
      <c r="BA164" t="n">
        <v>0.824</v>
      </c>
      <c r="BB164" t="n">
        <v>0.729</v>
      </c>
      <c r="BC164" t="n">
        <v>0.046</v>
      </c>
      <c r="BD164" t="n">
        <v>0.037</v>
      </c>
      <c r="BE164" t="n">
        <v>0.041</v>
      </c>
      <c r="BF164" t="n">
        <v>0.5</v>
      </c>
      <c r="BG164" t="n">
        <v>0.025</v>
      </c>
      <c r="BH164" t="n">
        <v>0.858</v>
      </c>
      <c r="BI164" t="n">
        <v>3.89</v>
      </c>
      <c r="BJ164" t="n">
        <v>0.789</v>
      </c>
      <c r="BK164" t="n">
        <v>0.04</v>
      </c>
      <c r="BL164" t="n">
        <v>0.176</v>
      </c>
      <c r="BM164" t="n">
        <v>-0.42</v>
      </c>
      <c r="BN164" t="n">
        <v>0.5</v>
      </c>
      <c r="BO164" t="n">
        <v>0.191</v>
      </c>
      <c r="BP164" t="n">
        <v>16</v>
      </c>
      <c r="BQ164" t="n">
        <v>3</v>
      </c>
      <c r="BS164" t="n">
        <v>24</v>
      </c>
      <c r="BT164" t="n">
        <v>1.206</v>
      </c>
      <c r="BW164" t="n">
        <v>1.46</v>
      </c>
      <c r="BX164" t="n">
        <v>0.949</v>
      </c>
      <c r="BY164" t="n">
        <v>1.205</v>
      </c>
      <c r="BZ164" t="n">
        <v>0.061</v>
      </c>
      <c r="CA164" t="n">
        <v>2.029</v>
      </c>
      <c r="CB164" t="n">
        <v>0.102</v>
      </c>
      <c r="CC164" t="n">
        <v>11</v>
      </c>
      <c r="CD164" t="n">
        <v>1</v>
      </c>
      <c r="CE164" t="n">
        <v>11</v>
      </c>
      <c r="CF164" t="n">
        <v>13</v>
      </c>
      <c r="CI164" t="n">
        <v>3.944</v>
      </c>
      <c r="CJ164" t="n">
        <v>3.158</v>
      </c>
      <c r="CK164" t="n">
        <v>100</v>
      </c>
      <c r="CL164" t="n">
        <v>82</v>
      </c>
      <c r="CM164" t="n">
        <v>65</v>
      </c>
      <c r="CN164" t="n">
        <v>38</v>
      </c>
      <c r="CO164" t="n">
        <v>27</v>
      </c>
      <c r="CP164" t="n">
        <v>68</v>
      </c>
      <c r="CQ164" t="n">
        <v>6</v>
      </c>
      <c r="CR164" t="n">
        <v>131</v>
      </c>
      <c r="CS164" t="n">
        <v>27</v>
      </c>
      <c r="CT164" t="n">
        <v>0.1</v>
      </c>
      <c r="CW164" t="n">
        <v>25.79</v>
      </c>
      <c r="CX164" t="n">
        <v>1.296</v>
      </c>
      <c r="CY164" t="n">
        <v>0</v>
      </c>
      <c r="DB164" t="n">
        <v>0</v>
      </c>
      <c r="DE164" t="n">
        <v>7.13</v>
      </c>
      <c r="DF164" t="n">
        <v>2</v>
      </c>
      <c r="DG164" t="n">
        <v>0</v>
      </c>
      <c r="DH164" t="n">
        <v>27</v>
      </c>
      <c r="DI164" t="n">
        <v>31</v>
      </c>
      <c r="DL164" t="n">
        <v>8</v>
      </c>
      <c r="DM164" t="n">
        <v>16</v>
      </c>
      <c r="DN164" t="n">
        <v>1</v>
      </c>
      <c r="DO164" t="n">
        <v>0.2</v>
      </c>
      <c r="DP164" t="n">
        <v>64.58</v>
      </c>
      <c r="DQ164" t="n">
        <v>32.29</v>
      </c>
      <c r="DR164" t="n">
        <v>64.58</v>
      </c>
      <c r="DS164" t="n">
        <v>0</v>
      </c>
      <c r="DT164" t="n">
        <v>1528</v>
      </c>
      <c r="DU164" t="n">
        <v>40.2</v>
      </c>
      <c r="DV164" t="inlineStr">
        <is>
          <t>flat</t>
        </is>
      </c>
      <c r="DW164" t="n">
        <v>108</v>
      </c>
      <c r="DZ164" t="n">
        <v>108</v>
      </c>
      <c r="EA164" t="n">
        <v>108</v>
      </c>
      <c r="EB164" t="n">
        <v>1</v>
      </c>
      <c r="EC164" t="n">
        <v>0.5</v>
      </c>
      <c r="ED164" t="n">
        <v>0</v>
      </c>
      <c r="EE164" t="n">
        <v>410</v>
      </c>
      <c r="EF164" t="n">
        <v>111.9</v>
      </c>
      <c r="EG164" t="n">
        <v>74.59999999999999</v>
      </c>
      <c r="EH164" t="n">
        <v>162.8</v>
      </c>
      <c r="EI164" t="n">
        <v>2172.5</v>
      </c>
      <c r="EJ164" t="n">
        <v>1486.9</v>
      </c>
      <c r="EK164" t="n">
        <v>882.7</v>
      </c>
      <c r="EL164" t="n">
        <v>22.1</v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n">
        <v>5.5</v>
      </c>
      <c r="F165" t="b">
        <v>1</v>
      </c>
      <c r="G165" t="b">
        <v>1</v>
      </c>
      <c r="H165" t="n">
        <v>26.3</v>
      </c>
      <c r="I165" t="inlineStr">
        <is>
          <t>a</t>
        </is>
      </c>
      <c r="L165" t="inlineStr">
        <is>
          <t>p432422</t>
        </is>
      </c>
      <c r="M165" t="n">
        <v>455</v>
      </c>
      <c r="O165" t="n">
        <v>5</v>
      </c>
      <c r="P165" t="n">
        <v>4</v>
      </c>
      <c r="Q165" t="n">
        <v>2534</v>
      </c>
      <c r="R165" t="n">
        <v>35</v>
      </c>
      <c r="S165" t="n">
        <v>31</v>
      </c>
      <c r="T165" t="n">
        <v>28.156</v>
      </c>
      <c r="U165" t="n">
        <v>72.40000000000001</v>
      </c>
      <c r="V165" t="n">
        <v>81</v>
      </c>
      <c r="W165" t="n">
        <v>2.877</v>
      </c>
      <c r="X165" t="n">
        <v>0</v>
      </c>
      <c r="Y165" t="n">
        <v>2</v>
      </c>
      <c r="Z165" t="n">
        <v>2</v>
      </c>
      <c r="AA165" t="n">
        <v>7</v>
      </c>
      <c r="AB165" t="n">
        <v>38</v>
      </c>
      <c r="AC165" t="n">
        <v>2</v>
      </c>
      <c r="AD165" t="n">
        <v>1</v>
      </c>
      <c r="AE165" t="n">
        <v>-1</v>
      </c>
      <c r="AF165" t="n">
        <v>477</v>
      </c>
      <c r="AG165" t="n">
        <v>460</v>
      </c>
      <c r="AH165" t="n">
        <v>-17</v>
      </c>
      <c r="AI165" t="n">
        <v>80</v>
      </c>
      <c r="AJ165" t="n">
        <v>0.025</v>
      </c>
      <c r="AK165" t="n">
        <v>0.025</v>
      </c>
      <c r="AL165" t="n">
        <v>257</v>
      </c>
      <c r="AM165" t="n">
        <v>9.128</v>
      </c>
      <c r="AN165" t="n">
        <v>4</v>
      </c>
      <c r="AO165" t="n">
        <v>8</v>
      </c>
      <c r="AP165" t="n">
        <v>0.129</v>
      </c>
      <c r="AQ165" t="n">
        <v>0.258</v>
      </c>
      <c r="AR165" t="n">
        <v>0.129</v>
      </c>
      <c r="AS165" t="n">
        <v>0.8159999999999999</v>
      </c>
      <c r="AT165" t="n">
        <v>0.771</v>
      </c>
      <c r="AU165" t="n">
        <v>23</v>
      </c>
      <c r="AV165" t="n">
        <v>0</v>
      </c>
      <c r="AW165" t="n">
        <v>1.46</v>
      </c>
      <c r="AX165" t="n">
        <v>6</v>
      </c>
      <c r="AY165" t="n">
        <v>1.75</v>
      </c>
      <c r="AZ165" t="n">
        <v>1.417</v>
      </c>
      <c r="BA165" t="n">
        <v>1.584</v>
      </c>
      <c r="BB165" t="n">
        <v>1.417</v>
      </c>
      <c r="BC165" t="n">
        <v>0.062</v>
      </c>
      <c r="BD165" t="n">
        <v>0.05</v>
      </c>
      <c r="BE165" t="n">
        <v>0.056</v>
      </c>
      <c r="BF165" t="n">
        <v>1.6</v>
      </c>
      <c r="BG165" t="n">
        <v>0.057</v>
      </c>
      <c r="BH165" t="n">
        <v>1.038</v>
      </c>
      <c r="BI165" t="n">
        <v>6.83</v>
      </c>
      <c r="BJ165" t="n">
        <v>1.817</v>
      </c>
      <c r="BK165" t="n">
        <v>0.065</v>
      </c>
      <c r="BL165" t="n">
        <v>-1.584</v>
      </c>
      <c r="BM165" t="n">
        <v>-0.15</v>
      </c>
      <c r="BN165" t="n">
        <v>-1.6</v>
      </c>
      <c r="BO165" t="n">
        <v>0.333</v>
      </c>
      <c r="BP165" t="n">
        <v>37</v>
      </c>
      <c r="BQ165" t="n">
        <v>8</v>
      </c>
      <c r="BR165" t="n">
        <v>1</v>
      </c>
      <c r="BS165" t="n">
        <v>25</v>
      </c>
      <c r="BT165" t="n">
        <v>0.888</v>
      </c>
      <c r="BW165" t="n">
        <v>2.87</v>
      </c>
      <c r="BX165" t="n">
        <v>3.761</v>
      </c>
      <c r="BY165" t="n">
        <v>3.315</v>
      </c>
      <c r="BZ165" t="n">
        <v>0.118</v>
      </c>
      <c r="CA165" t="n">
        <v>4.899</v>
      </c>
      <c r="CB165" t="n">
        <v>0.174</v>
      </c>
      <c r="CC165" t="n">
        <v>32</v>
      </c>
      <c r="CD165" t="n">
        <v>6</v>
      </c>
      <c r="CE165" t="n">
        <v>32</v>
      </c>
      <c r="CF165" t="n">
        <v>20</v>
      </c>
      <c r="CG165" t="n">
        <v>3</v>
      </c>
      <c r="CH165" t="n">
        <v>49</v>
      </c>
      <c r="CI165" t="n">
        <v>10.74</v>
      </c>
      <c r="CJ165" t="n">
        <v>8.413</v>
      </c>
      <c r="CK165" t="n">
        <v>75</v>
      </c>
      <c r="CL165" t="n">
        <v>147</v>
      </c>
      <c r="CM165" t="n">
        <v>35</v>
      </c>
      <c r="CN165" t="n">
        <v>26</v>
      </c>
      <c r="CO165" t="n">
        <v>31</v>
      </c>
      <c r="CP165" t="n">
        <v>37</v>
      </c>
      <c r="CQ165" t="n">
        <v>7</v>
      </c>
      <c r="CR165" t="n">
        <v>107</v>
      </c>
      <c r="CS165" t="n">
        <v>13</v>
      </c>
      <c r="CT165" t="n">
        <v>0.5</v>
      </c>
      <c r="CV165" t="n">
        <v>1</v>
      </c>
      <c r="CW165" t="n">
        <v>36.19</v>
      </c>
      <c r="CX165" t="n">
        <v>1.285</v>
      </c>
      <c r="CY165" t="n">
        <v>0</v>
      </c>
      <c r="DB165" t="n">
        <v>0</v>
      </c>
      <c r="DE165" t="n">
        <v>7.04</v>
      </c>
      <c r="DF165" t="n">
        <v>4</v>
      </c>
      <c r="DG165" t="n">
        <v>0</v>
      </c>
      <c r="DH165" t="n">
        <v>24</v>
      </c>
      <c r="DI165" t="n">
        <v>42</v>
      </c>
      <c r="DL165" t="n">
        <v>19</v>
      </c>
      <c r="DM165" t="n">
        <v>17</v>
      </c>
      <c r="DN165" t="n">
        <v>1</v>
      </c>
      <c r="DO165" t="n">
        <v>4.2</v>
      </c>
      <c r="DP165" t="n">
        <v>122.42</v>
      </c>
      <c r="DQ165" t="n">
        <v>61.3</v>
      </c>
      <c r="DR165" t="n">
        <v>122.6</v>
      </c>
      <c r="DS165" t="n">
        <v>-0.18</v>
      </c>
      <c r="DT165" t="n">
        <v>2918</v>
      </c>
      <c r="DU165" t="n">
        <v>76.8</v>
      </c>
      <c r="DV165" t="inlineStr">
        <is>
          <t>flat</t>
        </is>
      </c>
      <c r="DW165" t="n">
        <v>70.02</v>
      </c>
      <c r="DX165" t="n">
        <v>67.5</v>
      </c>
      <c r="DY165" t="n">
        <v>27.12</v>
      </c>
      <c r="DZ165" t="n">
        <v>6</v>
      </c>
      <c r="EA165" t="n">
        <v>119.33</v>
      </c>
      <c r="EB165" t="n">
        <v>94</v>
      </c>
      <c r="EC165" t="n">
        <v>45.2</v>
      </c>
      <c r="ED165" t="n">
        <v>2.1</v>
      </c>
      <c r="EE165" t="n">
        <v>149</v>
      </c>
      <c r="EF165" t="n">
        <v>68.5</v>
      </c>
      <c r="EG165" t="n">
        <v>101.4</v>
      </c>
      <c r="EH165" t="n">
        <v>79.2</v>
      </c>
      <c r="EI165" t="n">
        <v>1600.3</v>
      </c>
      <c r="EJ165" t="n">
        <v>764.3</v>
      </c>
      <c r="EK165" t="n">
        <v>517.3</v>
      </c>
      <c r="EL165" t="n">
        <v>31.3</v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n">
        <v>5.5</v>
      </c>
      <c r="F166" t="b">
        <v>1</v>
      </c>
      <c r="G166" t="b">
        <v>1</v>
      </c>
      <c r="H166" t="n">
        <v>25.6</v>
      </c>
      <c r="I166" t="inlineStr">
        <is>
          <t>a</t>
        </is>
      </c>
      <c r="L166" t="inlineStr">
        <is>
          <t>p206915</t>
        </is>
      </c>
      <c r="M166" t="n">
        <v>373</v>
      </c>
      <c r="Q166" t="n">
        <v>1923</v>
      </c>
      <c r="R166" t="n">
        <v>34</v>
      </c>
      <c r="S166" t="n">
        <v>18</v>
      </c>
      <c r="T166" t="n">
        <v>21.367</v>
      </c>
      <c r="U166" t="n">
        <v>56.6</v>
      </c>
      <c r="V166" t="n">
        <v>81</v>
      </c>
      <c r="W166" t="n">
        <v>3.791</v>
      </c>
      <c r="X166" t="n">
        <v>1</v>
      </c>
      <c r="Y166" t="n">
        <v>3</v>
      </c>
      <c r="Z166" t="n">
        <v>2</v>
      </c>
      <c r="AA166" t="n">
        <v>3</v>
      </c>
      <c r="AB166" t="n">
        <v>37</v>
      </c>
      <c r="AC166" t="n">
        <v>6</v>
      </c>
      <c r="AD166" t="n">
        <v>6</v>
      </c>
      <c r="AE166" t="n">
        <v>0</v>
      </c>
      <c r="AF166" t="n">
        <v>447</v>
      </c>
      <c r="AG166" t="n">
        <v>436</v>
      </c>
      <c r="AH166" t="n">
        <v>-11</v>
      </c>
      <c r="AI166" t="n">
        <v>81</v>
      </c>
      <c r="AJ166" t="n">
        <v>0.074</v>
      </c>
      <c r="AK166" t="n">
        <v>0.08</v>
      </c>
      <c r="AL166" t="n">
        <v>237</v>
      </c>
      <c r="AM166" t="n">
        <v>11.092</v>
      </c>
      <c r="AN166" t="n">
        <v>4</v>
      </c>
      <c r="AO166" t="n">
        <v>8</v>
      </c>
      <c r="AP166" t="n">
        <v>0.222</v>
      </c>
      <c r="AQ166" t="n">
        <v>0.556</v>
      </c>
      <c r="AR166" t="n">
        <v>0.222</v>
      </c>
      <c r="AS166" t="n">
        <v>0.474</v>
      </c>
      <c r="AT166" t="n">
        <v>0.529</v>
      </c>
      <c r="AU166" t="n">
        <v>24</v>
      </c>
      <c r="AV166" t="n">
        <v>1</v>
      </c>
      <c r="AW166" t="n">
        <v>2.13</v>
      </c>
      <c r="AX166" t="n">
        <v>10</v>
      </c>
      <c r="AY166" t="n">
        <v>2.21</v>
      </c>
      <c r="AZ166" t="n">
        <v>2.406</v>
      </c>
      <c r="BA166" t="n">
        <v>2.308</v>
      </c>
      <c r="BB166" t="n">
        <v>2.406</v>
      </c>
      <c r="BC166" t="n">
        <v>0.103</v>
      </c>
      <c r="BD166" t="n">
        <v>0.113</v>
      </c>
      <c r="BE166" t="n">
        <v>0.108</v>
      </c>
      <c r="BF166" t="n">
        <v>2.5</v>
      </c>
      <c r="BG166" t="n">
        <v>0.117</v>
      </c>
      <c r="BH166" t="n">
        <v>0.992</v>
      </c>
      <c r="BI166" t="n">
        <v>10.44</v>
      </c>
      <c r="BJ166" t="n">
        <v>2.193</v>
      </c>
      <c r="BK166" t="n">
        <v>0.103</v>
      </c>
      <c r="BL166" t="n">
        <v>-1.308</v>
      </c>
      <c r="BM166" t="n">
        <v>0.29</v>
      </c>
      <c r="BN166" t="n">
        <v>-1.5</v>
      </c>
      <c r="BO166" t="n">
        <v>-0.196</v>
      </c>
      <c r="BP166" t="n">
        <v>23</v>
      </c>
      <c r="BQ166" t="n">
        <v>7</v>
      </c>
      <c r="BR166" t="n">
        <v>3</v>
      </c>
      <c r="BS166" t="n">
        <v>51</v>
      </c>
      <c r="BT166" t="n">
        <v>2.387</v>
      </c>
      <c r="BW166" t="n">
        <v>2.77</v>
      </c>
      <c r="BX166" t="n">
        <v>2.834</v>
      </c>
      <c r="BY166" t="n">
        <v>2.802</v>
      </c>
      <c r="BZ166" t="n">
        <v>0.131</v>
      </c>
      <c r="CA166" t="n">
        <v>5.11</v>
      </c>
      <c r="CB166" t="n">
        <v>0.239</v>
      </c>
      <c r="CC166" t="n">
        <v>22</v>
      </c>
      <c r="CD166" t="n">
        <v>4</v>
      </c>
      <c r="CE166" t="n">
        <v>21</v>
      </c>
      <c r="CF166" t="n">
        <v>1</v>
      </c>
      <c r="CG166" t="n">
        <v>3</v>
      </c>
      <c r="CH166" t="n">
        <v>2</v>
      </c>
      <c r="CI166" t="n">
        <v>10.62</v>
      </c>
      <c r="CJ166" t="n">
        <v>7.237</v>
      </c>
      <c r="CK166" t="n">
        <v>53</v>
      </c>
      <c r="CL166" t="n">
        <v>144</v>
      </c>
      <c r="CM166" t="n">
        <v>40</v>
      </c>
      <c r="CN166" t="n">
        <v>24</v>
      </c>
      <c r="CO166" t="n">
        <v>18</v>
      </c>
      <c r="CP166" t="n">
        <v>29</v>
      </c>
      <c r="CQ166" t="n">
        <v>6</v>
      </c>
      <c r="CR166" t="n">
        <v>102</v>
      </c>
      <c r="CS166" t="n">
        <v>11</v>
      </c>
      <c r="CT166" t="n">
        <v>0.4</v>
      </c>
      <c r="CV166" t="n">
        <v>5</v>
      </c>
      <c r="CW166" t="n">
        <v>31.44</v>
      </c>
      <c r="CX166" t="n">
        <v>1.471</v>
      </c>
      <c r="CY166" t="n">
        <v>0</v>
      </c>
      <c r="DB166" t="n">
        <v>0</v>
      </c>
      <c r="DE166" t="n">
        <v>6.96</v>
      </c>
      <c r="DF166" t="n">
        <v>2</v>
      </c>
      <c r="DG166" t="n">
        <v>0</v>
      </c>
      <c r="DH166" t="n">
        <v>17</v>
      </c>
      <c r="DI166" t="n">
        <v>29</v>
      </c>
      <c r="DL166" t="n">
        <v>22</v>
      </c>
      <c r="DM166" t="n">
        <v>23</v>
      </c>
      <c r="DO166" t="n">
        <v>0.2</v>
      </c>
      <c r="DP166" t="n">
        <v>45.67</v>
      </c>
      <c r="DQ166" t="n">
        <v>24.09</v>
      </c>
      <c r="DR166" t="n">
        <v>48.18</v>
      </c>
      <c r="DS166" t="n">
        <v>-2.51</v>
      </c>
      <c r="DT166" t="n">
        <v>697</v>
      </c>
      <c r="DU166" t="n">
        <v>18.34</v>
      </c>
      <c r="DV166" t="inlineStr">
        <is>
          <t>fade (losing his place)</t>
        </is>
      </c>
      <c r="DW166" t="n">
        <v>105.5</v>
      </c>
      <c r="DX166" t="n">
        <v>107</v>
      </c>
      <c r="DY166" t="n">
        <v>2.12</v>
      </c>
      <c r="DZ166" t="n">
        <v>104</v>
      </c>
      <c r="EA166" t="n">
        <v>107</v>
      </c>
      <c r="EB166" t="n">
        <v>2</v>
      </c>
      <c r="EC166" t="n">
        <v>1</v>
      </c>
      <c r="ED166" t="n">
        <v>0</v>
      </c>
      <c r="EE166" t="n">
        <v>148</v>
      </c>
      <c r="EF166" t="n">
        <v>83.59999999999999</v>
      </c>
      <c r="EG166" t="n">
        <v>37.7</v>
      </c>
      <c r="EH166" t="n">
        <v>91.59999999999999</v>
      </c>
      <c r="EI166" t="n">
        <v>833.1</v>
      </c>
      <c r="EJ166" t="n">
        <v>686.3</v>
      </c>
      <c r="EK166" t="n">
        <v>376.3</v>
      </c>
      <c r="EL166" t="n">
        <v>23.7</v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n">
        <v>5</v>
      </c>
      <c r="F167" t="b">
        <v>1</v>
      </c>
      <c r="G167" t="b">
        <v>1</v>
      </c>
      <c r="H167" t="n">
        <v>21.7</v>
      </c>
      <c r="I167" t="inlineStr">
        <is>
          <t>a</t>
        </is>
      </c>
      <c r="L167" t="inlineStr">
        <is>
          <t>p577669</t>
        </is>
      </c>
      <c r="M167" t="n">
        <v>545</v>
      </c>
      <c r="Q167" t="n">
        <v>2891</v>
      </c>
      <c r="R167" t="n">
        <v>33</v>
      </c>
      <c r="S167" t="n">
        <v>33</v>
      </c>
      <c r="T167" t="n">
        <v>32.122</v>
      </c>
      <c r="U167" t="n">
        <v>87.59999999999999</v>
      </c>
      <c r="V167" t="n">
        <v>80</v>
      </c>
      <c r="W167" t="n">
        <v>2.49</v>
      </c>
      <c r="X167" t="n">
        <v>0</v>
      </c>
      <c r="Y167" t="n">
        <v>2</v>
      </c>
      <c r="Z167" t="n">
        <v>1</v>
      </c>
      <c r="AA167" t="n">
        <v>9</v>
      </c>
      <c r="AB167" t="n">
        <v>42</v>
      </c>
      <c r="AC167" t="n">
        <v>0</v>
      </c>
      <c r="AD167" t="n">
        <v>0</v>
      </c>
      <c r="AE167" t="n">
        <v>0</v>
      </c>
      <c r="AF167" t="n">
        <v>410</v>
      </c>
      <c r="AG167" t="n">
        <v>388</v>
      </c>
      <c r="AH167" t="n">
        <v>-22</v>
      </c>
      <c r="AI167" t="n">
        <v>80</v>
      </c>
      <c r="AJ167" t="n">
        <v>0</v>
      </c>
      <c r="AK167" t="n">
        <v>0</v>
      </c>
      <c r="AL167" t="n">
        <v>248</v>
      </c>
      <c r="AM167" t="n">
        <v>7.721</v>
      </c>
      <c r="AN167" t="n">
        <v>4</v>
      </c>
      <c r="AO167" t="n">
        <v>8</v>
      </c>
      <c r="AP167" t="n">
        <v>0.121</v>
      </c>
      <c r="AQ167" t="n">
        <v>0.273</v>
      </c>
      <c r="AR167" t="n">
        <v>0.121</v>
      </c>
      <c r="AS167" t="n">
        <v>0.868</v>
      </c>
      <c r="AT167" t="n">
        <v>1</v>
      </c>
      <c r="AU167" t="n">
        <v>20</v>
      </c>
      <c r="AV167" t="n">
        <v>0</v>
      </c>
      <c r="AW167" t="n">
        <v>1.27</v>
      </c>
      <c r="AX167" t="n">
        <v>5</v>
      </c>
      <c r="AY167" t="n">
        <v>1.43</v>
      </c>
      <c r="AZ167" t="n">
        <v>1.619</v>
      </c>
      <c r="BA167" t="n">
        <v>1.524</v>
      </c>
      <c r="BB167" t="n">
        <v>1.619</v>
      </c>
      <c r="BC167" t="n">
        <v>0.045</v>
      </c>
      <c r="BD167" t="n">
        <v>0.05</v>
      </c>
      <c r="BE167" t="n">
        <v>0.047</v>
      </c>
      <c r="BF167" t="n">
        <v>0.7</v>
      </c>
      <c r="BG167" t="n">
        <v>0.022</v>
      </c>
      <c r="BH167" t="n">
        <v>0.923</v>
      </c>
      <c r="BI167" t="n">
        <v>1.43</v>
      </c>
      <c r="BJ167" t="n">
        <v>1.319</v>
      </c>
      <c r="BK167" t="n">
        <v>0.041</v>
      </c>
      <c r="BL167" t="n">
        <v>-1.524</v>
      </c>
      <c r="BM167" t="n">
        <v>-0.73</v>
      </c>
      <c r="BN167" t="n">
        <v>-0.7</v>
      </c>
      <c r="BO167" t="n">
        <v>-0.189</v>
      </c>
      <c r="BP167" t="n">
        <v>18</v>
      </c>
      <c r="BQ167" t="n">
        <v>5</v>
      </c>
      <c r="BR167" t="n">
        <v>1</v>
      </c>
      <c r="BS167" t="n">
        <v>36</v>
      </c>
      <c r="BT167" t="n">
        <v>1.121</v>
      </c>
      <c r="BW167" t="n">
        <v>1.46</v>
      </c>
      <c r="BX167" t="n">
        <v>0.93</v>
      </c>
      <c r="BY167" t="n">
        <v>1.195</v>
      </c>
      <c r="BZ167" t="n">
        <v>0.037</v>
      </c>
      <c r="CA167" t="n">
        <v>2.719</v>
      </c>
      <c r="CB167" t="n">
        <v>0.08500000000000001</v>
      </c>
      <c r="CC167" t="n">
        <v>19</v>
      </c>
      <c r="CE167" t="n">
        <v>19</v>
      </c>
      <c r="CF167" t="n">
        <v>4</v>
      </c>
      <c r="CI167" t="n">
        <v>8.345000000000001</v>
      </c>
      <c r="CJ167" t="n">
        <v>6.268</v>
      </c>
      <c r="CK167" t="n">
        <v>89</v>
      </c>
      <c r="CL167" t="n">
        <v>113</v>
      </c>
      <c r="CM167" t="n">
        <v>46</v>
      </c>
      <c r="CN167" t="n">
        <v>24</v>
      </c>
      <c r="CO167" t="n">
        <v>34</v>
      </c>
      <c r="CP167" t="n">
        <v>44</v>
      </c>
      <c r="CQ167" t="n">
        <v>11</v>
      </c>
      <c r="CR167" t="n">
        <v>123</v>
      </c>
      <c r="CS167" t="n">
        <v>11</v>
      </c>
      <c r="CT167" t="n">
        <v>0.5</v>
      </c>
      <c r="CV167" t="n">
        <v>2</v>
      </c>
      <c r="CW167" t="n">
        <v>41.39</v>
      </c>
      <c r="CX167" t="n">
        <v>1.289</v>
      </c>
      <c r="CY167" t="n">
        <v>0</v>
      </c>
      <c r="DB167" t="n">
        <v>0</v>
      </c>
      <c r="DE167" t="n">
        <v>6.81</v>
      </c>
      <c r="DF167" t="n">
        <v>9</v>
      </c>
      <c r="DG167" t="n">
        <v>0</v>
      </c>
      <c r="DH167" t="n">
        <v>32</v>
      </c>
      <c r="DI167" t="n">
        <v>40</v>
      </c>
      <c r="DL167" t="n">
        <v>27</v>
      </c>
      <c r="DM167" t="n">
        <v>25</v>
      </c>
      <c r="DN167" t="n">
        <v>2</v>
      </c>
      <c r="DO167" t="n">
        <v>0.4</v>
      </c>
      <c r="DP167" t="n">
        <v>89.92</v>
      </c>
      <c r="DQ167" t="n">
        <v>44.96</v>
      </c>
      <c r="DR167" t="n">
        <v>89.92</v>
      </c>
      <c r="DS167" t="n">
        <v>0</v>
      </c>
      <c r="DT167" t="n">
        <v>2842</v>
      </c>
      <c r="DU167" t="n">
        <v>74.8</v>
      </c>
      <c r="DV167" t="inlineStr">
        <is>
          <t>flat</t>
        </is>
      </c>
      <c r="EF167" t="n">
        <v>160.6</v>
      </c>
      <c r="EG167" t="n">
        <v>80.3</v>
      </c>
      <c r="EH167" t="n">
        <v>152.2</v>
      </c>
      <c r="EI167" t="n">
        <v>1896.5</v>
      </c>
      <c r="EJ167" t="n">
        <v>2419.7</v>
      </c>
      <c r="EK167" t="n">
        <v>1063.2</v>
      </c>
      <c r="EL167" t="n">
        <v>36.1</v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n">
        <v>6</v>
      </c>
      <c r="F168" t="b">
        <v>1</v>
      </c>
      <c r="G168" t="b">
        <v>1</v>
      </c>
      <c r="H168" t="n">
        <v>23.3</v>
      </c>
      <c r="I168" t="inlineStr">
        <is>
          <t>i</t>
        </is>
      </c>
      <c r="J168" t="inlineStr">
        <is>
          <t>Knee injury - Unknown return date</t>
        </is>
      </c>
      <c r="K168" t="n">
        <v>0</v>
      </c>
      <c r="L168" t="inlineStr">
        <is>
          <t>p493362</t>
        </is>
      </c>
      <c r="M168" t="n">
        <v>513</v>
      </c>
      <c r="N168" t="n">
        <v>3</v>
      </c>
      <c r="O168" t="n">
        <v>4</v>
      </c>
      <c r="P168" t="n">
        <v>2</v>
      </c>
      <c r="Q168" t="n">
        <v>1747</v>
      </c>
      <c r="R168" t="n">
        <v>28</v>
      </c>
      <c r="S168" t="n">
        <v>19</v>
      </c>
      <c r="T168" t="n">
        <v>19.411</v>
      </c>
      <c r="U168" t="n">
        <v>62.4</v>
      </c>
      <c r="V168" t="n">
        <v>80</v>
      </c>
      <c r="W168" t="n">
        <v>4.121</v>
      </c>
      <c r="X168" t="n">
        <v>2</v>
      </c>
      <c r="Y168" t="n">
        <v>5</v>
      </c>
      <c r="Z168" t="n">
        <v>5</v>
      </c>
      <c r="AA168" t="n">
        <v>4</v>
      </c>
      <c r="AB168" t="n">
        <v>36</v>
      </c>
      <c r="AC168" t="n">
        <v>7</v>
      </c>
      <c r="AD168" t="n">
        <v>7</v>
      </c>
      <c r="AE168" t="n">
        <v>0</v>
      </c>
      <c r="AF168" t="n">
        <v>345</v>
      </c>
      <c r="AG168" t="n">
        <v>341</v>
      </c>
      <c r="AH168" t="n">
        <v>-4</v>
      </c>
      <c r="AI168" t="n">
        <v>80</v>
      </c>
      <c r="AJ168" t="n">
        <v>0.08799999999999999</v>
      </c>
      <c r="AK168" t="n">
        <v>0.096</v>
      </c>
      <c r="AL168" t="n">
        <v>149</v>
      </c>
      <c r="AM168" t="n">
        <v>7.676</v>
      </c>
      <c r="AN168" t="n">
        <v>3</v>
      </c>
      <c r="AO168" t="n">
        <v>6</v>
      </c>
      <c r="AP168" t="n">
        <v>0.158</v>
      </c>
      <c r="AQ168" t="n">
        <v>0.263</v>
      </c>
      <c r="AR168" t="n">
        <v>0.158</v>
      </c>
      <c r="AS168" t="n">
        <v>0.5</v>
      </c>
      <c r="AT168" t="n">
        <v>0.643</v>
      </c>
      <c r="AU168" t="n">
        <v>18</v>
      </c>
      <c r="AV168" t="n">
        <v>2</v>
      </c>
      <c r="AW168" t="n">
        <v>3.11</v>
      </c>
      <c r="AX168" t="n">
        <v>14</v>
      </c>
      <c r="AY168" t="n">
        <v>3.06</v>
      </c>
      <c r="AZ168" t="n">
        <v>2.716</v>
      </c>
      <c r="BA168" t="n">
        <v>2.888</v>
      </c>
      <c r="BB168" t="n">
        <v>2.716</v>
      </c>
      <c r="BC168" t="n">
        <v>0.158</v>
      </c>
      <c r="BD168" t="n">
        <v>0.14</v>
      </c>
      <c r="BE168" t="n">
        <v>0.149</v>
      </c>
      <c r="BF168" t="n">
        <v>3.4</v>
      </c>
      <c r="BG168" t="n">
        <v>0.175</v>
      </c>
      <c r="BH168" t="n">
        <v>1.031</v>
      </c>
      <c r="BI168" t="n">
        <v>3.06</v>
      </c>
      <c r="BJ168" t="n">
        <v>3.154</v>
      </c>
      <c r="BK168" t="n">
        <v>0.162</v>
      </c>
      <c r="BL168" t="n">
        <v>-0.888</v>
      </c>
      <c r="BM168" t="n">
        <v>0.34</v>
      </c>
      <c r="BN168" t="n">
        <v>-1.4</v>
      </c>
      <c r="BO168" t="n">
        <v>0.344</v>
      </c>
      <c r="BP168" t="n">
        <v>42</v>
      </c>
      <c r="BQ168" t="n">
        <v>10</v>
      </c>
      <c r="BR168" t="n">
        <v>3</v>
      </c>
      <c r="BS168" t="n">
        <v>51</v>
      </c>
      <c r="BT168" t="n">
        <v>2.627</v>
      </c>
      <c r="BW168" t="n">
        <v>3.85</v>
      </c>
      <c r="BX168" t="n">
        <v>4.651</v>
      </c>
      <c r="BY168" t="n">
        <v>4.25</v>
      </c>
      <c r="BZ168" t="n">
        <v>0.219</v>
      </c>
      <c r="CA168" t="n">
        <v>7.138</v>
      </c>
      <c r="CB168" t="n">
        <v>0.368</v>
      </c>
      <c r="CC168" t="n">
        <v>34</v>
      </c>
      <c r="CD168" t="n">
        <v>7</v>
      </c>
      <c r="CE168" t="n">
        <v>34</v>
      </c>
      <c r="CF168" t="n">
        <v>14</v>
      </c>
      <c r="CG168" t="n">
        <v>3</v>
      </c>
      <c r="CH168" t="n">
        <v>33</v>
      </c>
      <c r="CI168" t="n">
        <v>9.529999999999999</v>
      </c>
      <c r="CJ168" t="n">
        <v>5.203</v>
      </c>
      <c r="CK168" t="n">
        <v>28</v>
      </c>
      <c r="CL168" t="n">
        <v>87</v>
      </c>
      <c r="CM168" t="n">
        <v>34</v>
      </c>
      <c r="CN168" t="n">
        <v>21</v>
      </c>
      <c r="CO168" t="n">
        <v>15</v>
      </c>
      <c r="CP168" t="n">
        <v>12</v>
      </c>
      <c r="CQ168" t="n">
        <v>1</v>
      </c>
      <c r="CR168" t="n">
        <v>118</v>
      </c>
      <c r="CS168" t="n">
        <v>12</v>
      </c>
      <c r="CT168" t="n">
        <v>1.1</v>
      </c>
      <c r="CV168" t="n">
        <v>2</v>
      </c>
      <c r="CW168" t="n">
        <v>30.71</v>
      </c>
      <c r="CX168" t="n">
        <v>1.582</v>
      </c>
      <c r="CY168" t="n">
        <v>0</v>
      </c>
      <c r="DB168" t="n">
        <v>0</v>
      </c>
      <c r="DE168" t="n">
        <v>6.92</v>
      </c>
      <c r="DF168" t="n">
        <v>5</v>
      </c>
      <c r="DG168" t="n">
        <v>1</v>
      </c>
      <c r="DH168" t="n">
        <v>21</v>
      </c>
      <c r="DI168" t="n">
        <v>44</v>
      </c>
      <c r="DL168" t="n">
        <v>28</v>
      </c>
      <c r="DM168" t="n">
        <v>30</v>
      </c>
      <c r="DO168" t="n">
        <v>0</v>
      </c>
      <c r="DP168" t="n">
        <v>86.84</v>
      </c>
      <c r="DQ168" t="n">
        <v>27.24</v>
      </c>
      <c r="DR168" t="n">
        <v>54.48</v>
      </c>
      <c r="DS168" t="n">
        <v>32.36</v>
      </c>
      <c r="DT168" t="n">
        <v>2160</v>
      </c>
      <c r="DU168" t="n">
        <v>56.85</v>
      </c>
      <c r="DV168" t="inlineStr">
        <is>
          <t>ramp-up (injury / late WC return)</t>
        </is>
      </c>
      <c r="DW168" t="n">
        <v>95.54000000000001</v>
      </c>
      <c r="DY168" t="n">
        <v>20.85</v>
      </c>
      <c r="DZ168" t="n">
        <v>80.8</v>
      </c>
      <c r="EA168" t="n">
        <v>110.29</v>
      </c>
      <c r="EB168" t="n">
        <v>2</v>
      </c>
      <c r="EC168" t="n">
        <v>1</v>
      </c>
      <c r="ED168" t="n">
        <v>0</v>
      </c>
      <c r="EE168" t="n">
        <v>89</v>
      </c>
      <c r="EF168" t="n">
        <v>41.6</v>
      </c>
      <c r="EG168" t="n">
        <v>34.3</v>
      </c>
      <c r="EH168" t="n">
        <v>51.4</v>
      </c>
      <c r="EI168" t="n">
        <v>604.9</v>
      </c>
      <c r="EJ168" t="n">
        <v>411</v>
      </c>
      <c r="EK168" t="n">
        <v>244.7</v>
      </c>
      <c r="EL168" t="n">
        <v>21.8</v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n">
        <v>5.5</v>
      </c>
      <c r="F169" t="b">
        <v>1</v>
      </c>
      <c r="G169" t="b">
        <v>1</v>
      </c>
      <c r="H169" t="n">
        <v>26.1</v>
      </c>
      <c r="I169" t="inlineStr">
        <is>
          <t>a</t>
        </is>
      </c>
      <c r="L169" t="inlineStr">
        <is>
          <t>p209289</t>
        </is>
      </c>
      <c r="M169" t="n">
        <v>262</v>
      </c>
      <c r="Q169" t="n">
        <v>1909</v>
      </c>
      <c r="R169" t="n">
        <v>37</v>
      </c>
      <c r="S169" t="n">
        <v>22</v>
      </c>
      <c r="T169" t="n">
        <v>21.211</v>
      </c>
      <c r="U169" t="n">
        <v>51.6</v>
      </c>
      <c r="V169" t="n">
        <v>80</v>
      </c>
      <c r="W169" t="n">
        <v>3.772</v>
      </c>
      <c r="X169" t="n">
        <v>3</v>
      </c>
      <c r="Y169" t="n">
        <v>1</v>
      </c>
      <c r="AA169" t="n">
        <v>6</v>
      </c>
      <c r="AB169" t="n">
        <v>27</v>
      </c>
      <c r="AC169" t="n">
        <v>1</v>
      </c>
      <c r="AD169" t="n">
        <v>2</v>
      </c>
      <c r="AE169" t="n">
        <v>1</v>
      </c>
      <c r="AF169" t="n">
        <v>351</v>
      </c>
      <c r="AG169" t="n">
        <v>344</v>
      </c>
      <c r="AH169" t="n">
        <v>-7</v>
      </c>
      <c r="AI169" t="n">
        <v>81</v>
      </c>
      <c r="AJ169" t="n">
        <v>0.012</v>
      </c>
      <c r="AK169" t="n">
        <v>0.013</v>
      </c>
      <c r="AL169" t="n">
        <v>148</v>
      </c>
      <c r="AM169" t="n">
        <v>6.977</v>
      </c>
      <c r="AN169" t="n">
        <v>0</v>
      </c>
      <c r="AO169" t="n">
        <v>0</v>
      </c>
      <c r="AP169" t="n">
        <v>0</v>
      </c>
      <c r="AQ169" t="n">
        <v>0.136</v>
      </c>
      <c r="AR169" t="n">
        <v>0</v>
      </c>
      <c r="AS169" t="n">
        <v>0.579</v>
      </c>
      <c r="AT169" t="n">
        <v>0.514</v>
      </c>
      <c r="AU169" t="n">
        <v>27</v>
      </c>
      <c r="AV169" t="n">
        <v>0</v>
      </c>
      <c r="AW169" t="n">
        <v>1.75</v>
      </c>
      <c r="AX169" t="n">
        <v>8</v>
      </c>
      <c r="AY169" t="n">
        <v>4.71</v>
      </c>
      <c r="AZ169" t="n">
        <v>4.261</v>
      </c>
      <c r="BA169" t="n">
        <v>4.486</v>
      </c>
      <c r="BB169" t="n">
        <v>4.261</v>
      </c>
      <c r="BC169" t="n">
        <v>0.222</v>
      </c>
      <c r="BD169" t="n">
        <v>0.201</v>
      </c>
      <c r="BE169" t="n">
        <v>0.211</v>
      </c>
      <c r="BF169" t="n">
        <v>4.4</v>
      </c>
      <c r="BG169" t="n">
        <v>0.207</v>
      </c>
      <c r="BH169" t="n">
        <v>0.9340000000000001</v>
      </c>
      <c r="BI169" t="n">
        <v>11.27</v>
      </c>
      <c r="BJ169" t="n">
        <v>4.4</v>
      </c>
      <c r="BK169" t="n">
        <v>0.207</v>
      </c>
      <c r="BL169" t="n">
        <v>-1.486</v>
      </c>
      <c r="BM169" t="n">
        <v>-0.31</v>
      </c>
      <c r="BN169" t="n">
        <v>-1.4</v>
      </c>
      <c r="BO169" t="n">
        <v>0.449</v>
      </c>
      <c r="BP169" t="n">
        <v>36</v>
      </c>
      <c r="BQ169" t="n">
        <v>11</v>
      </c>
      <c r="BR169" t="n">
        <v>5</v>
      </c>
      <c r="BS169" t="n">
        <v>76</v>
      </c>
      <c r="BT169" t="n">
        <v>3.583</v>
      </c>
      <c r="BV169" t="n">
        <v>1</v>
      </c>
      <c r="BW169" t="n">
        <v>1.12</v>
      </c>
      <c r="BX169" t="n">
        <v>1.418</v>
      </c>
      <c r="BY169" t="n">
        <v>1.269</v>
      </c>
      <c r="BZ169" t="n">
        <v>0.06</v>
      </c>
      <c r="CA169" t="n">
        <v>5.755</v>
      </c>
      <c r="CB169" t="n">
        <v>0.271</v>
      </c>
      <c r="CC169" t="n">
        <v>18</v>
      </c>
      <c r="CD169" t="n">
        <v>1</v>
      </c>
      <c r="CE169" t="n">
        <v>18</v>
      </c>
      <c r="CF169" t="n">
        <v>1</v>
      </c>
      <c r="CI169" t="n">
        <v>8.590999999999999</v>
      </c>
      <c r="CJ169" t="n">
        <v>4.147</v>
      </c>
      <c r="CK169" t="n">
        <v>42</v>
      </c>
      <c r="CL169" t="n">
        <v>71</v>
      </c>
      <c r="CM169" t="n">
        <v>35</v>
      </c>
      <c r="CN169" t="n">
        <v>21</v>
      </c>
      <c r="CO169" t="n">
        <v>22</v>
      </c>
      <c r="CP169" t="n">
        <v>18</v>
      </c>
      <c r="CQ169" t="n">
        <v>1</v>
      </c>
      <c r="CR169" t="n">
        <v>72</v>
      </c>
      <c r="CS169" t="n">
        <v>7</v>
      </c>
      <c r="CT169" t="n">
        <v>0.3</v>
      </c>
      <c r="CV169" t="n">
        <v>2</v>
      </c>
      <c r="CW169" t="n">
        <v>31.27</v>
      </c>
      <c r="CX169" t="n">
        <v>1.474</v>
      </c>
      <c r="CY169" t="n">
        <v>0</v>
      </c>
      <c r="DB169" t="n">
        <v>0</v>
      </c>
      <c r="DE169" t="n">
        <v>6.7</v>
      </c>
      <c r="DF169" t="n">
        <v>1</v>
      </c>
      <c r="DG169" t="n">
        <v>0</v>
      </c>
      <c r="DH169" t="n">
        <v>10</v>
      </c>
      <c r="DI169" t="n">
        <v>17</v>
      </c>
      <c r="DL169" t="n">
        <v>14</v>
      </c>
      <c r="DM169" t="n">
        <v>31</v>
      </c>
      <c r="DN169" t="n">
        <v>3</v>
      </c>
      <c r="DO169" t="n">
        <v>0.4</v>
      </c>
      <c r="DP169" t="n">
        <v>84.76000000000001</v>
      </c>
      <c r="DQ169" t="n">
        <v>42.38</v>
      </c>
      <c r="DR169" t="n">
        <v>84.76000000000001</v>
      </c>
      <c r="DS169" t="n">
        <v>0</v>
      </c>
      <c r="DT169" t="n">
        <v>1744</v>
      </c>
      <c r="DU169" t="n">
        <v>45.9</v>
      </c>
      <c r="DV169" t="inlineStr">
        <is>
          <t>flat</t>
        </is>
      </c>
      <c r="DW169" t="n">
        <v>81.39</v>
      </c>
      <c r="DX169" t="n">
        <v>88</v>
      </c>
      <c r="DY169" t="n">
        <v>14.6</v>
      </c>
      <c r="DZ169" t="n">
        <v>57</v>
      </c>
      <c r="EA169" t="n">
        <v>101.71</v>
      </c>
      <c r="EB169" t="n">
        <v>10</v>
      </c>
      <c r="EC169" t="n">
        <v>4.8</v>
      </c>
      <c r="ED169" t="n">
        <v>0</v>
      </c>
      <c r="EE169" t="n">
        <v>150</v>
      </c>
      <c r="EF169" t="n">
        <v>53</v>
      </c>
      <c r="EG169" t="n">
        <v>25.1</v>
      </c>
      <c r="EH169" t="n">
        <v>106.1</v>
      </c>
      <c r="EI169" t="n">
        <v>425.6</v>
      </c>
      <c r="EJ169" t="n">
        <v>1504.6</v>
      </c>
      <c r="EK169" t="n">
        <v>331.7</v>
      </c>
      <c r="EL169" t="n">
        <v>23.9</v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n">
        <v>5.5</v>
      </c>
      <c r="F170" t="b">
        <v>1</v>
      </c>
      <c r="G170" t="b">
        <v>1</v>
      </c>
      <c r="H170" t="n">
        <v>34.5</v>
      </c>
      <c r="I170" t="inlineStr">
        <is>
          <t>a</t>
        </is>
      </c>
      <c r="L170" t="inlineStr">
        <is>
          <t>p75115</t>
        </is>
      </c>
      <c r="M170" t="n">
        <v>108</v>
      </c>
      <c r="Q170" t="n">
        <v>1234</v>
      </c>
      <c r="R170" t="n">
        <v>32</v>
      </c>
      <c r="S170" t="n">
        <v>11</v>
      </c>
      <c r="T170" t="n">
        <v>13.711</v>
      </c>
      <c r="U170" t="n">
        <v>38.6</v>
      </c>
      <c r="V170" t="n">
        <v>80</v>
      </c>
      <c r="W170" t="n">
        <v>5.835</v>
      </c>
      <c r="X170" t="n">
        <v>7</v>
      </c>
      <c r="Y170" t="n">
        <v>2</v>
      </c>
      <c r="Z170" t="n">
        <v>1</v>
      </c>
      <c r="AA170" t="n">
        <v>1</v>
      </c>
      <c r="AB170" t="n">
        <v>24</v>
      </c>
      <c r="AC170" t="n">
        <v>7</v>
      </c>
      <c r="AD170" t="n">
        <v>9</v>
      </c>
      <c r="AE170" t="n">
        <v>2</v>
      </c>
      <c r="AF170" t="n">
        <v>296</v>
      </c>
      <c r="AG170" t="n">
        <v>295</v>
      </c>
      <c r="AH170" t="n">
        <v>-1</v>
      </c>
      <c r="AI170" t="n">
        <v>82</v>
      </c>
      <c r="AJ170" t="n">
        <v>0.08799999999999999</v>
      </c>
      <c r="AK170" t="n">
        <v>0.096</v>
      </c>
      <c r="AL170" t="n">
        <v>41</v>
      </c>
      <c r="AM170" t="n">
        <v>2.99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0.289</v>
      </c>
      <c r="AT170" t="n">
        <v>0.25</v>
      </c>
      <c r="AU170" t="n">
        <v>24</v>
      </c>
      <c r="AV170" t="n">
        <v>1</v>
      </c>
      <c r="AW170" t="n">
        <v>2.51</v>
      </c>
      <c r="AX170" t="n">
        <v>12</v>
      </c>
      <c r="AY170" t="n">
        <v>7.6</v>
      </c>
      <c r="AZ170" t="n">
        <v>7.603</v>
      </c>
      <c r="BA170" t="n">
        <v>7.601</v>
      </c>
      <c r="BB170" t="n">
        <v>7.603</v>
      </c>
      <c r="BC170" t="n">
        <v>0.554</v>
      </c>
      <c r="BD170" t="n">
        <v>0.554</v>
      </c>
      <c r="BE170" t="n">
        <v>0.554</v>
      </c>
      <c r="BF170" t="n">
        <v>6.8</v>
      </c>
      <c r="BG170" t="n">
        <v>0.496</v>
      </c>
      <c r="BH170" t="n">
        <v>0.965</v>
      </c>
      <c r="BI170" t="n">
        <v>33.35</v>
      </c>
      <c r="BJ170" t="n">
        <v>7.333</v>
      </c>
      <c r="BK170" t="n">
        <v>0.535</v>
      </c>
      <c r="BL170" t="n">
        <v>-0.601</v>
      </c>
      <c r="BM170" t="n">
        <v>-0.8</v>
      </c>
      <c r="BN170" t="n">
        <v>0.2</v>
      </c>
      <c r="BO170" t="n">
        <v>-0.003</v>
      </c>
      <c r="BP170" t="n">
        <v>38</v>
      </c>
      <c r="BQ170" t="n">
        <v>16</v>
      </c>
      <c r="BR170" t="n">
        <v>7</v>
      </c>
      <c r="BS170" t="n">
        <v>85</v>
      </c>
      <c r="BT170" t="n">
        <v>6.199</v>
      </c>
      <c r="BV170" t="n">
        <v>2</v>
      </c>
      <c r="BW170" t="n">
        <v>0.54</v>
      </c>
      <c r="BX170" t="n">
        <v>1.027</v>
      </c>
      <c r="BY170" t="n">
        <v>0.783</v>
      </c>
      <c r="BZ170" t="n">
        <v>0.057</v>
      </c>
      <c r="CA170" t="n">
        <v>8.385</v>
      </c>
      <c r="CB170" t="n">
        <v>0.612</v>
      </c>
      <c r="CC170" t="n">
        <v>8</v>
      </c>
      <c r="CD170" t="n">
        <v>1</v>
      </c>
      <c r="CE170" t="n">
        <v>8</v>
      </c>
      <c r="CF170" t="n">
        <v>1</v>
      </c>
      <c r="CI170" t="n">
        <v>6.896</v>
      </c>
      <c r="CJ170" t="n">
        <v>0.638</v>
      </c>
      <c r="CK170" t="n">
        <v>10</v>
      </c>
      <c r="CL170" t="n">
        <v>27</v>
      </c>
      <c r="CM170" t="n">
        <v>4</v>
      </c>
      <c r="CN170" t="n">
        <v>2</v>
      </c>
      <c r="CO170" t="n">
        <v>3</v>
      </c>
      <c r="CP170" t="n">
        <v>5</v>
      </c>
      <c r="CQ170" t="n">
        <v>2</v>
      </c>
      <c r="CR170" t="n">
        <v>50</v>
      </c>
      <c r="CS170" t="n">
        <v>19</v>
      </c>
      <c r="CT170" t="n">
        <v>0.7</v>
      </c>
      <c r="CW170" t="n">
        <v>21.49</v>
      </c>
      <c r="CX170" t="n">
        <v>1.567</v>
      </c>
      <c r="CY170" t="n">
        <v>0</v>
      </c>
      <c r="DB170" t="n">
        <v>0</v>
      </c>
      <c r="DE170" t="n">
        <v>6.4</v>
      </c>
      <c r="DF170" t="n">
        <v>1</v>
      </c>
      <c r="DG170" t="n">
        <v>0</v>
      </c>
      <c r="DH170" t="n">
        <v>12</v>
      </c>
      <c r="DI170" t="n">
        <v>14</v>
      </c>
      <c r="DL170" t="n">
        <v>13</v>
      </c>
      <c r="DM170" t="n">
        <v>21</v>
      </c>
      <c r="DN170" t="n">
        <v>9</v>
      </c>
      <c r="DO170" t="n">
        <v>0.4</v>
      </c>
      <c r="DP170" t="n">
        <v>31.68</v>
      </c>
      <c r="DQ170" t="n">
        <v>15.84</v>
      </c>
      <c r="DR170" t="n">
        <v>31.68</v>
      </c>
      <c r="DS170" t="n">
        <v>0</v>
      </c>
      <c r="DT170" t="n">
        <v>258</v>
      </c>
      <c r="DU170" t="n">
        <v>6.79</v>
      </c>
      <c r="DV170" t="inlineStr">
        <is>
          <t>flat</t>
        </is>
      </c>
      <c r="DW170" t="n">
        <v>84.8</v>
      </c>
      <c r="DX170" t="n">
        <v>79.33</v>
      </c>
      <c r="DY170" t="n">
        <v>24.98</v>
      </c>
      <c r="DZ170" t="n">
        <v>34</v>
      </c>
      <c r="EA170" t="n">
        <v>112</v>
      </c>
      <c r="EB170" t="n">
        <v>21</v>
      </c>
      <c r="EC170" t="n">
        <v>10.1</v>
      </c>
      <c r="ED170" t="n">
        <v>12.5</v>
      </c>
      <c r="EE170" t="n">
        <v>201</v>
      </c>
      <c r="EF170" t="n">
        <v>32.5</v>
      </c>
      <c r="EG170" t="n">
        <v>14.5</v>
      </c>
      <c r="EH170" t="n">
        <v>154.2</v>
      </c>
      <c r="EI170" t="n">
        <v>162.3</v>
      </c>
      <c r="EJ170" t="n">
        <v>1575.2</v>
      </c>
      <c r="EK170" t="n">
        <v>147.2</v>
      </c>
      <c r="EL170" t="n">
        <v>15.4</v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n">
        <v>5</v>
      </c>
      <c r="F171" t="b">
        <v>1</v>
      </c>
      <c r="G171" t="b">
        <v>1</v>
      </c>
      <c r="H171" t="n">
        <v>21.9</v>
      </c>
      <c r="I171" t="inlineStr">
        <is>
          <t>a</t>
        </is>
      </c>
      <c r="L171" t="inlineStr">
        <is>
          <t>p487838</t>
        </is>
      </c>
      <c r="M171" t="n">
        <v>449</v>
      </c>
      <c r="O171" t="n">
        <v>2</v>
      </c>
      <c r="P171" t="n">
        <v>1</v>
      </c>
      <c r="Q171" t="n">
        <v>2176</v>
      </c>
      <c r="R171" t="n">
        <v>30</v>
      </c>
      <c r="S171" t="n">
        <v>24</v>
      </c>
      <c r="T171" t="n">
        <v>24.178</v>
      </c>
      <c r="U171" t="n">
        <v>72.5</v>
      </c>
      <c r="V171" t="n">
        <v>79</v>
      </c>
      <c r="W171" t="n">
        <v>3.267</v>
      </c>
      <c r="X171" t="n">
        <v>1</v>
      </c>
      <c r="Y171" t="n">
        <v>2</v>
      </c>
      <c r="Z171" t="n">
        <v>1</v>
      </c>
      <c r="AA171" t="n">
        <v>4</v>
      </c>
      <c r="AB171" t="n">
        <v>39</v>
      </c>
      <c r="AC171" t="n">
        <v>4</v>
      </c>
      <c r="AD171" t="n">
        <v>5</v>
      </c>
      <c r="AE171" t="n">
        <v>1</v>
      </c>
      <c r="AF171" t="n">
        <v>347</v>
      </c>
      <c r="AG171" t="n">
        <v>329</v>
      </c>
      <c r="AH171" t="n">
        <v>-18</v>
      </c>
      <c r="AI171" t="n">
        <v>80</v>
      </c>
      <c r="AJ171" t="n">
        <v>0.051</v>
      </c>
      <c r="AK171" t="n">
        <v>0.053</v>
      </c>
      <c r="AL171" t="n">
        <v>173</v>
      </c>
      <c r="AM171" t="n">
        <v>7.155</v>
      </c>
      <c r="AN171" t="n">
        <v>5</v>
      </c>
      <c r="AO171" t="n">
        <v>10</v>
      </c>
      <c r="AP171" t="n">
        <v>0.208</v>
      </c>
      <c r="AQ171" t="n">
        <v>0.208</v>
      </c>
      <c r="AR171" t="n">
        <v>0</v>
      </c>
      <c r="AS171" t="n">
        <v>0.632</v>
      </c>
      <c r="AT171" t="n">
        <v>0.767</v>
      </c>
      <c r="AU171" t="n">
        <v>19</v>
      </c>
      <c r="AV171" t="n">
        <v>0</v>
      </c>
      <c r="AW171" t="n">
        <v>2.32</v>
      </c>
      <c r="AX171" t="n">
        <v>9</v>
      </c>
      <c r="AY171" t="n">
        <v>1.01</v>
      </c>
      <c r="AZ171" t="n">
        <v>1.288</v>
      </c>
      <c r="BA171" t="n">
        <v>1.149</v>
      </c>
      <c r="BB171" t="n">
        <v>1.288</v>
      </c>
      <c r="BC171" t="n">
        <v>0.042</v>
      </c>
      <c r="BD171" t="n">
        <v>0.053</v>
      </c>
      <c r="BE171" t="n">
        <v>0.048</v>
      </c>
      <c r="BF171" t="n">
        <v>0.9</v>
      </c>
      <c r="BG171" t="n">
        <v>0.037</v>
      </c>
      <c r="BH171" t="n">
        <v>0.989</v>
      </c>
      <c r="BI171" t="n">
        <v>2.62</v>
      </c>
      <c r="BJ171" t="n">
        <v>0.999</v>
      </c>
      <c r="BK171" t="n">
        <v>0.041</v>
      </c>
      <c r="BL171" t="n">
        <v>-0.149</v>
      </c>
      <c r="BM171" t="n">
        <v>-0.11</v>
      </c>
      <c r="BN171" t="n">
        <v>0.1</v>
      </c>
      <c r="BO171" t="n">
        <v>-0.278</v>
      </c>
      <c r="BP171" t="n">
        <v>25</v>
      </c>
      <c r="BQ171" t="n">
        <v>6</v>
      </c>
      <c r="BR171" t="n">
        <v>1</v>
      </c>
      <c r="BS171" t="n">
        <v>50</v>
      </c>
      <c r="BT171" t="n">
        <v>2.068</v>
      </c>
      <c r="BW171" t="n">
        <v>2.78</v>
      </c>
      <c r="BX171" t="n">
        <v>2.534</v>
      </c>
      <c r="BY171" t="n">
        <v>2.657</v>
      </c>
      <c r="BZ171" t="n">
        <v>0.11</v>
      </c>
      <c r="CA171" t="n">
        <v>3.806</v>
      </c>
      <c r="CB171" t="n">
        <v>0.157</v>
      </c>
      <c r="CC171" t="n">
        <v>25</v>
      </c>
      <c r="CD171" t="n">
        <v>5</v>
      </c>
      <c r="CE171" t="n">
        <v>25</v>
      </c>
      <c r="CF171" t="n">
        <v>20</v>
      </c>
      <c r="CG171" t="n">
        <v>2</v>
      </c>
      <c r="CH171" t="n">
        <v>41</v>
      </c>
      <c r="CI171" t="n">
        <v>8.868</v>
      </c>
      <c r="CJ171" t="n">
        <v>7.468</v>
      </c>
      <c r="CK171" t="n">
        <v>119</v>
      </c>
      <c r="CL171" t="n">
        <v>134</v>
      </c>
      <c r="CM171" t="n">
        <v>54</v>
      </c>
      <c r="CN171" t="n">
        <v>31</v>
      </c>
      <c r="CO171" t="n">
        <v>28</v>
      </c>
      <c r="CP171" t="n">
        <v>77</v>
      </c>
      <c r="CQ171" t="n">
        <v>14</v>
      </c>
      <c r="CR171" t="n">
        <v>158</v>
      </c>
      <c r="CS171" t="n">
        <v>26</v>
      </c>
      <c r="CT171" t="n">
        <v>0.5</v>
      </c>
      <c r="CU171" t="n">
        <v>1</v>
      </c>
      <c r="CV171" t="n">
        <v>2</v>
      </c>
      <c r="CW171" t="n">
        <v>37.72</v>
      </c>
      <c r="CX171" t="n">
        <v>1.56</v>
      </c>
      <c r="CY171" t="n">
        <v>0</v>
      </c>
      <c r="DB171" t="n">
        <v>0</v>
      </c>
      <c r="DE171" t="n">
        <v>6.99</v>
      </c>
      <c r="DF171" t="n">
        <v>4</v>
      </c>
      <c r="DG171" t="n">
        <v>0</v>
      </c>
      <c r="DH171" t="n">
        <v>17</v>
      </c>
      <c r="DI171" t="n">
        <v>41</v>
      </c>
      <c r="DL171" t="n">
        <v>37</v>
      </c>
      <c r="DM171" t="n">
        <v>38</v>
      </c>
      <c r="DO171" t="n">
        <v>3.9</v>
      </c>
      <c r="DP171" t="n">
        <v>109.17</v>
      </c>
      <c r="DQ171" t="n">
        <v>54.65</v>
      </c>
      <c r="DR171" t="n">
        <v>109.3</v>
      </c>
      <c r="DS171" t="n">
        <v>-0.13</v>
      </c>
      <c r="DT171" t="n">
        <v>2702</v>
      </c>
      <c r="DU171" t="n">
        <v>71.09999999999999</v>
      </c>
      <c r="DV171" t="inlineStr">
        <is>
          <t>flat</t>
        </is>
      </c>
      <c r="DW171" t="n">
        <v>83.68000000000001</v>
      </c>
      <c r="DX171" t="n">
        <v>93.97</v>
      </c>
      <c r="DY171" t="n">
        <v>20.55</v>
      </c>
      <c r="DZ171" t="n">
        <v>26.29</v>
      </c>
      <c r="EA171" t="n">
        <v>119</v>
      </c>
      <c r="EB171" t="n">
        <v>126</v>
      </c>
      <c r="EC171" t="n">
        <v>60.6</v>
      </c>
      <c r="ED171" t="n">
        <v>5.3</v>
      </c>
      <c r="EE171" t="n">
        <v>256</v>
      </c>
      <c r="EF171" t="n">
        <v>87</v>
      </c>
      <c r="EG171" t="n">
        <v>43.5</v>
      </c>
      <c r="EH171" t="n">
        <v>87</v>
      </c>
      <c r="EI171" t="n">
        <v>1893.7</v>
      </c>
      <c r="EJ171" t="n">
        <v>819</v>
      </c>
      <c r="EK171" t="n">
        <v>571.7</v>
      </c>
      <c r="EL171" t="n">
        <v>27.5</v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n">
        <v>6.5</v>
      </c>
      <c r="F172" t="b">
        <v>1</v>
      </c>
      <c r="G172" t="b">
        <v>1</v>
      </c>
      <c r="H172" t="n">
        <v>30.9</v>
      </c>
      <c r="I172" t="inlineStr">
        <is>
          <t>d</t>
        </is>
      </c>
      <c r="J172" t="inlineStr">
        <is>
          <t>Foot injury - 75% chance of playing</t>
        </is>
      </c>
      <c r="K172" t="n">
        <v>75</v>
      </c>
      <c r="L172" t="inlineStr">
        <is>
          <t>p114283</t>
        </is>
      </c>
      <c r="M172" t="n">
        <v>238</v>
      </c>
      <c r="Q172" t="n">
        <v>1627</v>
      </c>
      <c r="R172" t="n">
        <v>20</v>
      </c>
      <c r="S172" t="n">
        <v>18</v>
      </c>
      <c r="T172" t="n">
        <v>18.078</v>
      </c>
      <c r="U172" t="n">
        <v>81.40000000000001</v>
      </c>
      <c r="V172" t="n">
        <v>79</v>
      </c>
      <c r="W172" t="n">
        <v>4.37</v>
      </c>
      <c r="X172" t="n">
        <v>2</v>
      </c>
      <c r="Y172" t="n">
        <v>6</v>
      </c>
      <c r="Z172" t="n">
        <v>6</v>
      </c>
      <c r="AA172" t="n">
        <v>7</v>
      </c>
      <c r="AB172" t="n">
        <v>23</v>
      </c>
      <c r="AC172" t="n">
        <v>12</v>
      </c>
      <c r="AD172" t="n">
        <v>12</v>
      </c>
      <c r="AE172" t="n">
        <v>0</v>
      </c>
      <c r="AF172" t="n">
        <v>356</v>
      </c>
      <c r="AG172" t="n">
        <v>350</v>
      </c>
      <c r="AH172" t="n">
        <v>-6</v>
      </c>
      <c r="AI172" t="n">
        <v>79</v>
      </c>
      <c r="AJ172" t="n">
        <v>0.152</v>
      </c>
      <c r="AK172" t="n">
        <v>0.179</v>
      </c>
      <c r="AL172" t="n">
        <v>135</v>
      </c>
      <c r="AM172" t="n">
        <v>7.468</v>
      </c>
      <c r="AN172" t="n">
        <v>0</v>
      </c>
      <c r="AO172" t="n">
        <v>0</v>
      </c>
      <c r="AP172" t="n">
        <v>0</v>
      </c>
      <c r="AQ172" t="n">
        <v>0.222</v>
      </c>
      <c r="AR172" t="n">
        <v>0</v>
      </c>
      <c r="AS172" t="n">
        <v>0.474</v>
      </c>
      <c r="AT172" t="n">
        <v>0.9</v>
      </c>
      <c r="AU172" t="n">
        <v>11</v>
      </c>
      <c r="AV172" t="n">
        <v>5</v>
      </c>
      <c r="AW172" t="n">
        <v>3.46</v>
      </c>
      <c r="AX172" t="n">
        <v>11</v>
      </c>
      <c r="AY172" t="n">
        <v>2.05</v>
      </c>
      <c r="AZ172" t="n">
        <v>3.085</v>
      </c>
      <c r="BA172" t="n">
        <v>2.567</v>
      </c>
      <c r="BB172" t="n">
        <v>3.085</v>
      </c>
      <c r="BC172" t="n">
        <v>0.113</v>
      </c>
      <c r="BD172" t="n">
        <v>0.171</v>
      </c>
      <c r="BE172" t="n">
        <v>0.142</v>
      </c>
      <c r="BF172" t="n">
        <v>2.2</v>
      </c>
      <c r="BG172" t="n">
        <v>0.122</v>
      </c>
      <c r="BH172" t="n">
        <v>1.07</v>
      </c>
      <c r="BI172" t="n">
        <v>9.85</v>
      </c>
      <c r="BJ172" t="n">
        <v>2.194</v>
      </c>
      <c r="BK172" t="n">
        <v>0.121</v>
      </c>
      <c r="BL172" t="n">
        <v>-0.5669999999999999</v>
      </c>
      <c r="BM172" t="n">
        <v>0.15</v>
      </c>
      <c r="BN172" t="n">
        <v>-0.2</v>
      </c>
      <c r="BO172" t="n">
        <v>-1.035</v>
      </c>
      <c r="BP172" t="n">
        <v>26</v>
      </c>
      <c r="BQ172" t="n">
        <v>8</v>
      </c>
      <c r="BR172" t="n">
        <v>4</v>
      </c>
      <c r="BS172" t="n">
        <v>105</v>
      </c>
      <c r="BT172" t="n">
        <v>5.808</v>
      </c>
      <c r="BW172" t="n">
        <v>3.37</v>
      </c>
      <c r="BX172" t="n">
        <v>4.558</v>
      </c>
      <c r="BY172" t="n">
        <v>3.964</v>
      </c>
      <c r="BZ172" t="n">
        <v>0.219</v>
      </c>
      <c r="CA172" t="n">
        <v>6.532</v>
      </c>
      <c r="CB172" t="n">
        <v>0.361</v>
      </c>
      <c r="CC172" t="n">
        <v>38</v>
      </c>
      <c r="CD172" t="n">
        <v>5</v>
      </c>
      <c r="CE172" t="n">
        <v>38</v>
      </c>
      <c r="CF172" t="n">
        <v>10</v>
      </c>
      <c r="CG172" t="n">
        <v>3</v>
      </c>
      <c r="CH172" t="n">
        <v>2</v>
      </c>
      <c r="CI172" t="n">
        <v>9.291</v>
      </c>
      <c r="CJ172" t="n">
        <v>3.292</v>
      </c>
      <c r="CK172" t="n">
        <v>27</v>
      </c>
      <c r="CL172" t="n">
        <v>88</v>
      </c>
      <c r="CM172" t="n">
        <v>20</v>
      </c>
      <c r="CN172" t="n">
        <v>15</v>
      </c>
      <c r="CO172" t="n">
        <v>12</v>
      </c>
      <c r="CP172" t="n">
        <v>11</v>
      </c>
      <c r="CQ172" t="n">
        <v>6</v>
      </c>
      <c r="CR172" t="n">
        <v>106</v>
      </c>
      <c r="CS172" t="n">
        <v>4</v>
      </c>
      <c r="CT172" t="n">
        <v>0.9</v>
      </c>
      <c r="CV172" t="n">
        <v>2</v>
      </c>
      <c r="CW172" t="n">
        <v>25.81</v>
      </c>
      <c r="CX172" t="n">
        <v>1.428</v>
      </c>
      <c r="CY172" t="n">
        <v>0</v>
      </c>
      <c r="DB172" t="n">
        <v>0</v>
      </c>
      <c r="DE172" t="n">
        <v>7.21</v>
      </c>
      <c r="DF172" t="n">
        <v>3</v>
      </c>
      <c r="DG172" t="n">
        <v>1</v>
      </c>
      <c r="DH172" t="n">
        <v>13</v>
      </c>
      <c r="DI172" t="n">
        <v>58</v>
      </c>
      <c r="DL172" t="n">
        <v>23</v>
      </c>
      <c r="DM172" t="n">
        <v>30</v>
      </c>
      <c r="DN172" t="n">
        <v>0</v>
      </c>
      <c r="DO172" t="n">
        <v>0.1</v>
      </c>
      <c r="DP172" t="n">
        <v>7.77</v>
      </c>
      <c r="DQ172" t="n">
        <v>4.01</v>
      </c>
      <c r="DR172" t="n">
        <v>8.02</v>
      </c>
      <c r="DS172" t="n">
        <v>-0.25</v>
      </c>
      <c r="DT172" t="n">
        <v>27</v>
      </c>
      <c r="DU172" t="n">
        <v>0.7</v>
      </c>
      <c r="DV172" t="inlineStr">
        <is>
          <t>flat</t>
        </is>
      </c>
      <c r="DW172" t="n">
        <v>72.56</v>
      </c>
      <c r="DY172" t="n">
        <v>31.99</v>
      </c>
      <c r="DZ172" t="n">
        <v>29</v>
      </c>
      <c r="EA172" t="n">
        <v>108.67</v>
      </c>
      <c r="EB172" t="n">
        <v>10</v>
      </c>
      <c r="EC172" t="n">
        <v>4.8</v>
      </c>
      <c r="ED172" t="n">
        <v>80</v>
      </c>
      <c r="EE172" t="n">
        <v>42</v>
      </c>
      <c r="EF172" t="n">
        <v>62.6</v>
      </c>
      <c r="EG172" t="n">
        <v>15.5</v>
      </c>
      <c r="EH172" t="n">
        <v>42.8</v>
      </c>
      <c r="EI172" t="n">
        <v>633.7</v>
      </c>
      <c r="EJ172" t="n">
        <v>410.4</v>
      </c>
      <c r="EK172" t="n">
        <v>249.1</v>
      </c>
      <c r="EL172" t="n">
        <v>20.6</v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n">
        <v>5.5</v>
      </c>
      <c r="F173" t="b">
        <v>1</v>
      </c>
      <c r="G173" t="b">
        <v>1</v>
      </c>
      <c r="H173" t="n">
        <v>24.6</v>
      </c>
      <c r="I173" t="inlineStr">
        <is>
          <t>a</t>
        </is>
      </c>
      <c r="L173" t="inlineStr">
        <is>
          <t>p477424</t>
        </is>
      </c>
      <c r="M173" t="n">
        <v>391</v>
      </c>
      <c r="Q173" t="n">
        <v>1370</v>
      </c>
      <c r="R173" t="n">
        <v>18</v>
      </c>
      <c r="S173" t="n">
        <v>16</v>
      </c>
      <c r="T173" t="n">
        <v>15.222</v>
      </c>
      <c r="U173" t="n">
        <v>76.09999999999999</v>
      </c>
      <c r="V173" t="n">
        <v>79</v>
      </c>
      <c r="W173" t="n">
        <v>5.19</v>
      </c>
      <c r="X173" t="n">
        <v>2</v>
      </c>
      <c r="Y173" t="n">
        <v>2</v>
      </c>
      <c r="Z173" t="n">
        <v>2</v>
      </c>
      <c r="AA173" t="n">
        <v>6</v>
      </c>
      <c r="AB173" t="n">
        <v>13</v>
      </c>
      <c r="AC173" t="n">
        <v>5</v>
      </c>
      <c r="AD173" t="n">
        <v>3</v>
      </c>
      <c r="AE173" t="n">
        <v>-2</v>
      </c>
      <c r="AF173" t="n">
        <v>303</v>
      </c>
      <c r="AG173" t="n">
        <v>288</v>
      </c>
      <c r="AH173" t="n">
        <v>-15</v>
      </c>
      <c r="AI173" t="n">
        <v>77</v>
      </c>
      <c r="AJ173" t="n">
        <v>0.063</v>
      </c>
      <c r="AK173" t="n">
        <v>0.068</v>
      </c>
      <c r="AL173" t="n">
        <v>103</v>
      </c>
      <c r="AM173" t="n">
        <v>6.766</v>
      </c>
      <c r="AN173" t="n">
        <v>3</v>
      </c>
      <c r="AO173" t="n">
        <v>6</v>
      </c>
      <c r="AP173" t="n">
        <v>0.188</v>
      </c>
      <c r="AQ173" t="n">
        <v>0.188</v>
      </c>
      <c r="AR173" t="n">
        <v>0.125</v>
      </c>
      <c r="AS173" t="n">
        <v>0.421</v>
      </c>
      <c r="AT173" t="n">
        <v>0.778</v>
      </c>
      <c r="AU173" t="n">
        <v>9</v>
      </c>
      <c r="AV173" t="n">
        <v>2</v>
      </c>
      <c r="AW173" t="n">
        <v>3.4</v>
      </c>
      <c r="AX173" t="n">
        <v>12</v>
      </c>
      <c r="AY173" t="n">
        <v>2.25</v>
      </c>
      <c r="AZ173" t="n">
        <v>1.861</v>
      </c>
      <c r="BA173" t="n">
        <v>2.056</v>
      </c>
      <c r="BB173" t="n">
        <v>1.861</v>
      </c>
      <c r="BC173" t="n">
        <v>0.148</v>
      </c>
      <c r="BD173" t="n">
        <v>0.122</v>
      </c>
      <c r="BE173" t="n">
        <v>0.135</v>
      </c>
      <c r="BF173" t="n">
        <v>2.5</v>
      </c>
      <c r="BG173" t="n">
        <v>0.164</v>
      </c>
      <c r="BH173" t="n">
        <v>0.923</v>
      </c>
      <c r="BI173" t="n">
        <v>9.99</v>
      </c>
      <c r="BJ173" t="n">
        <v>2.076</v>
      </c>
      <c r="BK173" t="n">
        <v>0.136</v>
      </c>
      <c r="BL173" t="n">
        <v>-0.056</v>
      </c>
      <c r="BM173" t="n">
        <v>0.25</v>
      </c>
      <c r="BN173" t="n">
        <v>-0.5</v>
      </c>
      <c r="BO173" t="n">
        <v>0.389</v>
      </c>
      <c r="BP173" t="n">
        <v>17</v>
      </c>
      <c r="BQ173" t="n">
        <v>6</v>
      </c>
      <c r="BR173" t="n">
        <v>2</v>
      </c>
      <c r="BS173" t="n">
        <v>32</v>
      </c>
      <c r="BT173" t="n">
        <v>2.102</v>
      </c>
      <c r="BV173" t="n">
        <v>1</v>
      </c>
      <c r="BW173" t="n">
        <v>0.7</v>
      </c>
      <c r="BX173" t="n">
        <v>0.438</v>
      </c>
      <c r="BY173" t="n">
        <v>0.569</v>
      </c>
      <c r="BZ173" t="n">
        <v>0.037</v>
      </c>
      <c r="CA173" t="n">
        <v>2.625</v>
      </c>
      <c r="CB173" t="n">
        <v>0.172</v>
      </c>
      <c r="CC173" t="n">
        <v>4</v>
      </c>
      <c r="CD173" t="n">
        <v>1</v>
      </c>
      <c r="CE173" t="n">
        <v>4</v>
      </c>
      <c r="CF173" t="n">
        <v>1</v>
      </c>
      <c r="CG173" t="n">
        <v>1</v>
      </c>
      <c r="CI173" t="n">
        <v>10.096</v>
      </c>
      <c r="CJ173" t="n">
        <v>9.548</v>
      </c>
      <c r="CK173" t="n">
        <v>86</v>
      </c>
      <c r="CL173" t="n">
        <v>49</v>
      </c>
      <c r="CM173" t="n">
        <v>17</v>
      </c>
      <c r="CN173" t="n">
        <v>13</v>
      </c>
      <c r="CO173" t="n">
        <v>15</v>
      </c>
      <c r="CP173" t="n">
        <v>61</v>
      </c>
      <c r="CQ173" t="n">
        <v>10</v>
      </c>
      <c r="CR173" t="n">
        <v>56</v>
      </c>
      <c r="CS173" t="n">
        <v>29</v>
      </c>
      <c r="CV173" t="n">
        <v>2</v>
      </c>
      <c r="CW173" t="n">
        <v>16.05</v>
      </c>
      <c r="CX173" t="n">
        <v>1.054</v>
      </c>
      <c r="CY173" t="n">
        <v>0</v>
      </c>
      <c r="DB173" t="n">
        <v>0</v>
      </c>
      <c r="DF173" t="n">
        <v>2</v>
      </c>
      <c r="DG173" t="n">
        <v>0</v>
      </c>
      <c r="DH173" t="n">
        <v>16</v>
      </c>
      <c r="DI173" t="n">
        <v>7</v>
      </c>
      <c r="DK173" t="n">
        <v>1</v>
      </c>
      <c r="DL173" t="n">
        <v>2</v>
      </c>
      <c r="DM173" t="n">
        <v>4</v>
      </c>
      <c r="DO173" t="n">
        <v>13.8</v>
      </c>
      <c r="DP173" t="n">
        <v>143.69</v>
      </c>
      <c r="DQ173" t="n">
        <v>71.43000000000001</v>
      </c>
      <c r="DR173" t="n">
        <v>142.86</v>
      </c>
      <c r="DS173" t="n">
        <v>0.83</v>
      </c>
      <c r="DT173" t="n">
        <v>3038</v>
      </c>
      <c r="DU173" t="n">
        <v>79.95</v>
      </c>
      <c r="DV173" t="inlineStr">
        <is>
          <t>flat</t>
        </is>
      </c>
      <c r="DW173" t="n">
        <v>49.09</v>
      </c>
      <c r="DX173" t="n">
        <v>56.05</v>
      </c>
      <c r="DY173" t="n">
        <v>19.93</v>
      </c>
      <c r="DZ173" t="n">
        <v>16</v>
      </c>
      <c r="EA173" t="n">
        <v>112</v>
      </c>
      <c r="EB173" t="n">
        <v>196</v>
      </c>
      <c r="EC173" t="n">
        <v>94.2</v>
      </c>
      <c r="ED173" t="n">
        <v>8.4</v>
      </c>
      <c r="EE173" t="n">
        <v>151</v>
      </c>
      <c r="EF173" t="n">
        <v>80.59999999999999</v>
      </c>
      <c r="EG173" t="n">
        <v>42.8</v>
      </c>
      <c r="EH173" t="n">
        <v>342.5</v>
      </c>
      <c r="EI173" t="n">
        <v>666.4</v>
      </c>
      <c r="EJ173" t="n">
        <v>2408.6</v>
      </c>
      <c r="EK173" t="n">
        <v>522</v>
      </c>
      <c r="EL173" t="n">
        <v>17.3</v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n">
        <v>5.5</v>
      </c>
      <c r="F174" t="b">
        <v>1</v>
      </c>
      <c r="G174" t="b">
        <v>1</v>
      </c>
      <c r="H174" t="n">
        <v>35.2</v>
      </c>
      <c r="I174" t="inlineStr">
        <is>
          <t>a</t>
        </is>
      </c>
      <c r="L174" t="inlineStr">
        <is>
          <t>p60307</t>
        </is>
      </c>
      <c r="M174" t="n">
        <v>124</v>
      </c>
      <c r="N174" t="n">
        <v>1</v>
      </c>
      <c r="O174" t="n">
        <v>1</v>
      </c>
      <c r="Q174" t="n">
        <v>1636</v>
      </c>
      <c r="R174" t="n">
        <v>19</v>
      </c>
      <c r="S174" t="n">
        <v>18</v>
      </c>
      <c r="T174" t="n">
        <v>18.178</v>
      </c>
      <c r="U174" t="n">
        <v>86.09999999999999</v>
      </c>
      <c r="V174" t="n">
        <v>78</v>
      </c>
      <c r="W174" t="n">
        <v>4.291</v>
      </c>
      <c r="X174" t="n">
        <v>1</v>
      </c>
      <c r="Y174" t="n">
        <v>6</v>
      </c>
      <c r="Z174" t="n">
        <v>3</v>
      </c>
      <c r="AA174" t="n">
        <v>6</v>
      </c>
      <c r="AB174" t="n">
        <v>17</v>
      </c>
      <c r="AC174" t="n">
        <v>10</v>
      </c>
      <c r="AD174" t="n">
        <v>10</v>
      </c>
      <c r="AE174" t="n">
        <v>0</v>
      </c>
      <c r="AF174" t="n">
        <v>389</v>
      </c>
      <c r="AG174" t="n">
        <v>378</v>
      </c>
      <c r="AH174" t="n">
        <v>-11</v>
      </c>
      <c r="AI174" t="n">
        <v>78</v>
      </c>
      <c r="AJ174" t="n">
        <v>0.128</v>
      </c>
      <c r="AK174" t="n">
        <v>0.147</v>
      </c>
      <c r="AL174" t="n">
        <v>145</v>
      </c>
      <c r="AM174" t="n">
        <v>7.977</v>
      </c>
      <c r="AN174" t="n">
        <v>2</v>
      </c>
      <c r="AO174" t="n">
        <v>4</v>
      </c>
      <c r="AP174" t="n">
        <v>0.111</v>
      </c>
      <c r="AQ174" t="n">
        <v>0.222</v>
      </c>
      <c r="AR174" t="n">
        <v>0.111</v>
      </c>
      <c r="AS174" t="n">
        <v>0.474</v>
      </c>
      <c r="AT174" t="n">
        <v>0.947</v>
      </c>
      <c r="AU174" t="n">
        <v>9</v>
      </c>
      <c r="AV174" t="n">
        <v>1</v>
      </c>
      <c r="AW174" t="n">
        <v>3.07</v>
      </c>
      <c r="AX174" t="n">
        <v>12</v>
      </c>
      <c r="AY174" t="n">
        <v>1.39</v>
      </c>
      <c r="AZ174" t="n">
        <v>1.253</v>
      </c>
      <c r="BA174" t="n">
        <v>1.321</v>
      </c>
      <c r="BB174" t="n">
        <v>1.253</v>
      </c>
      <c r="BC174" t="n">
        <v>0.076</v>
      </c>
      <c r="BD174" t="n">
        <v>0.06900000000000001</v>
      </c>
      <c r="BE174" t="n">
        <v>0.073</v>
      </c>
      <c r="BF174" t="n">
        <v>2.6</v>
      </c>
      <c r="BG174" t="n">
        <v>0.143</v>
      </c>
      <c r="BH174" t="n">
        <v>1.034</v>
      </c>
      <c r="BI174" t="n">
        <v>12.98</v>
      </c>
      <c r="BJ174" t="n">
        <v>1.438</v>
      </c>
      <c r="BK174" t="n">
        <v>0.079</v>
      </c>
      <c r="BL174" t="n">
        <v>-0.321</v>
      </c>
      <c r="BM174" t="n">
        <v>1.21</v>
      </c>
      <c r="BN174" t="n">
        <v>-1.6</v>
      </c>
      <c r="BO174" t="n">
        <v>0.137</v>
      </c>
      <c r="BP174" t="n">
        <v>18</v>
      </c>
      <c r="BQ174" t="n">
        <v>9</v>
      </c>
      <c r="BR174" t="n">
        <v>1</v>
      </c>
      <c r="BS174" t="n">
        <v>46</v>
      </c>
      <c r="BT174" t="n">
        <v>2.531</v>
      </c>
      <c r="BW174" t="n">
        <v>3.95</v>
      </c>
      <c r="BX174" t="n">
        <v>3.294</v>
      </c>
      <c r="BY174" t="n">
        <v>3.622</v>
      </c>
      <c r="BZ174" t="n">
        <v>0.199</v>
      </c>
      <c r="CA174" t="n">
        <v>4.944</v>
      </c>
      <c r="CB174" t="n">
        <v>0.272</v>
      </c>
      <c r="CC174" t="n">
        <v>39</v>
      </c>
      <c r="CD174" t="n">
        <v>5</v>
      </c>
      <c r="CE174" t="n">
        <v>39</v>
      </c>
      <c r="CF174" t="n">
        <v>40</v>
      </c>
      <c r="CH174" t="n">
        <v>57</v>
      </c>
      <c r="CI174" t="n">
        <v>10.013</v>
      </c>
      <c r="CJ174" t="n">
        <v>8.281000000000001</v>
      </c>
      <c r="CK174" t="n">
        <v>40</v>
      </c>
      <c r="CL174" t="n">
        <v>76</v>
      </c>
      <c r="CM174" t="n">
        <v>29</v>
      </c>
      <c r="CN174" t="n">
        <v>18</v>
      </c>
      <c r="CO174" t="n">
        <v>12</v>
      </c>
      <c r="CP174" t="n">
        <v>24</v>
      </c>
      <c r="CQ174" t="n">
        <v>4</v>
      </c>
      <c r="CR174" t="n">
        <v>61</v>
      </c>
      <c r="CS174" t="n">
        <v>13</v>
      </c>
      <c r="CT174" t="n">
        <v>0.9</v>
      </c>
      <c r="CV174" t="n">
        <v>1</v>
      </c>
      <c r="CW174" t="n">
        <v>20.36</v>
      </c>
      <c r="CX174" t="n">
        <v>1.12</v>
      </c>
      <c r="CY174" t="n">
        <v>0</v>
      </c>
      <c r="DB174" t="n">
        <v>0</v>
      </c>
      <c r="DE174" t="n">
        <v>7.2</v>
      </c>
      <c r="DF174" t="n">
        <v>2</v>
      </c>
      <c r="DG174" t="n">
        <v>0</v>
      </c>
      <c r="DH174" t="n">
        <v>17</v>
      </c>
      <c r="DI174" t="n">
        <v>12</v>
      </c>
      <c r="DL174" t="n">
        <v>7</v>
      </c>
      <c r="DM174" t="n">
        <v>10</v>
      </c>
      <c r="DN174" t="n">
        <v>4</v>
      </c>
      <c r="DO174" t="n">
        <v>11.1</v>
      </c>
      <c r="DP174" t="n">
        <v>159.26</v>
      </c>
      <c r="DQ174" t="n">
        <v>79.84999999999999</v>
      </c>
      <c r="DR174" t="n">
        <v>159.7</v>
      </c>
      <c r="DS174" t="n">
        <v>-0.44</v>
      </c>
      <c r="DT174" t="n">
        <v>3164</v>
      </c>
      <c r="DU174" t="n">
        <v>83.25</v>
      </c>
      <c r="DV174" t="inlineStr">
        <is>
          <t>flat</t>
        </is>
      </c>
      <c r="DW174" t="n">
        <v>68.69</v>
      </c>
      <c r="DX174" t="n">
        <v>76.03</v>
      </c>
      <c r="DY174" t="n">
        <v>22.35</v>
      </c>
      <c r="DZ174" t="n">
        <v>16.5</v>
      </c>
      <c r="EA174" t="n">
        <v>120</v>
      </c>
      <c r="EB174" t="n">
        <v>114</v>
      </c>
      <c r="EC174" t="n">
        <v>54.8</v>
      </c>
      <c r="ED174" t="n">
        <v>3.4</v>
      </c>
      <c r="EE174" t="n">
        <v>152</v>
      </c>
      <c r="EF174" t="n">
        <v>90.90000000000001</v>
      </c>
      <c r="EG174" t="n">
        <v>35.6</v>
      </c>
      <c r="EH174" t="n">
        <v>41.9</v>
      </c>
      <c r="EI174" t="n">
        <v>1238</v>
      </c>
      <c r="EJ174" t="n">
        <v>451.7</v>
      </c>
      <c r="EK174" t="n">
        <v>330.9</v>
      </c>
      <c r="EL174" t="n">
        <v>21</v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n">
        <v>6</v>
      </c>
      <c r="F175" t="b">
        <v>1</v>
      </c>
      <c r="G175" t="b">
        <v>1</v>
      </c>
      <c r="H175" t="n">
        <v>21.3</v>
      </c>
      <c r="I175" t="inlineStr">
        <is>
          <t>a</t>
        </is>
      </c>
      <c r="L175" t="inlineStr">
        <is>
          <t>p511499</t>
        </is>
      </c>
      <c r="M175" t="n">
        <v>514</v>
      </c>
      <c r="O175" t="n">
        <v>3</v>
      </c>
      <c r="Q175" t="n">
        <v>1334</v>
      </c>
      <c r="R175" t="n">
        <v>31</v>
      </c>
      <c r="S175" t="n">
        <v>13</v>
      </c>
      <c r="T175" t="n">
        <v>14.822</v>
      </c>
      <c r="U175" t="n">
        <v>43</v>
      </c>
      <c r="V175" t="n">
        <v>78</v>
      </c>
      <c r="W175" t="n">
        <v>5.262</v>
      </c>
      <c r="X175" t="n">
        <v>4</v>
      </c>
      <c r="Y175" t="n">
        <v>2</v>
      </c>
      <c r="Z175" t="n">
        <v>1</v>
      </c>
      <c r="AA175" t="n">
        <v>3</v>
      </c>
      <c r="AB175" t="n">
        <v>23</v>
      </c>
      <c r="AC175" t="n">
        <v>7</v>
      </c>
      <c r="AD175" t="n">
        <v>6</v>
      </c>
      <c r="AE175" t="n">
        <v>-1</v>
      </c>
      <c r="AF175" t="n">
        <v>266</v>
      </c>
      <c r="AG175" t="n">
        <v>262</v>
      </c>
      <c r="AH175" t="n">
        <v>-4</v>
      </c>
      <c r="AI175" t="n">
        <v>77</v>
      </c>
      <c r="AJ175" t="n">
        <v>0.09</v>
      </c>
      <c r="AK175" t="n">
        <v>0.099</v>
      </c>
      <c r="AL175" t="n">
        <v>111</v>
      </c>
      <c r="AM175" t="n">
        <v>7.489</v>
      </c>
      <c r="AN175" t="n">
        <v>0</v>
      </c>
      <c r="AO175" t="n">
        <v>0</v>
      </c>
      <c r="AP175" t="n">
        <v>0</v>
      </c>
      <c r="AQ175" t="n">
        <v>0.077</v>
      </c>
      <c r="AR175" t="n">
        <v>0</v>
      </c>
      <c r="AS175" t="n">
        <v>0.342</v>
      </c>
      <c r="AT175" t="n">
        <v>0.387</v>
      </c>
      <c r="AU175" t="n">
        <v>23</v>
      </c>
      <c r="AV175" t="n">
        <v>1</v>
      </c>
      <c r="AW175" t="n">
        <v>2.54</v>
      </c>
      <c r="AX175" t="n">
        <v>10</v>
      </c>
      <c r="AY175" t="n">
        <v>2.47</v>
      </c>
      <c r="AZ175" t="n">
        <v>2.826</v>
      </c>
      <c r="BA175" t="n">
        <v>2.648</v>
      </c>
      <c r="BB175" t="n">
        <v>2.826</v>
      </c>
      <c r="BC175" t="n">
        <v>0.167</v>
      </c>
      <c r="BD175" t="n">
        <v>0.191</v>
      </c>
      <c r="BE175" t="n">
        <v>0.179</v>
      </c>
      <c r="BF175" t="n">
        <v>2.8</v>
      </c>
      <c r="BG175" t="n">
        <v>0.189</v>
      </c>
      <c r="BH175" t="n">
        <v>1.042</v>
      </c>
      <c r="BI175" t="n">
        <v>5.43</v>
      </c>
      <c r="BJ175" t="n">
        <v>2.575</v>
      </c>
      <c r="BK175" t="n">
        <v>0.174</v>
      </c>
      <c r="BL175" t="n">
        <v>1.352</v>
      </c>
      <c r="BM175" t="n">
        <v>0.33</v>
      </c>
      <c r="BN175" t="n">
        <v>1.2</v>
      </c>
      <c r="BO175" t="n">
        <v>-0.356</v>
      </c>
      <c r="BP175" t="n">
        <v>35</v>
      </c>
      <c r="BQ175" t="n">
        <v>8</v>
      </c>
      <c r="BR175" t="n">
        <v>4</v>
      </c>
      <c r="BS175" t="n">
        <v>68</v>
      </c>
      <c r="BT175" t="n">
        <v>4.588</v>
      </c>
      <c r="BW175" t="n">
        <v>2.43</v>
      </c>
      <c r="BX175" t="n">
        <v>3.414</v>
      </c>
      <c r="BY175" t="n">
        <v>2.922</v>
      </c>
      <c r="BZ175" t="n">
        <v>0.197</v>
      </c>
      <c r="CA175" t="n">
        <v>5.57</v>
      </c>
      <c r="CB175" t="n">
        <v>0.376</v>
      </c>
      <c r="CC175" t="n">
        <v>29</v>
      </c>
      <c r="CD175" t="n">
        <v>5</v>
      </c>
      <c r="CE175" t="n">
        <v>30</v>
      </c>
      <c r="CF175" t="n">
        <v>29</v>
      </c>
      <c r="CH175" t="n">
        <v>49</v>
      </c>
      <c r="CI175" t="n">
        <v>6.186</v>
      </c>
      <c r="CJ175" t="n">
        <v>2.608</v>
      </c>
      <c r="CK175" t="n">
        <v>19</v>
      </c>
      <c r="CL175" t="n">
        <v>72</v>
      </c>
      <c r="CM175" t="n">
        <v>20</v>
      </c>
      <c r="CN175" t="n">
        <v>11</v>
      </c>
      <c r="CO175" t="n">
        <v>6</v>
      </c>
      <c r="CP175" t="n">
        <v>12</v>
      </c>
      <c r="CQ175" t="n">
        <v>2</v>
      </c>
      <c r="CR175" t="n">
        <v>97</v>
      </c>
      <c r="CS175" t="n">
        <v>16</v>
      </c>
      <c r="CT175" t="n">
        <v>0.7</v>
      </c>
      <c r="CU175" t="n">
        <v>1</v>
      </c>
      <c r="CW175" t="n">
        <v>17.29</v>
      </c>
      <c r="CX175" t="n">
        <v>1.166</v>
      </c>
      <c r="CY175" t="n">
        <v>0</v>
      </c>
      <c r="DB175" t="n">
        <v>0</v>
      </c>
      <c r="DE175" t="n">
        <v>6.65</v>
      </c>
      <c r="DF175" t="n">
        <v>1</v>
      </c>
      <c r="DG175" t="n">
        <v>0</v>
      </c>
      <c r="DH175" t="n">
        <v>19</v>
      </c>
      <c r="DI175" t="n">
        <v>23</v>
      </c>
      <c r="DK175" t="n">
        <v>1</v>
      </c>
      <c r="DL175" t="n">
        <v>39</v>
      </c>
      <c r="DM175" t="n">
        <v>38</v>
      </c>
      <c r="DN175" t="n">
        <v>3</v>
      </c>
      <c r="DO175" t="n">
        <v>0.4</v>
      </c>
      <c r="DP175" t="n">
        <v>70.51000000000001</v>
      </c>
      <c r="DQ175" t="n">
        <v>41.43</v>
      </c>
      <c r="DR175" t="n">
        <v>82.86</v>
      </c>
      <c r="DS175" t="n">
        <v>-12.35</v>
      </c>
      <c r="DT175" t="n">
        <v>1097</v>
      </c>
      <c r="DU175" t="n">
        <v>28.88</v>
      </c>
      <c r="DV175" t="inlineStr">
        <is>
          <t>fade (losing his place)</t>
        </is>
      </c>
      <c r="DW175" t="n">
        <v>85.31999999999999</v>
      </c>
      <c r="DX175" t="n">
        <v>88.14</v>
      </c>
      <c r="DY175" t="n">
        <v>20.69</v>
      </c>
      <c r="DZ175" t="n">
        <v>41</v>
      </c>
      <c r="EA175" t="n">
        <v>118.67</v>
      </c>
      <c r="EB175" t="n">
        <v>23</v>
      </c>
      <c r="EC175" t="n">
        <v>11.1</v>
      </c>
      <c r="ED175" t="n">
        <v>0</v>
      </c>
      <c r="EE175" t="n">
        <v>90</v>
      </c>
      <c r="EF175" t="n">
        <v>38.1</v>
      </c>
      <c r="EG175" t="n">
        <v>19.6</v>
      </c>
      <c r="EH175" t="n">
        <v>44.5</v>
      </c>
      <c r="EI175" t="n">
        <v>503.7</v>
      </c>
      <c r="EJ175" t="n">
        <v>456.5</v>
      </c>
      <c r="EK175" t="n">
        <v>239.5</v>
      </c>
      <c r="EL175" t="n">
        <v>17.1</v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n">
        <v>4.5</v>
      </c>
      <c r="F176" t="b">
        <v>1</v>
      </c>
      <c r="G176" t="b">
        <v>1</v>
      </c>
      <c r="H176" t="n">
        <v>26</v>
      </c>
      <c r="I176" t="inlineStr">
        <is>
          <t>a</t>
        </is>
      </c>
      <c r="L176" t="inlineStr">
        <is>
          <t>p232859</t>
        </is>
      </c>
      <c r="M176" t="n">
        <v>505</v>
      </c>
      <c r="Q176" t="n">
        <v>2049</v>
      </c>
      <c r="R176" t="n">
        <v>30</v>
      </c>
      <c r="S176" t="n">
        <v>23</v>
      </c>
      <c r="T176" t="n">
        <v>22.767</v>
      </c>
      <c r="U176" t="n">
        <v>68.3</v>
      </c>
      <c r="V176" t="n">
        <v>78</v>
      </c>
      <c r="W176" t="n">
        <v>3.426</v>
      </c>
      <c r="X176" t="n">
        <v>0</v>
      </c>
      <c r="Y176" t="n">
        <v>0</v>
      </c>
      <c r="AA176" t="n">
        <v>9</v>
      </c>
      <c r="AB176" t="n">
        <v>31</v>
      </c>
      <c r="AC176" t="n">
        <v>3</v>
      </c>
      <c r="AD176" t="n">
        <v>3</v>
      </c>
      <c r="AE176" t="n">
        <v>0</v>
      </c>
      <c r="AF176" t="n">
        <v>271</v>
      </c>
      <c r="AG176" t="n">
        <v>258</v>
      </c>
      <c r="AH176" t="n">
        <v>-13</v>
      </c>
      <c r="AI176" t="n">
        <v>78</v>
      </c>
      <c r="AJ176" t="n">
        <v>0.038</v>
      </c>
      <c r="AK176" t="n">
        <v>0.04</v>
      </c>
      <c r="AL176" t="n">
        <v>116</v>
      </c>
      <c r="AM176" t="n">
        <v>5.095</v>
      </c>
      <c r="AN176" t="n">
        <v>1</v>
      </c>
      <c r="AO176" t="n">
        <v>2</v>
      </c>
      <c r="AP176" t="n">
        <v>0.043</v>
      </c>
      <c r="AQ176" t="n">
        <v>0.043</v>
      </c>
      <c r="AR176" t="n">
        <v>0</v>
      </c>
      <c r="AS176" t="n">
        <v>0.605</v>
      </c>
      <c r="AT176" t="n">
        <v>0.733</v>
      </c>
      <c r="AU176" t="n">
        <v>20</v>
      </c>
      <c r="AV176" t="n">
        <v>0</v>
      </c>
      <c r="AW176" t="n">
        <v>2.5</v>
      </c>
      <c r="AX176" t="n">
        <v>8</v>
      </c>
      <c r="AY176" t="n">
        <v>0.9</v>
      </c>
      <c r="AZ176" t="n">
        <v>1.135</v>
      </c>
      <c r="BA176" t="n">
        <v>1.018</v>
      </c>
      <c r="BB176" t="n">
        <v>1.135</v>
      </c>
      <c r="BC176" t="n">
        <v>0.04</v>
      </c>
      <c r="BD176" t="n">
        <v>0.05</v>
      </c>
      <c r="BE176" t="n">
        <v>0.045</v>
      </c>
      <c r="BF176" t="n">
        <v>0.7</v>
      </c>
      <c r="BG176" t="n">
        <v>0.031</v>
      </c>
      <c r="BH176" t="n">
        <v>1.038</v>
      </c>
      <c r="BI176" t="n">
        <v>1.54</v>
      </c>
      <c r="BJ176" t="n">
        <v>0.9340000000000001</v>
      </c>
      <c r="BK176" t="n">
        <v>0.041</v>
      </c>
      <c r="BL176" t="n">
        <v>-1.018</v>
      </c>
      <c r="BM176" t="n">
        <v>-0.2</v>
      </c>
      <c r="BN176" t="n">
        <v>-0.7</v>
      </c>
      <c r="BO176" t="n">
        <v>-0.235</v>
      </c>
      <c r="BP176" t="n">
        <v>13</v>
      </c>
      <c r="BQ176" t="n">
        <v>8</v>
      </c>
      <c r="BR176" t="n">
        <v>2</v>
      </c>
      <c r="BS176" t="n">
        <v>38</v>
      </c>
      <c r="BT176" t="n">
        <v>1.669</v>
      </c>
      <c r="BW176" t="n">
        <v>1.77</v>
      </c>
      <c r="BX176" t="n">
        <v>1.86</v>
      </c>
      <c r="BY176" t="n">
        <v>1.815</v>
      </c>
      <c r="BZ176" t="n">
        <v>0.08</v>
      </c>
      <c r="CA176" t="n">
        <v>2.833</v>
      </c>
      <c r="CB176" t="n">
        <v>0.124</v>
      </c>
      <c r="CC176" t="n">
        <v>10</v>
      </c>
      <c r="CD176" t="n">
        <v>4</v>
      </c>
      <c r="CE176" t="n">
        <v>10</v>
      </c>
      <c r="CF176" t="n">
        <v>10</v>
      </c>
      <c r="CI176" t="n">
        <v>5.716</v>
      </c>
      <c r="CJ176" t="n">
        <v>3.085</v>
      </c>
      <c r="CK176" t="n">
        <v>72</v>
      </c>
      <c r="CL176" t="n">
        <v>112</v>
      </c>
      <c r="CM176" t="n">
        <v>44</v>
      </c>
      <c r="CN176" t="n">
        <v>27</v>
      </c>
      <c r="CO176" t="n">
        <v>18</v>
      </c>
      <c r="CP176" t="n">
        <v>52</v>
      </c>
      <c r="CQ176" t="n">
        <v>3</v>
      </c>
      <c r="CR176" t="n">
        <v>121</v>
      </c>
      <c r="CS176" t="n">
        <v>23</v>
      </c>
      <c r="CT176" t="n">
        <v>0.4</v>
      </c>
      <c r="CU176" t="n">
        <v>2</v>
      </c>
      <c r="CV176" t="n">
        <v>4</v>
      </c>
      <c r="CW176" t="n">
        <v>31.42</v>
      </c>
      <c r="CX176" t="n">
        <v>1.38</v>
      </c>
      <c r="CY176" t="n">
        <v>0</v>
      </c>
      <c r="DB176" t="n">
        <v>0</v>
      </c>
      <c r="DE176" t="n">
        <v>6.63</v>
      </c>
      <c r="DF176" t="n">
        <v>4</v>
      </c>
      <c r="DG176" t="n">
        <v>0</v>
      </c>
      <c r="DH176" t="n">
        <v>28</v>
      </c>
      <c r="DI176" t="n">
        <v>21</v>
      </c>
      <c r="DL176" t="n">
        <v>33</v>
      </c>
      <c r="DM176" t="n">
        <v>29</v>
      </c>
      <c r="DN176" t="n">
        <v>4</v>
      </c>
      <c r="DO176" t="n">
        <v>6.5</v>
      </c>
      <c r="DP176" t="n">
        <v>81.09</v>
      </c>
      <c r="DQ176" t="n">
        <v>41.37</v>
      </c>
      <c r="DR176" t="n">
        <v>82.73999999999999</v>
      </c>
      <c r="DS176" t="n">
        <v>-1.65</v>
      </c>
      <c r="DT176" t="n">
        <v>1955</v>
      </c>
      <c r="DU176" t="n">
        <v>51.45</v>
      </c>
      <c r="DV176" t="inlineStr">
        <is>
          <t>flat</t>
        </is>
      </c>
      <c r="DW176" t="n">
        <v>83.48999999999999</v>
      </c>
      <c r="DX176" t="n">
        <v>91.8</v>
      </c>
      <c r="DY176" t="n">
        <v>23.44</v>
      </c>
      <c r="DZ176" t="n">
        <v>22.5</v>
      </c>
      <c r="EA176" t="n">
        <v>118.67</v>
      </c>
      <c r="EB176" t="n">
        <v>55</v>
      </c>
      <c r="EC176" t="n">
        <v>26.4</v>
      </c>
      <c r="ED176" t="n">
        <v>9.800000000000001</v>
      </c>
      <c r="EE176" t="n">
        <v>411</v>
      </c>
      <c r="EF176" t="n">
        <v>157.6</v>
      </c>
      <c r="EG176" t="n">
        <v>53.9</v>
      </c>
      <c r="EH176" t="n">
        <v>204.9</v>
      </c>
      <c r="EI176" t="n">
        <v>2013.6</v>
      </c>
      <c r="EJ176" t="n">
        <v>1128.8</v>
      </c>
      <c r="EK176" t="n">
        <v>723.3</v>
      </c>
      <c r="EL176" t="n">
        <v>26.3</v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n">
        <v>5</v>
      </c>
      <c r="F177" t="b">
        <v>1</v>
      </c>
      <c r="G177" t="b">
        <v>1</v>
      </c>
      <c r="H177" t="n">
        <v>27.5</v>
      </c>
      <c r="I177" t="inlineStr">
        <is>
          <t>a</t>
        </is>
      </c>
      <c r="L177" t="inlineStr">
        <is>
          <t>p200785</t>
        </is>
      </c>
      <c r="M177" t="n">
        <v>73</v>
      </c>
      <c r="Q177" t="n">
        <v>1769</v>
      </c>
      <c r="R177" t="n">
        <v>25</v>
      </c>
      <c r="S177" t="n">
        <v>21</v>
      </c>
      <c r="T177" t="n">
        <v>19.656</v>
      </c>
      <c r="U177" t="n">
        <v>70.8</v>
      </c>
      <c r="V177" t="n">
        <v>77</v>
      </c>
      <c r="W177" t="n">
        <v>3.917</v>
      </c>
      <c r="X177" t="n">
        <v>2</v>
      </c>
      <c r="Y177" t="n">
        <v>2</v>
      </c>
      <c r="Z177" t="n">
        <v>2</v>
      </c>
      <c r="AA177" t="n">
        <v>7</v>
      </c>
      <c r="AB177" t="n">
        <v>28</v>
      </c>
      <c r="AC177" t="n">
        <v>3</v>
      </c>
      <c r="AD177" t="n">
        <v>3</v>
      </c>
      <c r="AE177" t="n">
        <v>0</v>
      </c>
      <c r="AF177" t="n">
        <v>346</v>
      </c>
      <c r="AG177" t="n">
        <v>327</v>
      </c>
      <c r="AH177" t="n">
        <v>-19</v>
      </c>
      <c r="AI177" t="n">
        <v>77</v>
      </c>
      <c r="AJ177" t="n">
        <v>0.039</v>
      </c>
      <c r="AK177" t="n">
        <v>0.041</v>
      </c>
      <c r="AL177" t="n">
        <v>232</v>
      </c>
      <c r="AM177" t="n">
        <v>11.803</v>
      </c>
      <c r="AN177" t="n">
        <v>7</v>
      </c>
      <c r="AO177" t="n">
        <v>14</v>
      </c>
      <c r="AP177" t="n">
        <v>0.333</v>
      </c>
      <c r="AQ177" t="n">
        <v>0.619</v>
      </c>
      <c r="AR177" t="n">
        <v>0.333</v>
      </c>
      <c r="AS177" t="n">
        <v>0.553</v>
      </c>
      <c r="AT177" t="n">
        <v>0.8</v>
      </c>
      <c r="AU177" t="n">
        <v>12</v>
      </c>
      <c r="AV177" t="n">
        <v>0</v>
      </c>
      <c r="AW177" t="n">
        <v>2.28</v>
      </c>
      <c r="AX177" t="n">
        <v>9</v>
      </c>
      <c r="AY177" t="n">
        <v>0.63</v>
      </c>
      <c r="AZ177" t="n">
        <v>0.929</v>
      </c>
      <c r="BA177" t="n">
        <v>0.779</v>
      </c>
      <c r="BB177" t="n">
        <v>0.929</v>
      </c>
      <c r="BC177" t="n">
        <v>0.032</v>
      </c>
      <c r="BD177" t="n">
        <v>0.047</v>
      </c>
      <c r="BE177" t="n">
        <v>0.04</v>
      </c>
      <c r="BF177" t="n">
        <v>1.6</v>
      </c>
      <c r="BG177" t="n">
        <v>0.081</v>
      </c>
      <c r="BH177" t="n">
        <v>1.063</v>
      </c>
      <c r="BI177" t="n">
        <v>2.07</v>
      </c>
      <c r="BJ177" t="n">
        <v>0.669</v>
      </c>
      <c r="BK177" t="n">
        <v>0.034</v>
      </c>
      <c r="BL177" t="n">
        <v>1.221</v>
      </c>
      <c r="BM177" t="n">
        <v>0.97</v>
      </c>
      <c r="BN177" t="n">
        <v>0.4</v>
      </c>
      <c r="BO177" t="n">
        <v>-0.299</v>
      </c>
      <c r="BP177" t="n">
        <v>10</v>
      </c>
      <c r="BQ177" t="n">
        <v>6</v>
      </c>
      <c r="BS177" t="n">
        <v>10</v>
      </c>
      <c r="BT177" t="n">
        <v>0.509</v>
      </c>
      <c r="BW177" t="n">
        <v>0.63</v>
      </c>
      <c r="BX177" t="n">
        <v>1.23</v>
      </c>
      <c r="BY177" t="n">
        <v>0.93</v>
      </c>
      <c r="BZ177" t="n">
        <v>0.047</v>
      </c>
      <c r="CA177" t="n">
        <v>1.71</v>
      </c>
      <c r="CB177" t="n">
        <v>0.08699999999999999</v>
      </c>
      <c r="CC177" t="n">
        <v>7</v>
      </c>
      <c r="CD177" t="n">
        <v>2</v>
      </c>
      <c r="CE177" t="n">
        <v>7</v>
      </c>
      <c r="CF177" t="n">
        <v>2</v>
      </c>
      <c r="CG177" t="n">
        <v>1</v>
      </c>
      <c r="CI177" t="n">
        <v>6.87</v>
      </c>
      <c r="CJ177" t="n">
        <v>5.868</v>
      </c>
      <c r="CK177" t="n">
        <v>83</v>
      </c>
      <c r="CL177" t="n">
        <v>96</v>
      </c>
      <c r="CM177" t="n">
        <v>53</v>
      </c>
      <c r="CN177" t="n">
        <v>23</v>
      </c>
      <c r="CO177" t="n">
        <v>33</v>
      </c>
      <c r="CP177" t="n">
        <v>42</v>
      </c>
      <c r="CQ177" t="n">
        <v>9</v>
      </c>
      <c r="CR177" t="n">
        <v>96</v>
      </c>
      <c r="CS177" t="n">
        <v>27</v>
      </c>
      <c r="CT177" t="n">
        <v>0.4</v>
      </c>
      <c r="CV177" t="n">
        <v>2</v>
      </c>
      <c r="CW177" t="n">
        <v>27.18</v>
      </c>
      <c r="CX177" t="n">
        <v>1.383</v>
      </c>
      <c r="CY177" t="n">
        <v>0</v>
      </c>
      <c r="DB177" t="n">
        <v>0</v>
      </c>
      <c r="DE177" t="n">
        <v>6.94</v>
      </c>
      <c r="DF177" t="n">
        <v>8</v>
      </c>
      <c r="DG177" t="n">
        <v>0</v>
      </c>
      <c r="DH177" t="n">
        <v>35</v>
      </c>
      <c r="DI177" t="n">
        <v>13</v>
      </c>
      <c r="DL177" t="n">
        <v>6</v>
      </c>
      <c r="DM177" t="n">
        <v>11</v>
      </c>
      <c r="DN177" t="n">
        <v>1</v>
      </c>
      <c r="DO177" t="n">
        <v>0.7</v>
      </c>
      <c r="DP177" t="n">
        <v>110.54</v>
      </c>
      <c r="DQ177" t="n">
        <v>55.52</v>
      </c>
      <c r="DR177" t="n">
        <v>111.04</v>
      </c>
      <c r="DS177" t="n">
        <v>-0.5</v>
      </c>
      <c r="DT177" t="n">
        <v>2633</v>
      </c>
      <c r="DU177" t="n">
        <v>69.3</v>
      </c>
      <c r="DV177" t="inlineStr">
        <is>
          <t>flat</t>
        </is>
      </c>
      <c r="DW177" t="n">
        <v>84</v>
      </c>
      <c r="DZ177" t="n">
        <v>84</v>
      </c>
      <c r="EA177" t="n">
        <v>84</v>
      </c>
      <c r="EB177" t="n">
        <v>1</v>
      </c>
      <c r="EC177" t="n">
        <v>0.5</v>
      </c>
      <c r="ED177" t="n">
        <v>0</v>
      </c>
      <c r="EE177" t="n">
        <v>257</v>
      </c>
      <c r="EF177" t="n">
        <v>176.9</v>
      </c>
      <c r="EG177" t="n">
        <v>176.9</v>
      </c>
      <c r="EH177" t="n">
        <v>252.7</v>
      </c>
      <c r="EI177" t="n">
        <v>2269.4</v>
      </c>
      <c r="EJ177" t="n">
        <v>1901.9</v>
      </c>
      <c r="EK177" t="n">
        <v>1034.7</v>
      </c>
      <c r="EL177" t="n">
        <v>23</v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n">
        <v>5.5</v>
      </c>
      <c r="F178" t="b">
        <v>1</v>
      </c>
      <c r="G178" t="b">
        <v>1</v>
      </c>
      <c r="H178" t="n">
        <v>23.8</v>
      </c>
      <c r="I178" t="inlineStr">
        <is>
          <t>a</t>
        </is>
      </c>
      <c r="L178" t="inlineStr">
        <is>
          <t>p488024</t>
        </is>
      </c>
      <c r="M178" t="n">
        <v>211</v>
      </c>
      <c r="O178" t="n">
        <v>2</v>
      </c>
      <c r="P178" t="n">
        <v>1</v>
      </c>
      <c r="Q178" t="n">
        <v>2074</v>
      </c>
      <c r="R178" t="n">
        <v>34</v>
      </c>
      <c r="S178" t="n">
        <v>26</v>
      </c>
      <c r="T178" t="n">
        <v>23.044</v>
      </c>
      <c r="U178" t="n">
        <v>61</v>
      </c>
      <c r="V178" t="n">
        <v>77</v>
      </c>
      <c r="W178" t="n">
        <v>3.341</v>
      </c>
      <c r="X178" t="n">
        <v>2</v>
      </c>
      <c r="Y178" t="n">
        <v>2</v>
      </c>
      <c r="Z178" t="n">
        <v>2</v>
      </c>
      <c r="AA178" t="n">
        <v>7</v>
      </c>
      <c r="AB178" t="n">
        <v>28</v>
      </c>
      <c r="AC178" t="n">
        <v>3</v>
      </c>
      <c r="AD178" t="n">
        <v>3</v>
      </c>
      <c r="AE178" t="n">
        <v>0</v>
      </c>
      <c r="AF178" t="n">
        <v>331</v>
      </c>
      <c r="AG178" t="n">
        <v>325</v>
      </c>
      <c r="AH178" t="n">
        <v>-6</v>
      </c>
      <c r="AI178" t="n">
        <v>77</v>
      </c>
      <c r="AJ178" t="n">
        <v>0.039</v>
      </c>
      <c r="AK178" t="n">
        <v>0.041</v>
      </c>
      <c r="AL178" t="n">
        <v>167</v>
      </c>
      <c r="AM178" t="n">
        <v>7.247</v>
      </c>
      <c r="AN178" t="n">
        <v>1</v>
      </c>
      <c r="AO178" t="n">
        <v>2</v>
      </c>
      <c r="AP178" t="n">
        <v>0.038</v>
      </c>
      <c r="AQ178" t="n">
        <v>0.077</v>
      </c>
      <c r="AR178" t="n">
        <v>0.038</v>
      </c>
      <c r="AS178" t="n">
        <v>0.6840000000000001</v>
      </c>
      <c r="AT178" t="n">
        <v>0.5590000000000001</v>
      </c>
      <c r="AU178" t="n">
        <v>23</v>
      </c>
      <c r="AV178" t="n">
        <v>0</v>
      </c>
      <c r="AW178" t="n">
        <v>1.94</v>
      </c>
      <c r="AX178" t="n">
        <v>9</v>
      </c>
      <c r="AY178" t="n">
        <v>4.53</v>
      </c>
      <c r="AZ178" t="n">
        <v>4.373</v>
      </c>
      <c r="BA178" t="n">
        <v>4.451</v>
      </c>
      <c r="BB178" t="n">
        <v>4.373</v>
      </c>
      <c r="BC178" t="n">
        <v>0.197</v>
      </c>
      <c r="BD178" t="n">
        <v>0.19</v>
      </c>
      <c r="BE178" t="n">
        <v>0.193</v>
      </c>
      <c r="BF178" t="n">
        <v>4.2</v>
      </c>
      <c r="BG178" t="n">
        <v>0.182</v>
      </c>
      <c r="BH178" t="n">
        <v>0.974</v>
      </c>
      <c r="BI178" t="n">
        <v>4.53</v>
      </c>
      <c r="BJ178" t="n">
        <v>4.411</v>
      </c>
      <c r="BK178" t="n">
        <v>0.191</v>
      </c>
      <c r="BL178" t="n">
        <v>-2.451</v>
      </c>
      <c r="BM178" t="n">
        <v>-0.33</v>
      </c>
      <c r="BN178" t="n">
        <v>-2.2</v>
      </c>
      <c r="BO178" t="n">
        <v>0.157</v>
      </c>
      <c r="BP178" t="n">
        <v>45</v>
      </c>
      <c r="BQ178" t="n">
        <v>11</v>
      </c>
      <c r="BR178" t="n">
        <v>5</v>
      </c>
      <c r="BS178" t="n">
        <v>84</v>
      </c>
      <c r="BT178" t="n">
        <v>3.645</v>
      </c>
      <c r="BW178" t="n">
        <v>6.12</v>
      </c>
      <c r="BX178" t="n">
        <v>8.502000000000001</v>
      </c>
      <c r="BY178" t="n">
        <v>7.311</v>
      </c>
      <c r="BZ178" t="n">
        <v>0.317</v>
      </c>
      <c r="CA178" t="n">
        <v>11.763</v>
      </c>
      <c r="CB178" t="n">
        <v>0.51</v>
      </c>
      <c r="CC178" t="n">
        <v>48</v>
      </c>
      <c r="CD178" t="n">
        <v>15</v>
      </c>
      <c r="CE178" t="n">
        <v>48</v>
      </c>
      <c r="CF178" t="n">
        <v>16</v>
      </c>
      <c r="CG178" t="n">
        <v>9</v>
      </c>
      <c r="CH178" t="n">
        <v>41</v>
      </c>
      <c r="CI178" t="n">
        <v>13.467</v>
      </c>
      <c r="CJ178" t="n">
        <v>4.587</v>
      </c>
      <c r="CK178" t="n">
        <v>30</v>
      </c>
      <c r="CL178" t="n">
        <v>101</v>
      </c>
      <c r="CM178" t="n">
        <v>36</v>
      </c>
      <c r="CN178" t="n">
        <v>20</v>
      </c>
      <c r="CO178" t="n">
        <v>9</v>
      </c>
      <c r="CP178" t="n">
        <v>21</v>
      </c>
      <c r="CQ178" t="n">
        <v>1</v>
      </c>
      <c r="CR178" t="n">
        <v>100</v>
      </c>
      <c r="CS178" t="n">
        <v>22</v>
      </c>
      <c r="CT178" t="n">
        <v>0.8</v>
      </c>
      <c r="CW178" t="n">
        <v>30.01</v>
      </c>
      <c r="CX178" t="n">
        <v>1.302</v>
      </c>
      <c r="CY178" t="n">
        <v>0</v>
      </c>
      <c r="DB178" t="n">
        <v>0</v>
      </c>
      <c r="DE178" t="n">
        <v>6.71</v>
      </c>
      <c r="DF178" t="n">
        <v>4</v>
      </c>
      <c r="DG178" t="n">
        <v>0</v>
      </c>
      <c r="DH178" t="n">
        <v>30</v>
      </c>
      <c r="DI178" t="n">
        <v>24</v>
      </c>
      <c r="DL178" t="n">
        <v>18</v>
      </c>
      <c r="DM178" t="n">
        <v>34</v>
      </c>
      <c r="DN178" t="n">
        <v>10</v>
      </c>
      <c r="DO178" t="n">
        <v>0.2</v>
      </c>
      <c r="DP178" t="n">
        <v>106.46</v>
      </c>
      <c r="DQ178" t="n">
        <v>53.23</v>
      </c>
      <c r="DR178" t="n">
        <v>106.46</v>
      </c>
      <c r="DS178" t="n">
        <v>0</v>
      </c>
      <c r="DT178" t="n">
        <v>2371</v>
      </c>
      <c r="DU178" t="n">
        <v>62.4</v>
      </c>
      <c r="DV178" t="inlineStr">
        <is>
          <t>flat</t>
        </is>
      </c>
      <c r="DW178" t="n">
        <v>95.63</v>
      </c>
      <c r="DX178" t="n">
        <v>87</v>
      </c>
      <c r="DY178" t="n">
        <v>10.61</v>
      </c>
      <c r="DZ178" t="n">
        <v>83</v>
      </c>
      <c r="EA178" t="n">
        <v>112</v>
      </c>
      <c r="EB178" t="n">
        <v>5</v>
      </c>
      <c r="EC178" t="n">
        <v>2.4</v>
      </c>
      <c r="ED178" t="n">
        <v>28.6</v>
      </c>
      <c r="EE178" t="n">
        <v>153</v>
      </c>
      <c r="EF178" t="n">
        <v>46.1</v>
      </c>
      <c r="EG178" t="n">
        <v>24.7</v>
      </c>
      <c r="EH178" t="n">
        <v>43.2</v>
      </c>
      <c r="EI178" t="n">
        <v>465.9</v>
      </c>
      <c r="EJ178" t="n">
        <v>283.7</v>
      </c>
      <c r="EK178" t="n">
        <v>176.3</v>
      </c>
      <c r="EL178" t="n">
        <v>26.9</v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n">
        <v>5</v>
      </c>
      <c r="F179" t="b">
        <v>1</v>
      </c>
      <c r="G179" t="b">
        <v>1</v>
      </c>
      <c r="H179" t="n">
        <v>36.2</v>
      </c>
      <c r="I179" t="inlineStr">
        <is>
          <t>d</t>
        </is>
      </c>
      <c r="J179" t="inlineStr">
        <is>
          <t>Wrist injury - 75% chance of playing</t>
        </is>
      </c>
      <c r="K179" t="n">
        <v>75</v>
      </c>
      <c r="L179" t="inlineStr">
        <is>
          <t>p56979</t>
        </is>
      </c>
      <c r="M179" t="n">
        <v>101</v>
      </c>
      <c r="Q179" t="n">
        <v>1911</v>
      </c>
      <c r="R179" t="n">
        <v>32</v>
      </c>
      <c r="S179" t="n">
        <v>22</v>
      </c>
      <c r="T179" t="n">
        <v>21.233</v>
      </c>
      <c r="U179" t="n">
        <v>59.7</v>
      </c>
      <c r="V179" t="n">
        <v>76</v>
      </c>
      <c r="W179" t="n">
        <v>3.579</v>
      </c>
      <c r="X179" t="n">
        <v>1</v>
      </c>
      <c r="Y179" t="n">
        <v>3</v>
      </c>
      <c r="Z179" t="n">
        <v>3</v>
      </c>
      <c r="AA179" t="n">
        <v>6</v>
      </c>
      <c r="AB179" t="n">
        <v>28</v>
      </c>
      <c r="AC179" t="n">
        <v>5</v>
      </c>
      <c r="AD179" t="n">
        <v>5</v>
      </c>
      <c r="AE179" t="n">
        <v>0</v>
      </c>
      <c r="AF179" t="n">
        <v>343</v>
      </c>
      <c r="AG179" t="n">
        <v>335</v>
      </c>
      <c r="AH179" t="n">
        <v>-8</v>
      </c>
      <c r="AI179" t="n">
        <v>76</v>
      </c>
      <c r="AJ179" t="n">
        <v>0.066</v>
      </c>
      <c r="AK179" t="n">
        <v>0.07000000000000001</v>
      </c>
      <c r="AL179" t="n">
        <v>183</v>
      </c>
      <c r="AM179" t="n">
        <v>8.619</v>
      </c>
      <c r="AN179" t="n">
        <v>3</v>
      </c>
      <c r="AO179" t="n">
        <v>6</v>
      </c>
      <c r="AP179" t="n">
        <v>0.136</v>
      </c>
      <c r="AQ179" t="n">
        <v>0.182</v>
      </c>
      <c r="AR179" t="n">
        <v>0.136</v>
      </c>
      <c r="AS179" t="n">
        <v>0.579</v>
      </c>
      <c r="AT179" t="n">
        <v>0.594</v>
      </c>
      <c r="AU179" t="n">
        <v>23</v>
      </c>
      <c r="AV179" t="n">
        <v>0</v>
      </c>
      <c r="AW179" t="n">
        <v>2.19</v>
      </c>
      <c r="AX179" t="n">
        <v>9</v>
      </c>
      <c r="AY179" t="n">
        <v>0.33</v>
      </c>
      <c r="AZ179" t="n">
        <v>0.551</v>
      </c>
      <c r="BA179" t="n">
        <v>0.441</v>
      </c>
      <c r="BB179" t="n">
        <v>0.551</v>
      </c>
      <c r="BC179" t="n">
        <v>0.016</v>
      </c>
      <c r="BD179" t="n">
        <v>0.026</v>
      </c>
      <c r="BE179" t="n">
        <v>0.021</v>
      </c>
      <c r="BF179" t="n">
        <v>0.6</v>
      </c>
      <c r="BG179" t="n">
        <v>0.028</v>
      </c>
      <c r="BH179" t="n">
        <v>0.919</v>
      </c>
      <c r="BI179" t="n">
        <v>1.68</v>
      </c>
      <c r="BJ179" t="n">
        <v>0.303</v>
      </c>
      <c r="BK179" t="n">
        <v>0.014</v>
      </c>
      <c r="BL179" t="n">
        <v>0.5590000000000001</v>
      </c>
      <c r="BM179" t="n">
        <v>0.27</v>
      </c>
      <c r="BN179" t="n">
        <v>0.4</v>
      </c>
      <c r="BO179" t="n">
        <v>-0.221</v>
      </c>
      <c r="BP179" t="n">
        <v>6</v>
      </c>
      <c r="BQ179" t="n">
        <v>1</v>
      </c>
      <c r="BS179" t="n">
        <v>13</v>
      </c>
      <c r="BT179" t="n">
        <v>0.612</v>
      </c>
      <c r="BW179" t="n">
        <v>2.31</v>
      </c>
      <c r="BX179" t="n">
        <v>3.321</v>
      </c>
      <c r="BY179" t="n">
        <v>2.815</v>
      </c>
      <c r="BZ179" t="n">
        <v>0.133</v>
      </c>
      <c r="CA179" t="n">
        <v>3.256</v>
      </c>
      <c r="CB179" t="n">
        <v>0.153</v>
      </c>
      <c r="CC179" t="n">
        <v>19</v>
      </c>
      <c r="CD179" t="n">
        <v>8</v>
      </c>
      <c r="CE179" t="n">
        <v>19</v>
      </c>
      <c r="CF179" t="n">
        <v>17</v>
      </c>
      <c r="CG179" t="n">
        <v>2</v>
      </c>
      <c r="CH179" t="n">
        <v>3</v>
      </c>
      <c r="CI179" t="n">
        <v>8.789999999999999</v>
      </c>
      <c r="CJ179" t="n">
        <v>6.132</v>
      </c>
      <c r="CK179" t="n">
        <v>58</v>
      </c>
      <c r="CL179" t="n">
        <v>98</v>
      </c>
      <c r="CM179" t="n">
        <v>27</v>
      </c>
      <c r="CN179" t="n">
        <v>13</v>
      </c>
      <c r="CO179" t="n">
        <v>17</v>
      </c>
      <c r="CP179" t="n">
        <v>34</v>
      </c>
      <c r="CQ179" t="n">
        <v>7</v>
      </c>
      <c r="CR179" t="n">
        <v>48</v>
      </c>
      <c r="CS179" t="n">
        <v>13</v>
      </c>
      <c r="CT179" t="n">
        <v>0.3</v>
      </c>
      <c r="CW179" t="n">
        <v>28.16</v>
      </c>
      <c r="CX179" t="n">
        <v>1.326</v>
      </c>
      <c r="CY179" t="n">
        <v>0</v>
      </c>
      <c r="DB179" t="n">
        <v>0</v>
      </c>
      <c r="DE179" t="n">
        <v>6.7</v>
      </c>
      <c r="DF179" t="n">
        <v>6</v>
      </c>
      <c r="DG179" t="n">
        <v>0</v>
      </c>
      <c r="DH179" t="n">
        <v>13</v>
      </c>
      <c r="DI179" t="n">
        <v>7</v>
      </c>
      <c r="DL179" t="n">
        <v>3</v>
      </c>
      <c r="DM179" t="n">
        <v>6</v>
      </c>
      <c r="DN179" t="n">
        <v>1</v>
      </c>
      <c r="DO179" t="n">
        <v>0</v>
      </c>
      <c r="DP179" t="n">
        <v>35</v>
      </c>
      <c r="DQ179" t="n">
        <v>17.38</v>
      </c>
      <c r="DR179" t="n">
        <v>34.76</v>
      </c>
      <c r="DS179" t="n">
        <v>0.24</v>
      </c>
      <c r="DT179" t="n">
        <v>137</v>
      </c>
      <c r="DU179" t="n">
        <v>3.6</v>
      </c>
      <c r="DV179" t="inlineStr">
        <is>
          <t>flat</t>
        </is>
      </c>
      <c r="EF179" t="n">
        <v>318.5</v>
      </c>
      <c r="EG179" t="n">
        <v>147</v>
      </c>
      <c r="EH179" t="n">
        <v>100.6</v>
      </c>
      <c r="EI179" t="n">
        <v>4336.4</v>
      </c>
      <c r="EJ179" t="n">
        <v>678.8</v>
      </c>
      <c r="EK179" t="n">
        <v>586.9</v>
      </c>
      <c r="EL179" t="n">
        <v>25.1</v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n">
        <v>5</v>
      </c>
      <c r="F180" t="b">
        <v>1</v>
      </c>
      <c r="G180" t="b">
        <v>1</v>
      </c>
      <c r="H180" t="n">
        <v>25</v>
      </c>
      <c r="I180" t="inlineStr">
        <is>
          <t>i</t>
        </is>
      </c>
      <c r="J180" t="inlineStr">
        <is>
          <t>Knee injury - Unknown return date</t>
        </is>
      </c>
      <c r="K180" t="n">
        <v>0</v>
      </c>
      <c r="L180" t="inlineStr">
        <is>
          <t>p449871</t>
        </is>
      </c>
      <c r="M180" t="n">
        <v>48</v>
      </c>
      <c r="Q180" t="n">
        <v>1755</v>
      </c>
      <c r="R180" t="n">
        <v>25</v>
      </c>
      <c r="S180" t="n">
        <v>21</v>
      </c>
      <c r="T180" t="n">
        <v>19.5</v>
      </c>
      <c r="U180" t="n">
        <v>70.2</v>
      </c>
      <c r="V180" t="n">
        <v>76</v>
      </c>
      <c r="W180" t="n">
        <v>3.897</v>
      </c>
      <c r="X180" t="n">
        <v>2</v>
      </c>
      <c r="Y180" t="n">
        <v>0</v>
      </c>
      <c r="AA180" t="n">
        <v>6</v>
      </c>
      <c r="AB180" t="n">
        <v>26</v>
      </c>
      <c r="AC180" t="n">
        <v>4</v>
      </c>
      <c r="AD180" t="n">
        <v>4</v>
      </c>
      <c r="AE180" t="n">
        <v>0</v>
      </c>
      <c r="AF180" t="n">
        <v>353</v>
      </c>
      <c r="AG180" t="n">
        <v>332</v>
      </c>
      <c r="AH180" t="n">
        <v>-21</v>
      </c>
      <c r="AI180" t="n">
        <v>76</v>
      </c>
      <c r="AJ180" t="n">
        <v>0.053</v>
      </c>
      <c r="AK180" t="n">
        <v>0.056</v>
      </c>
      <c r="AL180" t="n">
        <v>219</v>
      </c>
      <c r="AM180" t="n">
        <v>11.231</v>
      </c>
      <c r="AN180" t="n">
        <v>7</v>
      </c>
      <c r="AO180" t="n">
        <v>14</v>
      </c>
      <c r="AP180" t="n">
        <v>0.333</v>
      </c>
      <c r="AQ180" t="n">
        <v>0.476</v>
      </c>
      <c r="AR180" t="n">
        <v>0.333</v>
      </c>
      <c r="AS180" t="n">
        <v>0.553</v>
      </c>
      <c r="AT180" t="n">
        <v>0.8</v>
      </c>
      <c r="AU180" t="n">
        <v>14</v>
      </c>
      <c r="AV180" t="n">
        <v>1</v>
      </c>
      <c r="AW180" t="n">
        <v>2.5</v>
      </c>
      <c r="AX180" t="n">
        <v>11</v>
      </c>
      <c r="AY180" t="n">
        <v>1.68</v>
      </c>
      <c r="AZ180" t="n">
        <v>2.773</v>
      </c>
      <c r="BA180" t="n">
        <v>2.226</v>
      </c>
      <c r="BB180" t="n">
        <v>2.773</v>
      </c>
      <c r="BC180" t="n">
        <v>0.08599999999999999</v>
      </c>
      <c r="BD180" t="n">
        <v>0.142</v>
      </c>
      <c r="BE180" t="n">
        <v>0.114</v>
      </c>
      <c r="BF180" t="n">
        <v>1.8</v>
      </c>
      <c r="BG180" t="n">
        <v>0.092</v>
      </c>
      <c r="BH180" t="n">
        <v>0.99</v>
      </c>
      <c r="BI180" t="n">
        <v>8.970000000000001</v>
      </c>
      <c r="BJ180" t="n">
        <v>1.663</v>
      </c>
      <c r="BK180" t="n">
        <v>0.08500000000000001</v>
      </c>
      <c r="BL180" t="n">
        <v>-0.226</v>
      </c>
      <c r="BM180" t="n">
        <v>0.12</v>
      </c>
      <c r="BN180" t="n">
        <v>0.2</v>
      </c>
      <c r="BO180" t="n">
        <v>-1.093</v>
      </c>
      <c r="BP180" t="n">
        <v>19</v>
      </c>
      <c r="BQ180" t="n">
        <v>7</v>
      </c>
      <c r="BR180" t="n">
        <v>4</v>
      </c>
      <c r="BS180" t="n">
        <v>25</v>
      </c>
      <c r="BT180" t="n">
        <v>1.282</v>
      </c>
      <c r="BV180" t="n">
        <v>1</v>
      </c>
      <c r="BW180" t="n">
        <v>0.6899999999999999</v>
      </c>
      <c r="BX180" t="n">
        <v>0.504</v>
      </c>
      <c r="BY180" t="n">
        <v>0.597</v>
      </c>
      <c r="BZ180" t="n">
        <v>0.031</v>
      </c>
      <c r="CA180" t="n">
        <v>2.823</v>
      </c>
      <c r="CB180" t="n">
        <v>0.145</v>
      </c>
      <c r="CC180" t="n">
        <v>7</v>
      </c>
      <c r="CD180" t="n">
        <v>0</v>
      </c>
      <c r="CE180" t="n">
        <v>7</v>
      </c>
      <c r="CG180" t="n">
        <v>1</v>
      </c>
      <c r="CI180" t="n">
        <v>6.815</v>
      </c>
      <c r="CJ180" t="n">
        <v>5.313</v>
      </c>
      <c r="CK180" t="n">
        <v>99</v>
      </c>
      <c r="CL180" t="n">
        <v>72</v>
      </c>
      <c r="CM180" t="n">
        <v>48</v>
      </c>
      <c r="CN180" t="n">
        <v>30</v>
      </c>
      <c r="CO180" t="n">
        <v>25</v>
      </c>
      <c r="CP180" t="n">
        <v>59</v>
      </c>
      <c r="CQ180" t="n">
        <v>17</v>
      </c>
      <c r="CR180" t="n">
        <v>122</v>
      </c>
      <c r="CS180" t="n">
        <v>45</v>
      </c>
      <c r="CT180" t="n">
        <v>0.3</v>
      </c>
      <c r="CU180" t="n">
        <v>1</v>
      </c>
      <c r="CV180" t="n">
        <v>1</v>
      </c>
      <c r="CW180" t="n">
        <v>28.53</v>
      </c>
      <c r="CX180" t="n">
        <v>1.463</v>
      </c>
      <c r="CY180" t="n">
        <v>0</v>
      </c>
      <c r="DB180" t="n">
        <v>0</v>
      </c>
      <c r="DE180" t="n">
        <v>6.91</v>
      </c>
      <c r="DF180" t="n">
        <v>3</v>
      </c>
      <c r="DG180" t="n">
        <v>0</v>
      </c>
      <c r="DH180" t="n">
        <v>20</v>
      </c>
      <c r="DI180" t="n">
        <v>25</v>
      </c>
      <c r="DL180" t="n">
        <v>7</v>
      </c>
      <c r="DM180" t="n">
        <v>10</v>
      </c>
      <c r="DO180" t="n">
        <v>0</v>
      </c>
      <c r="DP180" t="n">
        <v>47.78</v>
      </c>
      <c r="DQ180" t="n">
        <v>18.55</v>
      </c>
      <c r="DR180" t="n">
        <v>37.1</v>
      </c>
      <c r="DS180" t="n">
        <v>10.68</v>
      </c>
      <c r="DT180" t="n">
        <v>1285</v>
      </c>
      <c r="DU180" t="n">
        <v>33.82</v>
      </c>
      <c r="DV180" t="inlineStr">
        <is>
          <t>ramp-up (injury / late WC return)</t>
        </is>
      </c>
      <c r="EF180" t="n">
        <v>92.40000000000001</v>
      </c>
      <c r="EG180" t="n">
        <v>70.2</v>
      </c>
      <c r="EH180" t="n">
        <v>250.7</v>
      </c>
      <c r="EI180" t="n">
        <v>788.3</v>
      </c>
      <c r="EJ180" t="n">
        <v>2939.9</v>
      </c>
      <c r="EK180" t="n">
        <v>621.6</v>
      </c>
      <c r="EL180" t="n">
        <v>23.1</v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n">
        <v>6</v>
      </c>
      <c r="F181" t="b">
        <v>1</v>
      </c>
      <c r="G181" t="b">
        <v>1</v>
      </c>
      <c r="H181" t="n">
        <v>23</v>
      </c>
      <c r="I181" t="inlineStr">
        <is>
          <t>a</t>
        </is>
      </c>
      <c r="L181" t="inlineStr">
        <is>
          <t>p538207</t>
        </is>
      </c>
      <c r="M181" t="n">
        <v>465</v>
      </c>
      <c r="N181" t="n">
        <v>2</v>
      </c>
      <c r="Q181" t="n">
        <v>805</v>
      </c>
      <c r="R181" t="n">
        <v>24</v>
      </c>
      <c r="S181" t="n">
        <v>8</v>
      </c>
      <c r="T181" t="n">
        <v>8.944000000000001</v>
      </c>
      <c r="U181" t="n">
        <v>33.5</v>
      </c>
      <c r="V181" t="n">
        <v>76</v>
      </c>
      <c r="W181" t="n">
        <v>8.497</v>
      </c>
      <c r="X181" t="n">
        <v>7</v>
      </c>
      <c r="Y181" t="n">
        <v>1</v>
      </c>
      <c r="AA181" t="n">
        <v>2</v>
      </c>
      <c r="AB181" t="n">
        <v>14</v>
      </c>
      <c r="AC181" t="n">
        <v>13</v>
      </c>
      <c r="AD181" t="n">
        <v>13</v>
      </c>
      <c r="AE181" t="n">
        <v>0</v>
      </c>
      <c r="AF181" t="n">
        <v>284</v>
      </c>
      <c r="AG181" t="n">
        <v>284</v>
      </c>
      <c r="AH181" t="n">
        <v>0</v>
      </c>
      <c r="AI181" t="n">
        <v>76</v>
      </c>
      <c r="AJ181" t="n">
        <v>0.171</v>
      </c>
      <c r="AK181" t="n">
        <v>0.206</v>
      </c>
      <c r="AL181" t="n">
        <v>31</v>
      </c>
      <c r="AM181" t="n">
        <v>3.466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0.211</v>
      </c>
      <c r="AT181" t="n">
        <v>0.333</v>
      </c>
      <c r="AU181" t="n">
        <v>17</v>
      </c>
      <c r="AV181" t="n">
        <v>1</v>
      </c>
      <c r="AW181" t="n">
        <v>3.13</v>
      </c>
      <c r="AX181" t="n">
        <v>13</v>
      </c>
      <c r="AY181" t="n">
        <v>4.28</v>
      </c>
      <c r="AZ181" t="n">
        <v>4.915</v>
      </c>
      <c r="BA181" t="n">
        <v>4.598</v>
      </c>
      <c r="BB181" t="n">
        <v>4.915</v>
      </c>
      <c r="BC181" t="n">
        <v>0.479</v>
      </c>
      <c r="BD181" t="n">
        <v>0.55</v>
      </c>
      <c r="BE181" t="n">
        <v>0.514</v>
      </c>
      <c r="BF181" t="n">
        <v>6.1</v>
      </c>
      <c r="BG181" t="n">
        <v>0.6820000000000001</v>
      </c>
      <c r="BH181" t="n">
        <v>1.108</v>
      </c>
      <c r="BI181" t="n">
        <v>6.08</v>
      </c>
      <c r="BJ181" t="n">
        <v>4.742</v>
      </c>
      <c r="BK181" t="n">
        <v>0.53</v>
      </c>
      <c r="BL181" t="n">
        <v>2.402</v>
      </c>
      <c r="BM181" t="n">
        <v>1.82</v>
      </c>
      <c r="BN181" t="n">
        <v>0.9</v>
      </c>
      <c r="BO181" t="n">
        <v>-0.635</v>
      </c>
      <c r="BP181" t="n">
        <v>23</v>
      </c>
      <c r="BQ181" t="n">
        <v>12</v>
      </c>
      <c r="BR181" t="n">
        <v>4</v>
      </c>
      <c r="BS181" t="n">
        <v>39</v>
      </c>
      <c r="BT181" t="n">
        <v>4.36</v>
      </c>
      <c r="BV181" t="n">
        <v>1</v>
      </c>
      <c r="BW181" t="n">
        <v>0.62</v>
      </c>
      <c r="BX181" t="n">
        <v>0.447</v>
      </c>
      <c r="BY181" t="n">
        <v>0.533</v>
      </c>
      <c r="BZ181" t="n">
        <v>0.06</v>
      </c>
      <c r="CA181" t="n">
        <v>5.131</v>
      </c>
      <c r="CB181" t="n">
        <v>0.574</v>
      </c>
      <c r="CC181" t="n">
        <v>6</v>
      </c>
      <c r="CE181" t="n">
        <v>6</v>
      </c>
      <c r="CF181" t="n">
        <v>2</v>
      </c>
      <c r="CI181" t="n">
        <v>5.11</v>
      </c>
      <c r="CJ181" t="n">
        <v>0.375</v>
      </c>
      <c r="CK181" t="n">
        <v>2</v>
      </c>
      <c r="CL181" t="n">
        <v>23</v>
      </c>
      <c r="CM181" t="n">
        <v>6</v>
      </c>
      <c r="CN181" t="n">
        <v>5</v>
      </c>
      <c r="CO181" t="n">
        <v>1</v>
      </c>
      <c r="CQ181" t="n">
        <v>1</v>
      </c>
      <c r="CR181" t="n">
        <v>39</v>
      </c>
      <c r="CS181" t="n">
        <v>9</v>
      </c>
      <c r="CT181" t="n">
        <v>0.6</v>
      </c>
      <c r="CW181" t="n">
        <v>14.48</v>
      </c>
      <c r="CX181" t="n">
        <v>1.619</v>
      </c>
      <c r="CY181" t="n">
        <v>0</v>
      </c>
      <c r="DB181" t="n">
        <v>0</v>
      </c>
      <c r="DF181" t="n">
        <v>0</v>
      </c>
      <c r="DG181" t="n">
        <v>0</v>
      </c>
      <c r="DH181" t="n">
        <v>24</v>
      </c>
      <c r="DI181" t="n">
        <v>16</v>
      </c>
      <c r="DL181" t="n">
        <v>8</v>
      </c>
      <c r="DM181" t="n">
        <v>13</v>
      </c>
      <c r="DN181" t="n">
        <v>2</v>
      </c>
      <c r="DO181" t="n">
        <v>1.2</v>
      </c>
      <c r="DP181" t="n">
        <v>118.72</v>
      </c>
      <c r="DQ181" t="n">
        <v>59.36</v>
      </c>
      <c r="DR181" t="n">
        <v>118.72</v>
      </c>
      <c r="DS181" t="n">
        <v>0</v>
      </c>
      <c r="DT181" t="n">
        <v>2069</v>
      </c>
      <c r="DU181" t="n">
        <v>54.45</v>
      </c>
      <c r="DV181" t="inlineStr">
        <is>
          <t>flat</t>
        </is>
      </c>
      <c r="DW181" t="n">
        <v>69.59999999999999</v>
      </c>
      <c r="DX181" t="n">
        <v>77.67</v>
      </c>
      <c r="DY181" t="n">
        <v>28.34</v>
      </c>
      <c r="DZ181" t="n">
        <v>3.5</v>
      </c>
      <c r="EA181" t="n">
        <v>120</v>
      </c>
      <c r="EB181" t="n">
        <v>133</v>
      </c>
      <c r="EC181" t="n">
        <v>63.9</v>
      </c>
      <c r="ED181" t="n">
        <v>19.4</v>
      </c>
      <c r="EE181" t="n">
        <v>91</v>
      </c>
      <c r="EF181" t="n">
        <v>35</v>
      </c>
      <c r="EG181" t="n">
        <v>20.6</v>
      </c>
      <c r="EH181" t="n">
        <v>134.2</v>
      </c>
      <c r="EI181" t="n">
        <v>175.1</v>
      </c>
      <c r="EJ181" t="n">
        <v>1509.4</v>
      </c>
      <c r="EK181" t="n">
        <v>156.9</v>
      </c>
      <c r="EL181" t="n">
        <v>10.6</v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n">
        <v>4.5</v>
      </c>
      <c r="F182" t="b">
        <v>1</v>
      </c>
      <c r="G182" t="b">
        <v>1</v>
      </c>
      <c r="H182" t="n">
        <v>28.3</v>
      </c>
      <c r="I182" t="inlineStr">
        <is>
          <t>a</t>
        </is>
      </c>
      <c r="L182" t="inlineStr">
        <is>
          <t>p191866</t>
        </is>
      </c>
      <c r="M182" t="n">
        <v>87</v>
      </c>
      <c r="Q182" t="n">
        <v>1805</v>
      </c>
      <c r="R182" t="n">
        <v>27</v>
      </c>
      <c r="S182" t="n">
        <v>20</v>
      </c>
      <c r="T182" t="n">
        <v>20.056</v>
      </c>
      <c r="U182" t="n">
        <v>66.90000000000001</v>
      </c>
      <c r="V182" t="n">
        <v>76</v>
      </c>
      <c r="W182" t="n">
        <v>3.789</v>
      </c>
      <c r="X182" t="n">
        <v>0</v>
      </c>
      <c r="Y182" t="n">
        <v>2</v>
      </c>
      <c r="Z182" t="n">
        <v>1</v>
      </c>
      <c r="AA182" t="n">
        <v>5</v>
      </c>
      <c r="AB182" t="n">
        <v>32</v>
      </c>
      <c r="AC182" t="n">
        <v>1</v>
      </c>
      <c r="AD182" t="n">
        <v>1</v>
      </c>
      <c r="AE182" t="n">
        <v>0</v>
      </c>
      <c r="AF182" t="n">
        <v>211</v>
      </c>
      <c r="AG182" t="n">
        <v>185</v>
      </c>
      <c r="AH182" t="n">
        <v>-26</v>
      </c>
      <c r="AI182" t="n">
        <v>76</v>
      </c>
      <c r="AJ182" t="n">
        <v>0.013</v>
      </c>
      <c r="AK182" t="n">
        <v>0.013</v>
      </c>
      <c r="AL182" t="n">
        <v>192</v>
      </c>
      <c r="AM182" t="n">
        <v>9.573</v>
      </c>
      <c r="AN182" t="n">
        <v>9</v>
      </c>
      <c r="AO182" t="n">
        <v>18</v>
      </c>
      <c r="AP182" t="n">
        <v>0.45</v>
      </c>
      <c r="AQ182" t="n">
        <v>0.45</v>
      </c>
      <c r="AR182" t="n">
        <v>0.3</v>
      </c>
      <c r="AS182" t="n">
        <v>0.526</v>
      </c>
      <c r="AT182" t="n">
        <v>0.704</v>
      </c>
      <c r="AU182" t="n">
        <v>14</v>
      </c>
      <c r="AV182" t="n">
        <v>0</v>
      </c>
      <c r="AW182" t="n">
        <v>2.39</v>
      </c>
      <c r="AX182" t="n">
        <v>9</v>
      </c>
      <c r="AY182" t="n">
        <v>0.6899999999999999</v>
      </c>
      <c r="AZ182" t="n">
        <v>1.054</v>
      </c>
      <c r="BA182" t="n">
        <v>0.872</v>
      </c>
      <c r="BB182" t="n">
        <v>1.054</v>
      </c>
      <c r="BC182" t="n">
        <v>0.034</v>
      </c>
      <c r="BD182" t="n">
        <v>0.053</v>
      </c>
      <c r="BE182" t="n">
        <v>0.043</v>
      </c>
      <c r="BF182" t="n">
        <v>0.5</v>
      </c>
      <c r="BG182" t="n">
        <v>0.025</v>
      </c>
      <c r="BH182" t="n">
        <v>1.053</v>
      </c>
      <c r="BI182" t="n">
        <v>2.92</v>
      </c>
      <c r="BJ182" t="n">
        <v>0.727</v>
      </c>
      <c r="BK182" t="n">
        <v>0.036</v>
      </c>
      <c r="BL182" t="n">
        <v>-0.872</v>
      </c>
      <c r="BM182" t="n">
        <v>-0.19</v>
      </c>
      <c r="BN182" t="n">
        <v>-0.5</v>
      </c>
      <c r="BO182" t="n">
        <v>-0.364</v>
      </c>
      <c r="BP182" t="n">
        <v>10</v>
      </c>
      <c r="BQ182" t="n">
        <v>3</v>
      </c>
      <c r="BR182" t="n">
        <v>1</v>
      </c>
      <c r="BS182" t="n">
        <v>47</v>
      </c>
      <c r="BT182" t="n">
        <v>2.343</v>
      </c>
      <c r="BW182" t="n">
        <v>0.73</v>
      </c>
      <c r="BX182" t="n">
        <v>0.904</v>
      </c>
      <c r="BY182" t="n">
        <v>0.8169999999999999</v>
      </c>
      <c r="BZ182" t="n">
        <v>0.041</v>
      </c>
      <c r="CA182" t="n">
        <v>1.689</v>
      </c>
      <c r="CB182" t="n">
        <v>0.08400000000000001</v>
      </c>
      <c r="CC182" t="n">
        <v>5</v>
      </c>
      <c r="CD182" t="n">
        <v>1</v>
      </c>
      <c r="CE182" t="n">
        <v>4</v>
      </c>
      <c r="CF182" t="n">
        <v>1</v>
      </c>
      <c r="CI182" t="n">
        <v>5.492</v>
      </c>
      <c r="CJ182" t="n">
        <v>3.874</v>
      </c>
      <c r="CK182" t="n">
        <v>155</v>
      </c>
      <c r="CL182" t="n">
        <v>59</v>
      </c>
      <c r="CM182" t="n">
        <v>37</v>
      </c>
      <c r="CN182" t="n">
        <v>22</v>
      </c>
      <c r="CO182" t="n">
        <v>18</v>
      </c>
      <c r="CP182" t="n">
        <v>119</v>
      </c>
      <c r="CQ182" t="n">
        <v>16</v>
      </c>
      <c r="CR182" t="n">
        <v>105</v>
      </c>
      <c r="CS182" t="n">
        <v>60</v>
      </c>
      <c r="CT182" t="n">
        <v>0.1</v>
      </c>
      <c r="CV182" t="n">
        <v>1</v>
      </c>
      <c r="CW182" t="n">
        <v>31.51</v>
      </c>
      <c r="CX182" t="n">
        <v>1.571</v>
      </c>
      <c r="CY182" t="n">
        <v>0</v>
      </c>
      <c r="DB182" t="n">
        <v>0</v>
      </c>
      <c r="DE182" t="n">
        <v>6.61</v>
      </c>
      <c r="DF182" t="n">
        <v>4</v>
      </c>
      <c r="DG182" t="n">
        <v>0</v>
      </c>
      <c r="DH182" t="n">
        <v>23</v>
      </c>
      <c r="DI182" t="n">
        <v>5</v>
      </c>
      <c r="DK182" t="n">
        <v>1</v>
      </c>
      <c r="DL182" t="n">
        <v>3</v>
      </c>
      <c r="DM182" t="n">
        <v>6</v>
      </c>
      <c r="DN182" t="n">
        <v>0</v>
      </c>
      <c r="DO182" t="n">
        <v>1.9</v>
      </c>
      <c r="DP182" t="n">
        <v>77.01000000000001</v>
      </c>
      <c r="DQ182" t="n">
        <v>43.01</v>
      </c>
      <c r="DR182" t="n">
        <v>86.02</v>
      </c>
      <c r="DS182" t="n">
        <v>-9.01</v>
      </c>
      <c r="DT182" t="n">
        <v>1619</v>
      </c>
      <c r="DU182" t="n">
        <v>42.6</v>
      </c>
      <c r="DV182" t="inlineStr">
        <is>
          <t>fade (losing his place)</t>
        </is>
      </c>
      <c r="DW182" t="n">
        <v>92.5</v>
      </c>
      <c r="DY182" t="n">
        <v>11.6</v>
      </c>
      <c r="DZ182" t="n">
        <v>82</v>
      </c>
      <c r="EA182" t="n">
        <v>108</v>
      </c>
      <c r="EB182" t="n">
        <v>4</v>
      </c>
      <c r="EC182" t="n">
        <v>1.9</v>
      </c>
      <c r="ED182" t="n">
        <v>0</v>
      </c>
      <c r="EE182" t="n">
        <v>412</v>
      </c>
      <c r="EF182" t="n">
        <v>180.5</v>
      </c>
      <c r="EG182" t="n">
        <v>38.4</v>
      </c>
      <c r="EH182" t="n">
        <v>451.2</v>
      </c>
      <c r="EI182" t="n">
        <v>2070.1</v>
      </c>
      <c r="EJ182" t="n">
        <v>2208.9</v>
      </c>
      <c r="EK182" t="n">
        <v>1068.6</v>
      </c>
      <c r="EL182" t="n">
        <v>23.8</v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n">
        <v>6</v>
      </c>
      <c r="F183" t="b">
        <v>1</v>
      </c>
      <c r="G183" t="b">
        <v>1</v>
      </c>
      <c r="H183" t="n">
        <v>26.5</v>
      </c>
      <c r="I183" t="inlineStr">
        <is>
          <t>a</t>
        </is>
      </c>
      <c r="L183" t="inlineStr">
        <is>
          <t>p247412</t>
        </is>
      </c>
      <c r="M183" t="n">
        <v>222</v>
      </c>
      <c r="Q183" t="n">
        <v>2301</v>
      </c>
      <c r="R183" t="n">
        <v>36</v>
      </c>
      <c r="S183" t="n">
        <v>26</v>
      </c>
      <c r="T183" t="n">
        <v>25.567</v>
      </c>
      <c r="U183" t="n">
        <v>63.9</v>
      </c>
      <c r="V183" t="n">
        <v>75</v>
      </c>
      <c r="W183" t="n">
        <v>2.934</v>
      </c>
      <c r="X183" t="n">
        <v>4</v>
      </c>
      <c r="Y183" t="n">
        <v>1</v>
      </c>
      <c r="Z183" t="n">
        <v>1</v>
      </c>
      <c r="AA183" t="n">
        <v>5</v>
      </c>
      <c r="AB183" t="n">
        <v>41</v>
      </c>
      <c r="AC183" t="n">
        <v>3</v>
      </c>
      <c r="AD183" t="n">
        <v>3</v>
      </c>
      <c r="AE183" t="n">
        <v>0</v>
      </c>
      <c r="AF183" t="n">
        <v>215</v>
      </c>
      <c r="AG183" t="n">
        <v>206</v>
      </c>
      <c r="AH183" t="n">
        <v>-9</v>
      </c>
      <c r="AI183" t="n">
        <v>75</v>
      </c>
      <c r="AJ183" t="n">
        <v>0.04</v>
      </c>
      <c r="AK183" t="n">
        <v>0.042</v>
      </c>
      <c r="AL183" t="n">
        <v>95</v>
      </c>
      <c r="AM183" t="n">
        <v>3.716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0.6840000000000001</v>
      </c>
      <c r="AT183" t="n">
        <v>0.639</v>
      </c>
      <c r="AU183" t="n">
        <v>32</v>
      </c>
      <c r="AV183" t="n">
        <v>1</v>
      </c>
      <c r="AW183" t="n">
        <v>2.2</v>
      </c>
      <c r="AX183" t="n">
        <v>13</v>
      </c>
      <c r="AY183" t="n">
        <v>5.3</v>
      </c>
      <c r="AZ183" t="n">
        <v>6.514</v>
      </c>
      <c r="BA183" t="n">
        <v>5.907</v>
      </c>
      <c r="BB183" t="n">
        <v>4.992</v>
      </c>
      <c r="BC183" t="n">
        <v>0.207</v>
      </c>
      <c r="BD183" t="n">
        <v>0.255</v>
      </c>
      <c r="BE183" t="n">
        <v>0.231</v>
      </c>
      <c r="BF183" t="n">
        <v>4</v>
      </c>
      <c r="BG183" t="n">
        <v>0.156</v>
      </c>
      <c r="BH183" t="n">
        <v>1.118</v>
      </c>
      <c r="BI183" t="n">
        <v>15.44</v>
      </c>
      <c r="BJ183" t="n">
        <v>5.924</v>
      </c>
      <c r="BK183" t="n">
        <v>0.232</v>
      </c>
      <c r="BL183" t="n">
        <v>-1.907</v>
      </c>
      <c r="BM183" t="n">
        <v>-1.3</v>
      </c>
      <c r="BN183" t="n">
        <v>0</v>
      </c>
      <c r="BO183" t="n">
        <v>-1.214</v>
      </c>
      <c r="BP183" t="n">
        <v>44</v>
      </c>
      <c r="BQ183" t="n">
        <v>14</v>
      </c>
      <c r="BR183" t="n">
        <v>5</v>
      </c>
      <c r="BS183" t="n">
        <v>97</v>
      </c>
      <c r="BT183" t="n">
        <v>3.794</v>
      </c>
      <c r="BU183" t="n">
        <v>1</v>
      </c>
      <c r="BV183" t="n">
        <v>1</v>
      </c>
      <c r="BW183" t="n">
        <v>1.12</v>
      </c>
      <c r="BX183" t="n">
        <v>0.6870000000000001</v>
      </c>
      <c r="BY183" t="n">
        <v>0.903</v>
      </c>
      <c r="BZ183" t="n">
        <v>0.035</v>
      </c>
      <c r="CA183" t="n">
        <v>6.81</v>
      </c>
      <c r="CB183" t="n">
        <v>0.266</v>
      </c>
      <c r="CC183" t="n">
        <v>10</v>
      </c>
      <c r="CD183" t="n">
        <v>1</v>
      </c>
      <c r="CE183" t="n">
        <v>10</v>
      </c>
      <c r="CG183" t="n">
        <v>1</v>
      </c>
      <c r="CI183" t="n">
        <v>7.07</v>
      </c>
      <c r="CJ183" t="n">
        <v>2.569</v>
      </c>
      <c r="CK183" t="n">
        <v>49</v>
      </c>
      <c r="CL183" t="n">
        <v>37</v>
      </c>
      <c r="CM183" t="n">
        <v>9</v>
      </c>
      <c r="CN183" t="n">
        <v>3</v>
      </c>
      <c r="CO183" t="n">
        <v>4</v>
      </c>
      <c r="CP183" t="n">
        <v>38</v>
      </c>
      <c r="CQ183" t="n">
        <v>7</v>
      </c>
      <c r="CR183" t="n">
        <v>121</v>
      </c>
      <c r="CS183" t="n">
        <v>80</v>
      </c>
      <c r="CT183" t="n">
        <v>0.3</v>
      </c>
      <c r="CW183" t="n">
        <v>36.03</v>
      </c>
      <c r="CX183" t="n">
        <v>1.409</v>
      </c>
      <c r="CY183" t="n">
        <v>0</v>
      </c>
      <c r="DB183" t="n">
        <v>0</v>
      </c>
      <c r="DE183" t="n">
        <v>6.23</v>
      </c>
      <c r="DF183" t="n">
        <v>4</v>
      </c>
      <c r="DG183" t="n">
        <v>0</v>
      </c>
      <c r="DH183" t="n">
        <v>52</v>
      </c>
      <c r="DI183" t="n">
        <v>21</v>
      </c>
      <c r="DL183" t="n">
        <v>11</v>
      </c>
      <c r="DM183" t="n">
        <v>27</v>
      </c>
      <c r="DN183" t="n">
        <v>10</v>
      </c>
      <c r="DO183" t="n">
        <v>0.6</v>
      </c>
      <c r="DP183" t="n">
        <v>52</v>
      </c>
      <c r="DQ183" t="n">
        <v>26</v>
      </c>
      <c r="DR183" t="n">
        <v>52</v>
      </c>
      <c r="DS183" t="n">
        <v>0</v>
      </c>
      <c r="DT183" t="n">
        <v>953</v>
      </c>
      <c r="DU183" t="n">
        <v>25.07</v>
      </c>
      <c r="DV183" t="inlineStr">
        <is>
          <t>flat</t>
        </is>
      </c>
      <c r="DW183" t="n">
        <v>70.83</v>
      </c>
      <c r="DX183" t="n">
        <v>85.59</v>
      </c>
      <c r="DY183" t="n">
        <v>27.32</v>
      </c>
      <c r="DZ183" t="n">
        <v>7.5</v>
      </c>
      <c r="EA183" t="n">
        <v>119.2</v>
      </c>
      <c r="EB183" t="n">
        <v>115</v>
      </c>
      <c r="EC183" t="n">
        <v>55.3</v>
      </c>
      <c r="ED183" t="n">
        <v>20.7</v>
      </c>
      <c r="EE183" t="n">
        <v>92</v>
      </c>
      <c r="EF183" t="n">
        <v>52.3</v>
      </c>
      <c r="EG183" t="n">
        <v>23.7</v>
      </c>
      <c r="EH183" t="n">
        <v>230.1</v>
      </c>
      <c r="EI183" t="n">
        <v>389.5</v>
      </c>
      <c r="EJ183" t="n">
        <v>2547.4</v>
      </c>
      <c r="EK183" t="n">
        <v>337.9</v>
      </c>
      <c r="EL183" t="n">
        <v>30.7</v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n">
        <v>6.5</v>
      </c>
      <c r="F184" t="b">
        <v>1</v>
      </c>
      <c r="G184" t="b">
        <v>1</v>
      </c>
      <c r="H184" t="n">
        <v>26.1</v>
      </c>
      <c r="I184" t="inlineStr">
        <is>
          <t>d</t>
        </is>
      </c>
      <c r="J184" t="inlineStr">
        <is>
          <t>Thigh injury - 75% chance of playing</t>
        </is>
      </c>
      <c r="K184" t="n">
        <v>75</v>
      </c>
      <c r="L184" t="inlineStr">
        <is>
          <t>p460842</t>
        </is>
      </c>
      <c r="M184" t="n">
        <v>512</v>
      </c>
      <c r="N184" t="n">
        <v>2</v>
      </c>
      <c r="O184" t="n">
        <v>2</v>
      </c>
      <c r="P184" t="n">
        <v>3</v>
      </c>
      <c r="Q184" t="n">
        <v>1535</v>
      </c>
      <c r="R184" t="n">
        <v>19</v>
      </c>
      <c r="S184" t="n">
        <v>19</v>
      </c>
      <c r="T184" t="n">
        <v>17.056</v>
      </c>
      <c r="U184" t="n">
        <v>80.8</v>
      </c>
      <c r="V184" t="n">
        <v>75</v>
      </c>
      <c r="W184" t="n">
        <v>4.397</v>
      </c>
      <c r="X184" t="n">
        <v>2</v>
      </c>
      <c r="Y184" t="n">
        <v>6</v>
      </c>
      <c r="Z184" t="n">
        <v>5</v>
      </c>
      <c r="AA184" t="n">
        <v>7</v>
      </c>
      <c r="AB184" t="n">
        <v>20</v>
      </c>
      <c r="AC184" t="n">
        <v>7</v>
      </c>
      <c r="AD184" t="n">
        <v>8</v>
      </c>
      <c r="AE184" t="n">
        <v>1</v>
      </c>
      <c r="AF184" t="n">
        <v>257</v>
      </c>
      <c r="AG184" t="n">
        <v>255</v>
      </c>
      <c r="AH184" t="n">
        <v>-2</v>
      </c>
      <c r="AI184" t="n">
        <v>76</v>
      </c>
      <c r="AJ184" t="n">
        <v>0.093</v>
      </c>
      <c r="AK184" t="n">
        <v>0.103</v>
      </c>
      <c r="AL184" t="n">
        <v>133</v>
      </c>
      <c r="AM184" t="n">
        <v>7.798</v>
      </c>
      <c r="AN184" t="n">
        <v>0</v>
      </c>
      <c r="AO184" t="n">
        <v>0</v>
      </c>
      <c r="AP184" t="n">
        <v>0</v>
      </c>
      <c r="AQ184" t="n">
        <v>0.053</v>
      </c>
      <c r="AR184" t="n">
        <v>0</v>
      </c>
      <c r="AS184" t="n">
        <v>0.5</v>
      </c>
      <c r="AT184" t="n">
        <v>0.895</v>
      </c>
      <c r="AU184" t="n">
        <v>8</v>
      </c>
      <c r="AV184" t="n">
        <v>2</v>
      </c>
      <c r="AW184" t="n">
        <v>3.01</v>
      </c>
      <c r="AX184" t="n">
        <v>12</v>
      </c>
      <c r="AY184" t="n">
        <v>1.92</v>
      </c>
      <c r="AZ184" t="n">
        <v>2.362</v>
      </c>
      <c r="BA184" t="n">
        <v>2.141</v>
      </c>
      <c r="BB184" t="n">
        <v>2.362</v>
      </c>
      <c r="BC184" t="n">
        <v>0.113</v>
      </c>
      <c r="BD184" t="n">
        <v>0.139</v>
      </c>
      <c r="BE184" t="n">
        <v>0.126</v>
      </c>
      <c r="BF184" t="n">
        <v>2.6</v>
      </c>
      <c r="BG184" t="n">
        <v>0.152</v>
      </c>
      <c r="BH184" t="n">
        <v>0.993</v>
      </c>
      <c r="BI184" t="n">
        <v>13.95</v>
      </c>
      <c r="BJ184" t="n">
        <v>1.907</v>
      </c>
      <c r="BK184" t="n">
        <v>0.112</v>
      </c>
      <c r="BL184" t="n">
        <v>-0.141</v>
      </c>
      <c r="BM184" t="n">
        <v>0.68</v>
      </c>
      <c r="BN184" t="n">
        <v>-0.6</v>
      </c>
      <c r="BO184" t="n">
        <v>-0.442</v>
      </c>
      <c r="BP184" t="n">
        <v>26</v>
      </c>
      <c r="BQ184" t="n">
        <v>9</v>
      </c>
      <c r="BR184" t="n">
        <v>3</v>
      </c>
      <c r="BS184" t="n">
        <v>57</v>
      </c>
      <c r="BT184" t="n">
        <v>3.342</v>
      </c>
      <c r="BW184" t="n">
        <v>2.41</v>
      </c>
      <c r="BX184" t="n">
        <v>2.574</v>
      </c>
      <c r="BY184" t="n">
        <v>2.492</v>
      </c>
      <c r="BZ184" t="n">
        <v>0.146</v>
      </c>
      <c r="CA184" t="n">
        <v>4.633</v>
      </c>
      <c r="CB184" t="n">
        <v>0.272</v>
      </c>
      <c r="CC184" t="n">
        <v>21</v>
      </c>
      <c r="CD184" t="n">
        <v>3</v>
      </c>
      <c r="CE184" t="n">
        <v>23</v>
      </c>
      <c r="CF184" t="n">
        <v>28</v>
      </c>
      <c r="CH184" t="n">
        <v>49</v>
      </c>
      <c r="CI184" t="n">
        <v>4.963</v>
      </c>
      <c r="CJ184" t="n">
        <v>1.407</v>
      </c>
      <c r="CK184" t="n">
        <v>9</v>
      </c>
      <c r="CL184" t="n">
        <v>95</v>
      </c>
      <c r="CM184" t="n">
        <v>29</v>
      </c>
      <c r="CN184" t="n">
        <v>19</v>
      </c>
      <c r="CO184" t="n">
        <v>3</v>
      </c>
      <c r="CP184" t="n">
        <v>6</v>
      </c>
      <c r="CR184" t="n">
        <v>107</v>
      </c>
      <c r="CS184" t="n">
        <v>11</v>
      </c>
      <c r="CT184" t="n">
        <v>0.7</v>
      </c>
      <c r="CV184" t="n">
        <v>1</v>
      </c>
      <c r="CW184" t="n">
        <v>22.74</v>
      </c>
      <c r="CX184" t="n">
        <v>1.333</v>
      </c>
      <c r="CY184" t="n">
        <v>0</v>
      </c>
      <c r="DB184" t="n">
        <v>0</v>
      </c>
      <c r="DE184" t="n">
        <v>6.99</v>
      </c>
      <c r="DF184" t="n">
        <v>3</v>
      </c>
      <c r="DG184" t="n">
        <v>0</v>
      </c>
      <c r="DH184" t="n">
        <v>23</v>
      </c>
      <c r="DI184" t="n">
        <v>15</v>
      </c>
      <c r="DL184" t="n">
        <v>52</v>
      </c>
      <c r="DM184" t="n">
        <v>54</v>
      </c>
      <c r="DN184" t="n">
        <v>10</v>
      </c>
      <c r="DO184" t="n">
        <v>0.2</v>
      </c>
      <c r="DP184" t="n">
        <v>107.9</v>
      </c>
      <c r="DQ184" t="n">
        <v>56.4</v>
      </c>
      <c r="DR184" t="n">
        <v>112.8</v>
      </c>
      <c r="DS184" t="n">
        <v>-4.9</v>
      </c>
      <c r="DT184" t="n">
        <v>1858</v>
      </c>
      <c r="DU184" t="n">
        <v>48.9</v>
      </c>
      <c r="DV184" t="inlineStr">
        <is>
          <t>flat</t>
        </is>
      </c>
      <c r="DW184" t="n">
        <v>66.92</v>
      </c>
      <c r="DX184" t="n">
        <v>72.18000000000001</v>
      </c>
      <c r="DY184" t="n">
        <v>22.63</v>
      </c>
      <c r="DZ184" t="n">
        <v>25.78</v>
      </c>
      <c r="EA184" t="n">
        <v>115.2</v>
      </c>
      <c r="EB184" t="n">
        <v>90</v>
      </c>
      <c r="EC184" t="n">
        <v>43.3</v>
      </c>
      <c r="ED184" t="n">
        <v>28.6</v>
      </c>
      <c r="EE184" t="n">
        <v>43</v>
      </c>
      <c r="EF184" t="n">
        <v>59</v>
      </c>
      <c r="EG184" t="n">
        <v>26.9</v>
      </c>
      <c r="EH184" t="n">
        <v>66.7</v>
      </c>
      <c r="EI184" t="n">
        <v>716.9</v>
      </c>
      <c r="EJ184" t="n">
        <v>616</v>
      </c>
      <c r="EK184" t="n">
        <v>331.3</v>
      </c>
      <c r="EL184" t="n">
        <v>20.5</v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n">
        <v>6.5</v>
      </c>
      <c r="F185" t="b">
        <v>1</v>
      </c>
      <c r="G185" t="b">
        <v>1</v>
      </c>
      <c r="H185" t="n">
        <v>27.7</v>
      </c>
      <c r="I185" t="inlineStr">
        <is>
          <t>a</t>
        </is>
      </c>
      <c r="L185" t="inlineStr">
        <is>
          <t>p184029</t>
        </is>
      </c>
      <c r="M185" t="n">
        <v>15</v>
      </c>
      <c r="N185" t="n">
        <v>3</v>
      </c>
      <c r="O185" t="n">
        <v>3</v>
      </c>
      <c r="Q185" t="n">
        <v>1363</v>
      </c>
      <c r="R185" t="n">
        <v>24</v>
      </c>
      <c r="S185" t="n">
        <v>16</v>
      </c>
      <c r="T185" t="n">
        <v>15.144</v>
      </c>
      <c r="U185" t="n">
        <v>56.8</v>
      </c>
      <c r="V185" t="n">
        <v>74</v>
      </c>
      <c r="W185" t="n">
        <v>4.886</v>
      </c>
      <c r="X185" t="n">
        <v>1</v>
      </c>
      <c r="Y185" t="n">
        <v>7</v>
      </c>
      <c r="Z185" t="n">
        <v>6</v>
      </c>
      <c r="AA185" t="n">
        <v>6</v>
      </c>
      <c r="AB185" t="n">
        <v>13</v>
      </c>
      <c r="AC185" t="n">
        <v>5</v>
      </c>
      <c r="AD185" t="n">
        <v>5</v>
      </c>
      <c r="AE185" t="n">
        <v>0</v>
      </c>
      <c r="AF185" t="n">
        <v>306</v>
      </c>
      <c r="AG185" t="n">
        <v>304</v>
      </c>
      <c r="AH185" t="n">
        <v>-2</v>
      </c>
      <c r="AI185" t="n">
        <v>74</v>
      </c>
      <c r="AJ185" t="n">
        <v>0.068</v>
      </c>
      <c r="AK185" t="n">
        <v>0.07199999999999999</v>
      </c>
      <c r="AL185" t="n">
        <v>102</v>
      </c>
      <c r="AM185" t="n">
        <v>6.735</v>
      </c>
      <c r="AN185" t="n">
        <v>1</v>
      </c>
      <c r="AO185" t="n">
        <v>2</v>
      </c>
      <c r="AP185" t="n">
        <v>0.062</v>
      </c>
      <c r="AQ185" t="n">
        <v>0.188</v>
      </c>
      <c r="AR185" t="n">
        <v>0.062</v>
      </c>
      <c r="AS185" t="n">
        <v>0.421</v>
      </c>
      <c r="AT185" t="n">
        <v>0.458</v>
      </c>
      <c r="AU185" t="n">
        <v>10</v>
      </c>
      <c r="AV185" t="n">
        <v>1</v>
      </c>
      <c r="AW185" t="n">
        <v>2.3</v>
      </c>
      <c r="AX185" t="n">
        <v>10</v>
      </c>
      <c r="AY185" t="n">
        <v>1.25</v>
      </c>
      <c r="AZ185" t="n">
        <v>1.219</v>
      </c>
      <c r="BA185" t="n">
        <v>1.235</v>
      </c>
      <c r="BB185" t="n">
        <v>1.219</v>
      </c>
      <c r="BC185" t="n">
        <v>0.083</v>
      </c>
      <c r="BD185" t="n">
        <v>0.08</v>
      </c>
      <c r="BE185" t="n">
        <v>0.082</v>
      </c>
      <c r="BF185" t="n">
        <v>1.3</v>
      </c>
      <c r="BG185" t="n">
        <v>0.08599999999999999</v>
      </c>
      <c r="BH185" t="n">
        <v>0.956</v>
      </c>
      <c r="BI185" t="n">
        <v>23.38</v>
      </c>
      <c r="BJ185" t="n">
        <v>1.195</v>
      </c>
      <c r="BK185" t="n">
        <v>0.079</v>
      </c>
      <c r="BL185" t="n">
        <v>-0.235</v>
      </c>
      <c r="BM185" t="n">
        <v>0.05</v>
      </c>
      <c r="BN185" t="n">
        <v>-0.3</v>
      </c>
      <c r="BO185" t="n">
        <v>0.031</v>
      </c>
      <c r="BP185" t="n">
        <v>22</v>
      </c>
      <c r="BQ185" t="n">
        <v>8</v>
      </c>
      <c r="BS185" t="n">
        <v>38</v>
      </c>
      <c r="BT185" t="n">
        <v>2.509</v>
      </c>
      <c r="BW185" t="n">
        <v>3.65</v>
      </c>
      <c r="BX185" t="n">
        <v>4.978</v>
      </c>
      <c r="BY185" t="n">
        <v>4.314</v>
      </c>
      <c r="BZ185" t="n">
        <v>0.285</v>
      </c>
      <c r="CA185" t="n">
        <v>5.549</v>
      </c>
      <c r="CB185" t="n">
        <v>0.366</v>
      </c>
      <c r="CC185" t="n">
        <v>38</v>
      </c>
      <c r="CD185" t="n">
        <v>6</v>
      </c>
      <c r="CE185" t="n">
        <v>39</v>
      </c>
      <c r="CF185" t="n">
        <v>6</v>
      </c>
      <c r="CG185" t="n">
        <v>7</v>
      </c>
      <c r="CH185" t="n">
        <v>5</v>
      </c>
      <c r="CI185" t="n">
        <v>11.734</v>
      </c>
      <c r="CJ185" t="n">
        <v>7.589</v>
      </c>
      <c r="CK185" t="n">
        <v>13</v>
      </c>
      <c r="CL185" t="n">
        <v>70</v>
      </c>
      <c r="CM185" t="n">
        <v>19</v>
      </c>
      <c r="CN185" t="n">
        <v>8</v>
      </c>
      <c r="CO185" t="n">
        <v>7</v>
      </c>
      <c r="CP185" t="n">
        <v>6</v>
      </c>
      <c r="CR185" t="n">
        <v>40</v>
      </c>
      <c r="CS185" t="n">
        <v>3</v>
      </c>
      <c r="CT185" t="n">
        <v>1.2</v>
      </c>
      <c r="CV185" t="n">
        <v>1</v>
      </c>
      <c r="CW185" t="n">
        <v>16.2</v>
      </c>
      <c r="CX185" t="n">
        <v>1.07</v>
      </c>
      <c r="CY185" t="n">
        <v>0</v>
      </c>
      <c r="DB185" t="n">
        <v>0</v>
      </c>
      <c r="DE185" t="n">
        <v>7</v>
      </c>
      <c r="DF185" t="n">
        <v>0</v>
      </c>
      <c r="DG185" t="n">
        <v>0</v>
      </c>
      <c r="DH185" t="n">
        <v>9</v>
      </c>
      <c r="DI185" t="n">
        <v>9</v>
      </c>
      <c r="DL185" t="n">
        <v>9</v>
      </c>
      <c r="DM185" t="n">
        <v>13</v>
      </c>
      <c r="DN185" t="n">
        <v>2</v>
      </c>
      <c r="DO185" t="n">
        <v>2.9</v>
      </c>
      <c r="DP185" t="n">
        <v>98.61</v>
      </c>
      <c r="DQ185" t="n">
        <v>49.41</v>
      </c>
      <c r="DR185" t="n">
        <v>98.81999999999999</v>
      </c>
      <c r="DS185" t="n">
        <v>-0.21</v>
      </c>
      <c r="DT185" t="n">
        <v>1864</v>
      </c>
      <c r="DU185" t="n">
        <v>49.05</v>
      </c>
      <c r="DV185" t="inlineStr">
        <is>
          <t>flat</t>
        </is>
      </c>
      <c r="DW185" t="n">
        <v>48.29</v>
      </c>
      <c r="DX185" t="n">
        <v>54.19</v>
      </c>
      <c r="DY185" t="n">
        <v>22.95</v>
      </c>
      <c r="DZ185" t="n">
        <v>12</v>
      </c>
      <c r="EA185" t="n">
        <v>120</v>
      </c>
      <c r="EB185" t="n">
        <v>156</v>
      </c>
      <c r="EC185" t="n">
        <v>75</v>
      </c>
      <c r="ED185" t="n">
        <v>14.3</v>
      </c>
      <c r="EE185" t="n">
        <v>44</v>
      </c>
      <c r="EF185" t="n">
        <v>62</v>
      </c>
      <c r="EG185" t="n">
        <v>35.9</v>
      </c>
      <c r="EH185" t="n">
        <v>34.9</v>
      </c>
      <c r="EI185" t="n">
        <v>1104</v>
      </c>
      <c r="EJ185" t="n">
        <v>315.9</v>
      </c>
      <c r="EK185" t="n">
        <v>245.6</v>
      </c>
      <c r="EL185" t="n">
        <v>18.4</v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n">
        <v>5.5</v>
      </c>
      <c r="F186" t="b">
        <v>1</v>
      </c>
      <c r="G186" t="b">
        <v>1</v>
      </c>
      <c r="H186" t="n">
        <v>26</v>
      </c>
      <c r="I186" t="inlineStr">
        <is>
          <t>a</t>
        </is>
      </c>
      <c r="L186" t="inlineStr">
        <is>
          <t>p437505</t>
        </is>
      </c>
      <c r="M186" t="n">
        <v>553</v>
      </c>
      <c r="Q186" t="n">
        <v>1148</v>
      </c>
      <c r="R186" t="n">
        <v>32</v>
      </c>
      <c r="S186" t="n">
        <v>11</v>
      </c>
      <c r="T186" t="n">
        <v>12.756</v>
      </c>
      <c r="U186" t="n">
        <v>35.9</v>
      </c>
      <c r="V186" t="n">
        <v>74</v>
      </c>
      <c r="W186" t="n">
        <v>5.801</v>
      </c>
      <c r="X186" t="n">
        <v>6</v>
      </c>
      <c r="Y186" t="n">
        <v>1</v>
      </c>
      <c r="AA186" t="n">
        <v>4</v>
      </c>
      <c r="AB186" t="n">
        <v>17</v>
      </c>
      <c r="AC186" t="n">
        <v>7</v>
      </c>
      <c r="AD186" t="n">
        <v>8</v>
      </c>
      <c r="AE186" t="n">
        <v>1</v>
      </c>
      <c r="AF186" t="n">
        <v>266</v>
      </c>
      <c r="AG186" t="n">
        <v>265</v>
      </c>
      <c r="AH186" t="n">
        <v>-1</v>
      </c>
      <c r="AI186" t="n">
        <v>75</v>
      </c>
      <c r="AJ186" t="n">
        <v>0.095</v>
      </c>
      <c r="AK186" t="n">
        <v>0.104</v>
      </c>
      <c r="AL186" t="n">
        <v>51</v>
      </c>
      <c r="AM186" t="n">
        <v>3.998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0.289</v>
      </c>
      <c r="AT186" t="n">
        <v>0.281</v>
      </c>
      <c r="AU186" t="n">
        <v>25</v>
      </c>
      <c r="AV186" t="n">
        <v>0</v>
      </c>
      <c r="AW186" t="n">
        <v>2.24</v>
      </c>
      <c r="AX186" t="n">
        <v>9</v>
      </c>
      <c r="AY186" t="n">
        <v>4.7</v>
      </c>
      <c r="AZ186" t="n">
        <v>5.619</v>
      </c>
      <c r="BA186" t="n">
        <v>5.16</v>
      </c>
      <c r="BB186" t="n">
        <v>5.619</v>
      </c>
      <c r="BC186" t="n">
        <v>0.368</v>
      </c>
      <c r="BD186" t="n">
        <v>0.441</v>
      </c>
      <c r="BE186" t="n">
        <v>0.405</v>
      </c>
      <c r="BF186" t="n">
        <v>5.2</v>
      </c>
      <c r="BG186" t="n">
        <v>0.408</v>
      </c>
      <c r="BH186" t="n">
        <v>1.039</v>
      </c>
      <c r="BI186" t="n">
        <v>4.7</v>
      </c>
      <c r="BJ186" t="n">
        <v>4.885</v>
      </c>
      <c r="BK186" t="n">
        <v>0.383</v>
      </c>
      <c r="BL186" t="n">
        <v>0.84</v>
      </c>
      <c r="BM186" t="n">
        <v>0.5</v>
      </c>
      <c r="BN186" t="n">
        <v>0.8</v>
      </c>
      <c r="BO186" t="n">
        <v>-0.919</v>
      </c>
      <c r="BP186" t="n">
        <v>43</v>
      </c>
      <c r="BQ186" t="n">
        <v>17</v>
      </c>
      <c r="BR186" t="n">
        <v>2</v>
      </c>
      <c r="BS186" t="n">
        <v>67</v>
      </c>
      <c r="BT186" t="n">
        <v>5.253</v>
      </c>
      <c r="BV186" t="n">
        <v>1</v>
      </c>
      <c r="BW186" t="n">
        <v>0.38</v>
      </c>
      <c r="BX186" t="n">
        <v>0</v>
      </c>
      <c r="BY186" t="n">
        <v>0.19</v>
      </c>
      <c r="BZ186" t="n">
        <v>0.015</v>
      </c>
      <c r="CA186" t="n">
        <v>5.35</v>
      </c>
      <c r="CB186" t="n">
        <v>0.419</v>
      </c>
      <c r="CC186" t="n">
        <v>0</v>
      </c>
      <c r="CE186" t="n">
        <v>0</v>
      </c>
      <c r="CI186" t="n">
        <v>6.032</v>
      </c>
      <c r="CJ186" t="n">
        <v>0.675</v>
      </c>
      <c r="CK186" t="n">
        <v>17</v>
      </c>
      <c r="CL186" t="n">
        <v>23</v>
      </c>
      <c r="CM186" t="n">
        <v>11</v>
      </c>
      <c r="CN186" t="n">
        <v>8</v>
      </c>
      <c r="CO186" t="n">
        <v>1</v>
      </c>
      <c r="CP186" t="n">
        <v>15</v>
      </c>
      <c r="CQ186" t="n">
        <v>1</v>
      </c>
      <c r="CR186" t="n">
        <v>49</v>
      </c>
      <c r="CS186" t="n">
        <v>25</v>
      </c>
      <c r="CT186" t="n">
        <v>0.2</v>
      </c>
      <c r="CW186" t="n">
        <v>19.82</v>
      </c>
      <c r="CX186" t="n">
        <v>1.554</v>
      </c>
      <c r="CY186" t="n">
        <v>0</v>
      </c>
      <c r="DB186" t="n">
        <v>0</v>
      </c>
      <c r="DE186" t="n">
        <v>6.31</v>
      </c>
      <c r="DF186" t="n">
        <v>1</v>
      </c>
      <c r="DG186" t="n">
        <v>0</v>
      </c>
      <c r="DH186" t="n">
        <v>14</v>
      </c>
      <c r="DI186" t="n">
        <v>7</v>
      </c>
      <c r="DL186" t="n">
        <v>6</v>
      </c>
      <c r="DM186" t="n">
        <v>14</v>
      </c>
      <c r="DN186" t="n">
        <v>11</v>
      </c>
      <c r="DO186" t="n">
        <v>1.2</v>
      </c>
      <c r="DP186" t="n">
        <v>43.24</v>
      </c>
      <c r="DQ186" t="n">
        <v>21.62</v>
      </c>
      <c r="DR186" t="n">
        <v>43.24</v>
      </c>
      <c r="DS186" t="n">
        <v>0</v>
      </c>
      <c r="DT186" t="n">
        <v>481</v>
      </c>
      <c r="DU186" t="n">
        <v>12.66</v>
      </c>
      <c r="DV186" t="inlineStr">
        <is>
          <t>flat</t>
        </is>
      </c>
      <c r="DW186" t="n">
        <v>92.92</v>
      </c>
      <c r="DX186" t="n">
        <v>99.59999999999999</v>
      </c>
      <c r="DY186" t="n">
        <v>22.72</v>
      </c>
      <c r="DZ186" t="n">
        <v>20</v>
      </c>
      <c r="EA186" t="n">
        <v>119.11</v>
      </c>
      <c r="EB186" t="n">
        <v>42</v>
      </c>
      <c r="EC186" t="n">
        <v>20.2</v>
      </c>
      <c r="ED186" t="n">
        <v>10.6</v>
      </c>
      <c r="EE186" t="n">
        <v>154</v>
      </c>
      <c r="EF186" t="n">
        <v>26.7</v>
      </c>
      <c r="EG186" t="n">
        <v>17.1</v>
      </c>
      <c r="EI186" t="n">
        <v>222.5</v>
      </c>
      <c r="EJ186" t="n">
        <v>6042.1</v>
      </c>
      <c r="EK186" t="n">
        <v>214.6</v>
      </c>
      <c r="EL186" t="n">
        <v>15.5</v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n">
        <v>4.5</v>
      </c>
      <c r="F187" t="b">
        <v>1</v>
      </c>
      <c r="G187" t="b">
        <v>1</v>
      </c>
      <c r="H187" t="n">
        <v>32.6</v>
      </c>
      <c r="I187" t="inlineStr">
        <is>
          <t>a</t>
        </is>
      </c>
      <c r="L187" t="inlineStr">
        <is>
          <t>p434399</t>
        </is>
      </c>
      <c r="M187" t="n">
        <v>536</v>
      </c>
      <c r="Q187" t="n">
        <v>1966</v>
      </c>
      <c r="R187" t="n">
        <v>25</v>
      </c>
      <c r="S187" t="n">
        <v>23</v>
      </c>
      <c r="T187" t="n">
        <v>21.844</v>
      </c>
      <c r="U187" t="n">
        <v>78.59999999999999</v>
      </c>
      <c r="V187" t="n">
        <v>74</v>
      </c>
      <c r="W187" t="n">
        <v>3.388</v>
      </c>
      <c r="X187" t="n">
        <v>0</v>
      </c>
      <c r="Y187" t="n">
        <v>2</v>
      </c>
      <c r="Z187" t="n">
        <v>1</v>
      </c>
      <c r="AA187" t="n">
        <v>6</v>
      </c>
      <c r="AB187" t="n">
        <v>27</v>
      </c>
      <c r="AC187" t="n">
        <v>6</v>
      </c>
      <c r="AD187" t="n">
        <v>5</v>
      </c>
      <c r="AE187" t="n">
        <v>-1</v>
      </c>
      <c r="AF187" t="n">
        <v>281</v>
      </c>
      <c r="AG187" t="n">
        <v>258</v>
      </c>
      <c r="AH187" t="n">
        <v>-23</v>
      </c>
      <c r="AI187" t="n">
        <v>73</v>
      </c>
      <c r="AJ187" t="n">
        <v>0.081</v>
      </c>
      <c r="AK187" t="n">
        <v>0.08799999999999999</v>
      </c>
      <c r="AL187" t="n">
        <v>164</v>
      </c>
      <c r="AM187" t="n">
        <v>7.508</v>
      </c>
      <c r="AN187" t="n">
        <v>4</v>
      </c>
      <c r="AO187" t="n">
        <v>8</v>
      </c>
      <c r="AP187" t="n">
        <v>0.174</v>
      </c>
      <c r="AQ187" t="n">
        <v>0.174</v>
      </c>
      <c r="AR187" t="n">
        <v>0.08699999999999999</v>
      </c>
      <c r="AS187" t="n">
        <v>0.605</v>
      </c>
      <c r="AT187" t="n">
        <v>0.84</v>
      </c>
      <c r="AU187" t="n">
        <v>16</v>
      </c>
      <c r="AV187" t="n">
        <v>2</v>
      </c>
      <c r="AW187" t="n">
        <v>3.02</v>
      </c>
      <c r="AX187" t="n">
        <v>11</v>
      </c>
      <c r="AY187" t="n">
        <v>0.13</v>
      </c>
      <c r="AZ187" t="n">
        <v>0.17</v>
      </c>
      <c r="BA187" t="n">
        <v>0.15</v>
      </c>
      <c r="BB187" t="n">
        <v>0.17</v>
      </c>
      <c r="BC187" t="n">
        <v>0.006</v>
      </c>
      <c r="BD187" t="n">
        <v>0.008</v>
      </c>
      <c r="BE187" t="n">
        <v>0.007</v>
      </c>
      <c r="BH187" t="n">
        <v>0.984</v>
      </c>
      <c r="BI187" t="n">
        <v>0.13</v>
      </c>
      <c r="BJ187" t="n">
        <v>0.128</v>
      </c>
      <c r="BK187" t="n">
        <v>0.006</v>
      </c>
      <c r="BL187" t="n">
        <v>-0.15</v>
      </c>
      <c r="BO187" t="n">
        <v>-0.04</v>
      </c>
      <c r="BP187" t="n">
        <v>4</v>
      </c>
      <c r="BS187" t="n">
        <v>15</v>
      </c>
      <c r="BT187" t="n">
        <v>0.6870000000000001</v>
      </c>
      <c r="BW187" t="n">
        <v>0.62</v>
      </c>
      <c r="BX187" t="n">
        <v>0.296</v>
      </c>
      <c r="BY187" t="n">
        <v>0.458</v>
      </c>
      <c r="BZ187" t="n">
        <v>0.021</v>
      </c>
      <c r="CA187" t="n">
        <v>0.608</v>
      </c>
      <c r="CB187" t="n">
        <v>0.028</v>
      </c>
      <c r="CC187" t="n">
        <v>6</v>
      </c>
      <c r="CE187" t="n">
        <v>6</v>
      </c>
      <c r="CF187" t="n">
        <v>4</v>
      </c>
      <c r="CI187" t="n">
        <v>3.947</v>
      </c>
      <c r="CJ187" t="n">
        <v>3.705</v>
      </c>
      <c r="CK187" t="n">
        <v>125</v>
      </c>
      <c r="CL187" t="n">
        <v>90</v>
      </c>
      <c r="CM187" t="n">
        <v>39</v>
      </c>
      <c r="CN187" t="n">
        <v>23</v>
      </c>
      <c r="CO187" t="n">
        <v>31</v>
      </c>
      <c r="CP187" t="n">
        <v>81</v>
      </c>
      <c r="CQ187" t="n">
        <v>14</v>
      </c>
      <c r="CR187" t="n">
        <v>121</v>
      </c>
      <c r="CS187" t="n">
        <v>34</v>
      </c>
      <c r="CT187" t="n">
        <v>0.2</v>
      </c>
      <c r="CU187" t="n">
        <v>1</v>
      </c>
      <c r="CW187" t="n">
        <v>26.72</v>
      </c>
      <c r="CX187" t="n">
        <v>1.223</v>
      </c>
      <c r="CY187" t="n">
        <v>0</v>
      </c>
      <c r="DB187" t="n">
        <v>0</v>
      </c>
      <c r="DE187" t="n">
        <v>6.84</v>
      </c>
      <c r="DF187" t="n">
        <v>7</v>
      </c>
      <c r="DG187" t="n">
        <v>1</v>
      </c>
      <c r="DH187" t="n">
        <v>32</v>
      </c>
      <c r="DI187" t="n">
        <v>35</v>
      </c>
      <c r="DJ187" t="n">
        <v>1</v>
      </c>
      <c r="DK187" t="n">
        <v>1</v>
      </c>
      <c r="DL187" t="n">
        <v>15</v>
      </c>
      <c r="DM187" t="n">
        <v>13</v>
      </c>
      <c r="DN187" t="n">
        <v>1</v>
      </c>
      <c r="DO187" t="n">
        <v>0.5</v>
      </c>
      <c r="DP187" t="n">
        <v>111.72</v>
      </c>
      <c r="DQ187" t="n">
        <v>55.86</v>
      </c>
      <c r="DR187" t="n">
        <v>111.72</v>
      </c>
      <c r="DS187" t="n">
        <v>0</v>
      </c>
      <c r="DT187" t="n">
        <v>3067</v>
      </c>
      <c r="DU187" t="n">
        <v>80.7</v>
      </c>
      <c r="DV187" t="inlineStr">
        <is>
          <t>flat</t>
        </is>
      </c>
      <c r="DW187" t="n">
        <v>105</v>
      </c>
      <c r="DY187" t="n">
        <v>12.71</v>
      </c>
      <c r="DZ187" t="n">
        <v>89.5</v>
      </c>
      <c r="EA187" t="n">
        <v>118.5</v>
      </c>
      <c r="EB187" t="n">
        <v>4</v>
      </c>
      <c r="EC187" t="n">
        <v>1.9</v>
      </c>
      <c r="ED187" t="n">
        <v>20</v>
      </c>
      <c r="EE187" t="n">
        <v>413</v>
      </c>
      <c r="EF187" t="n">
        <v>491.5</v>
      </c>
      <c r="EG187" t="n">
        <v>131.1</v>
      </c>
      <c r="EH187" t="n">
        <v>327.7</v>
      </c>
      <c r="EI187" t="n">
        <v>13106.5</v>
      </c>
      <c r="EJ187" t="n">
        <v>4293.1</v>
      </c>
      <c r="EK187" t="n">
        <v>3233.8</v>
      </c>
      <c r="EL187" t="n">
        <v>26.6</v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n">
        <v>5</v>
      </c>
      <c r="F188" t="b">
        <v>1</v>
      </c>
      <c r="G188" t="b">
        <v>1</v>
      </c>
      <c r="H188" t="n">
        <v>28.3</v>
      </c>
      <c r="I188" t="inlineStr">
        <is>
          <t>a</t>
        </is>
      </c>
      <c r="L188" t="inlineStr">
        <is>
          <t>p204580</t>
        </is>
      </c>
      <c r="M188" t="n">
        <v>98</v>
      </c>
      <c r="O188" t="n">
        <v>3</v>
      </c>
      <c r="Q188" t="n">
        <v>1434</v>
      </c>
      <c r="R188" t="n">
        <v>25</v>
      </c>
      <c r="S188" t="n">
        <v>15</v>
      </c>
      <c r="T188" t="n">
        <v>15.933</v>
      </c>
      <c r="U188" t="n">
        <v>57.4</v>
      </c>
      <c r="V188" t="n">
        <v>74</v>
      </c>
      <c r="W188" t="n">
        <v>4.644</v>
      </c>
      <c r="X188" t="n">
        <v>1</v>
      </c>
      <c r="Y188" t="n">
        <v>4</v>
      </c>
      <c r="Z188" t="n">
        <v>4</v>
      </c>
      <c r="AA188" t="n">
        <v>5</v>
      </c>
      <c r="AB188" t="n">
        <v>21</v>
      </c>
      <c r="AC188" t="n">
        <v>6</v>
      </c>
      <c r="AD188" t="n">
        <v>6</v>
      </c>
      <c r="AE188" t="n">
        <v>0</v>
      </c>
      <c r="AF188" t="n">
        <v>334</v>
      </c>
      <c r="AG188" t="n">
        <v>321</v>
      </c>
      <c r="AH188" t="n">
        <v>-13</v>
      </c>
      <c r="AI188" t="n">
        <v>74</v>
      </c>
      <c r="AJ188" t="n">
        <v>0.081</v>
      </c>
      <c r="AK188" t="n">
        <v>0.08799999999999999</v>
      </c>
      <c r="AL188" t="n">
        <v>183</v>
      </c>
      <c r="AM188" t="n">
        <v>11.485</v>
      </c>
      <c r="AN188" t="n">
        <v>7</v>
      </c>
      <c r="AO188" t="n">
        <v>14</v>
      </c>
      <c r="AP188" t="n">
        <v>0.467</v>
      </c>
      <c r="AQ188" t="n">
        <v>0.6</v>
      </c>
      <c r="AR188" t="n">
        <v>0.467</v>
      </c>
      <c r="AS188" t="n">
        <v>0.395</v>
      </c>
      <c r="AT188" t="n">
        <v>0.6</v>
      </c>
      <c r="AU188" t="n">
        <v>16</v>
      </c>
      <c r="AV188" t="n">
        <v>1</v>
      </c>
      <c r="AW188" t="n">
        <v>2.82</v>
      </c>
      <c r="AX188" t="n">
        <v>11</v>
      </c>
      <c r="AY188" t="n">
        <v>0.82</v>
      </c>
      <c r="AZ188" t="n">
        <v>0.75</v>
      </c>
      <c r="BA188" t="n">
        <v>0.785</v>
      </c>
      <c r="BB188" t="n">
        <v>0.75</v>
      </c>
      <c r="BC188" t="n">
        <v>0.051</v>
      </c>
      <c r="BD188" t="n">
        <v>0.047</v>
      </c>
      <c r="BE188" t="n">
        <v>0.049</v>
      </c>
      <c r="BF188" t="n">
        <v>1.2</v>
      </c>
      <c r="BG188" t="n">
        <v>0.075</v>
      </c>
      <c r="BH188" t="n">
        <v>1.014</v>
      </c>
      <c r="BI188" t="n">
        <v>5.8</v>
      </c>
      <c r="BJ188" t="n">
        <v>0.832</v>
      </c>
      <c r="BK188" t="n">
        <v>0.052</v>
      </c>
      <c r="BL188" t="n">
        <v>0.215</v>
      </c>
      <c r="BM188" t="n">
        <v>0.38</v>
      </c>
      <c r="BN188" t="n">
        <v>-0.2</v>
      </c>
      <c r="BO188" t="n">
        <v>0.07000000000000001</v>
      </c>
      <c r="BP188" t="n">
        <v>12</v>
      </c>
      <c r="BQ188" t="n">
        <v>3</v>
      </c>
      <c r="BR188" t="n">
        <v>1</v>
      </c>
      <c r="BS188" t="n">
        <v>22</v>
      </c>
      <c r="BT188" t="n">
        <v>1.381</v>
      </c>
      <c r="BV188" t="n">
        <v>1</v>
      </c>
      <c r="BW188" t="n">
        <v>2.27</v>
      </c>
      <c r="BX188" t="n">
        <v>3.811</v>
      </c>
      <c r="BY188" t="n">
        <v>3.041</v>
      </c>
      <c r="BZ188" t="n">
        <v>0.191</v>
      </c>
      <c r="CA188" t="n">
        <v>3.825</v>
      </c>
      <c r="CB188" t="n">
        <v>0.24</v>
      </c>
      <c r="CC188" t="n">
        <v>21</v>
      </c>
      <c r="CD188" t="n">
        <v>7</v>
      </c>
      <c r="CE188" t="n">
        <v>21</v>
      </c>
      <c r="CF188" t="n">
        <v>19</v>
      </c>
      <c r="CG188" t="n">
        <v>1</v>
      </c>
      <c r="CH188" t="n">
        <v>37</v>
      </c>
      <c r="CI188" t="n">
        <v>6.326</v>
      </c>
      <c r="CJ188" t="n">
        <v>3.633</v>
      </c>
      <c r="CK188" t="n">
        <v>71</v>
      </c>
      <c r="CL188" t="n">
        <v>85</v>
      </c>
      <c r="CM188" t="n">
        <v>27</v>
      </c>
      <c r="CN188" t="n">
        <v>16</v>
      </c>
      <c r="CO188" t="n">
        <v>30</v>
      </c>
      <c r="CP188" t="n">
        <v>34</v>
      </c>
      <c r="CQ188" t="n">
        <v>8</v>
      </c>
      <c r="CR188" t="n">
        <v>66</v>
      </c>
      <c r="CS188" t="n">
        <v>23</v>
      </c>
      <c r="CT188" t="n">
        <v>0.4</v>
      </c>
      <c r="CU188" t="n">
        <v>1</v>
      </c>
      <c r="CW188" t="n">
        <v>26.62</v>
      </c>
      <c r="CX188" t="n">
        <v>1.671</v>
      </c>
      <c r="CY188" t="n">
        <v>0</v>
      </c>
      <c r="DB188" t="n">
        <v>0</v>
      </c>
      <c r="DE188" t="n">
        <v>6.95</v>
      </c>
      <c r="DF188" t="n">
        <v>8</v>
      </c>
      <c r="DG188" t="n">
        <v>0</v>
      </c>
      <c r="DH188" t="n">
        <v>20</v>
      </c>
      <c r="DI188" t="n">
        <v>13</v>
      </c>
      <c r="DL188" t="n">
        <v>5</v>
      </c>
      <c r="DM188" t="n">
        <v>6</v>
      </c>
      <c r="DO188" t="n">
        <v>0.1</v>
      </c>
      <c r="DP188" t="n">
        <v>40.93</v>
      </c>
      <c r="DQ188" t="n">
        <v>20.83</v>
      </c>
      <c r="DR188" t="n">
        <v>41.66</v>
      </c>
      <c r="DS188" t="n">
        <v>-0.73</v>
      </c>
      <c r="DT188" t="n">
        <v>780</v>
      </c>
      <c r="DU188" t="n">
        <v>20.52</v>
      </c>
      <c r="DV188" t="inlineStr">
        <is>
          <t>fade (losing his place)</t>
        </is>
      </c>
      <c r="DW188" t="n">
        <v>99</v>
      </c>
      <c r="DZ188" t="n">
        <v>99</v>
      </c>
      <c r="EA188" t="n">
        <v>99</v>
      </c>
      <c r="EB188" t="n">
        <v>1</v>
      </c>
      <c r="EC188" t="n">
        <v>0.5</v>
      </c>
      <c r="ED188" t="n">
        <v>0</v>
      </c>
      <c r="EE188" t="n">
        <v>260</v>
      </c>
      <c r="EF188" t="n">
        <v>119.5</v>
      </c>
      <c r="EG188" t="n">
        <v>65.2</v>
      </c>
      <c r="EH188" t="n">
        <v>68.3</v>
      </c>
      <c r="EI188" t="n">
        <v>1826.9</v>
      </c>
      <c r="EJ188" t="n">
        <v>471.6</v>
      </c>
      <c r="EK188" t="n">
        <v>374.9</v>
      </c>
      <c r="EL188" t="n">
        <v>19.4</v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n">
        <v>5.5</v>
      </c>
      <c r="F189" t="b">
        <v>1</v>
      </c>
      <c r="G189" t="b">
        <v>1</v>
      </c>
      <c r="H189" t="n">
        <v>30</v>
      </c>
      <c r="I189" t="inlineStr">
        <is>
          <t>a</t>
        </is>
      </c>
      <c r="K189" t="n">
        <v>100</v>
      </c>
      <c r="L189" t="inlineStr">
        <is>
          <t>p180974</t>
        </is>
      </c>
      <c r="M189" t="n">
        <v>458</v>
      </c>
      <c r="Q189" t="n">
        <v>1950</v>
      </c>
      <c r="R189" t="n">
        <v>27</v>
      </c>
      <c r="S189" t="n">
        <v>23</v>
      </c>
      <c r="T189" t="n">
        <v>21.667</v>
      </c>
      <c r="U189" t="n">
        <v>72.2</v>
      </c>
      <c r="V189" t="n">
        <v>73</v>
      </c>
      <c r="W189" t="n">
        <v>3.369</v>
      </c>
      <c r="X189" t="n">
        <v>2</v>
      </c>
      <c r="Y189" t="n">
        <v>1</v>
      </c>
      <c r="Z189" t="n">
        <v>1</v>
      </c>
      <c r="AA189" t="n">
        <v>5</v>
      </c>
      <c r="AB189" t="n">
        <v>27</v>
      </c>
      <c r="AC189" t="n">
        <v>2</v>
      </c>
      <c r="AD189" t="n">
        <v>2</v>
      </c>
      <c r="AE189" t="n">
        <v>0</v>
      </c>
      <c r="AF189" t="n">
        <v>304</v>
      </c>
      <c r="AG189" t="n">
        <v>294</v>
      </c>
      <c r="AH189" t="n">
        <v>-10</v>
      </c>
      <c r="AI189" t="n">
        <v>73</v>
      </c>
      <c r="AJ189" t="n">
        <v>0.027</v>
      </c>
      <c r="AK189" t="n">
        <v>0.028</v>
      </c>
      <c r="AL189" t="n">
        <v>238</v>
      </c>
      <c r="AM189" t="n">
        <v>10.985</v>
      </c>
      <c r="AN189" t="n">
        <v>8</v>
      </c>
      <c r="AO189" t="n">
        <v>16</v>
      </c>
      <c r="AP189" t="n">
        <v>0.348</v>
      </c>
      <c r="AQ189" t="n">
        <v>0.5649999999999999</v>
      </c>
      <c r="AR189" t="n">
        <v>0.348</v>
      </c>
      <c r="AS189" t="n">
        <v>0.605</v>
      </c>
      <c r="AT189" t="n">
        <v>0.741</v>
      </c>
      <c r="AU189" t="n">
        <v>14</v>
      </c>
      <c r="AV189" t="n">
        <v>0</v>
      </c>
      <c r="AW189" t="n">
        <v>2.12</v>
      </c>
      <c r="AX189" t="n">
        <v>8</v>
      </c>
      <c r="AY189" t="n">
        <v>2.36</v>
      </c>
      <c r="AZ189" t="n">
        <v>2.179</v>
      </c>
      <c r="BA189" t="n">
        <v>2.269</v>
      </c>
      <c r="BB189" t="n">
        <v>2.179</v>
      </c>
      <c r="BC189" t="n">
        <v>0.109</v>
      </c>
      <c r="BD189" t="n">
        <v>0.101</v>
      </c>
      <c r="BE189" t="n">
        <v>0.105</v>
      </c>
      <c r="BF189" t="n">
        <v>4.2</v>
      </c>
      <c r="BG189" t="n">
        <v>0.194</v>
      </c>
      <c r="BH189" t="n">
        <v>0.986</v>
      </c>
      <c r="BI189" t="n">
        <v>16.03</v>
      </c>
      <c r="BJ189" t="n">
        <v>2.328</v>
      </c>
      <c r="BK189" t="n">
        <v>0.107</v>
      </c>
      <c r="BL189" t="n">
        <v>-0.269</v>
      </c>
      <c r="BM189" t="n">
        <v>1.84</v>
      </c>
      <c r="BN189" t="n">
        <v>-2.2</v>
      </c>
      <c r="BO189" t="n">
        <v>0.181</v>
      </c>
      <c r="BP189" t="n">
        <v>32</v>
      </c>
      <c r="BQ189" t="n">
        <v>11</v>
      </c>
      <c r="BR189" t="n">
        <v>1</v>
      </c>
      <c r="BS189" t="n">
        <v>55</v>
      </c>
      <c r="BT189" t="n">
        <v>2.538</v>
      </c>
      <c r="BV189" t="n">
        <v>1</v>
      </c>
      <c r="BW189" t="n">
        <v>1.35</v>
      </c>
      <c r="BX189" t="n">
        <v>1.861</v>
      </c>
      <c r="BY189" t="n">
        <v>1.606</v>
      </c>
      <c r="BZ189" t="n">
        <v>0.074</v>
      </c>
      <c r="CA189" t="n">
        <v>3.875</v>
      </c>
      <c r="CB189" t="n">
        <v>0.179</v>
      </c>
      <c r="CC189" t="n">
        <v>17</v>
      </c>
      <c r="CD189" t="n">
        <v>3</v>
      </c>
      <c r="CE189" t="n">
        <v>17</v>
      </c>
      <c r="CF189" t="n">
        <v>2</v>
      </c>
      <c r="CI189" t="n">
        <v>10.019</v>
      </c>
      <c r="CJ189" t="n">
        <v>7.25</v>
      </c>
      <c r="CK189" t="n">
        <v>73</v>
      </c>
      <c r="CL189" t="n">
        <v>122</v>
      </c>
      <c r="CM189" t="n">
        <v>43</v>
      </c>
      <c r="CN189" t="n">
        <v>24</v>
      </c>
      <c r="CO189" t="n">
        <v>30</v>
      </c>
      <c r="CP189" t="n">
        <v>40</v>
      </c>
      <c r="CQ189" t="n">
        <v>3</v>
      </c>
      <c r="CR189" t="n">
        <v>149</v>
      </c>
      <c r="CS189" t="n">
        <v>63</v>
      </c>
      <c r="CT189" t="n">
        <v>0.5</v>
      </c>
      <c r="CV189" t="n">
        <v>2</v>
      </c>
      <c r="CW189" t="n">
        <v>28.75</v>
      </c>
      <c r="CX189" t="n">
        <v>1.327</v>
      </c>
      <c r="CY189" t="n">
        <v>0</v>
      </c>
      <c r="DB189" t="n">
        <v>0</v>
      </c>
      <c r="DE189" t="n">
        <v>6.95</v>
      </c>
      <c r="DF189" t="n">
        <v>10</v>
      </c>
      <c r="DG189" t="n">
        <v>0</v>
      </c>
      <c r="DH189" t="n">
        <v>47</v>
      </c>
      <c r="DI189" t="n">
        <v>27</v>
      </c>
      <c r="DL189" t="n">
        <v>16</v>
      </c>
      <c r="DM189" t="n">
        <v>26</v>
      </c>
      <c r="DN189" t="n">
        <v>1</v>
      </c>
      <c r="DO189" t="n">
        <v>0.1</v>
      </c>
      <c r="DP189" t="n">
        <v>64.08</v>
      </c>
      <c r="DQ189" t="n">
        <v>32.09</v>
      </c>
      <c r="DR189" t="n">
        <v>64.18000000000001</v>
      </c>
      <c r="DS189" t="n">
        <v>-0.1</v>
      </c>
      <c r="DT189" t="n">
        <v>1448</v>
      </c>
      <c r="DU189" t="n">
        <v>38.1</v>
      </c>
      <c r="DV189" t="inlineStr">
        <is>
          <t>flat</t>
        </is>
      </c>
      <c r="DW189" t="n">
        <v>82.78</v>
      </c>
      <c r="DY189" t="n">
        <v>10.58</v>
      </c>
      <c r="DZ189" t="n">
        <v>76.67</v>
      </c>
      <c r="EA189" t="n">
        <v>95</v>
      </c>
      <c r="EB189" t="n">
        <v>3</v>
      </c>
      <c r="EC189" t="n">
        <v>1.4</v>
      </c>
      <c r="ED189" t="n">
        <v>0</v>
      </c>
      <c r="EE189" t="n">
        <v>157</v>
      </c>
      <c r="EF189" t="n">
        <v>60.9</v>
      </c>
      <c r="EG189" t="n">
        <v>35.5</v>
      </c>
      <c r="EH189" t="n">
        <v>114.7</v>
      </c>
      <c r="EI189" t="n">
        <v>859.3</v>
      </c>
      <c r="EJ189" t="n">
        <v>1214.4</v>
      </c>
      <c r="EK189" t="n">
        <v>503.2</v>
      </c>
      <c r="EL189" t="n">
        <v>26.7</v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n">
        <v>5.5</v>
      </c>
      <c r="F190" t="b">
        <v>1</v>
      </c>
      <c r="G190" t="b">
        <v>1</v>
      </c>
      <c r="H190" t="n">
        <v>21.3</v>
      </c>
      <c r="I190" t="inlineStr">
        <is>
          <t>a</t>
        </is>
      </c>
      <c r="L190" t="inlineStr">
        <is>
          <t>p516895</t>
        </is>
      </c>
      <c r="M190" t="n">
        <v>432</v>
      </c>
      <c r="Q190" t="n">
        <v>1653</v>
      </c>
      <c r="R190" t="n">
        <v>28</v>
      </c>
      <c r="S190" t="n">
        <v>16</v>
      </c>
      <c r="T190" t="n">
        <v>18.367</v>
      </c>
      <c r="U190" t="n">
        <v>59</v>
      </c>
      <c r="V190" t="n">
        <v>73</v>
      </c>
      <c r="W190" t="n">
        <v>3.975</v>
      </c>
      <c r="X190" t="n">
        <v>1</v>
      </c>
      <c r="Y190" t="n">
        <v>2</v>
      </c>
      <c r="Z190" t="n">
        <v>2</v>
      </c>
      <c r="AA190" t="n">
        <v>6</v>
      </c>
      <c r="AB190" t="n">
        <v>22</v>
      </c>
      <c r="AC190" t="n">
        <v>2</v>
      </c>
      <c r="AD190" t="n">
        <v>2</v>
      </c>
      <c r="AE190" t="n">
        <v>0</v>
      </c>
      <c r="AF190" t="n">
        <v>340</v>
      </c>
      <c r="AG190" t="n">
        <v>328</v>
      </c>
      <c r="AH190" t="n">
        <v>-12</v>
      </c>
      <c r="AI190" t="n">
        <v>73</v>
      </c>
      <c r="AJ190" t="n">
        <v>0.027</v>
      </c>
      <c r="AK190" t="n">
        <v>0.028</v>
      </c>
      <c r="AL190" t="n">
        <v>187</v>
      </c>
      <c r="AM190" t="n">
        <v>10.181</v>
      </c>
      <c r="AN190" t="n">
        <v>6</v>
      </c>
      <c r="AO190" t="n">
        <v>12</v>
      </c>
      <c r="AP190" t="n">
        <v>0.375</v>
      </c>
      <c r="AQ190" t="n">
        <v>0.5620000000000001</v>
      </c>
      <c r="AR190" t="n">
        <v>0.375</v>
      </c>
      <c r="AS190" t="n">
        <v>0.421</v>
      </c>
      <c r="AT190" t="n">
        <v>0.571</v>
      </c>
      <c r="AU190" t="n">
        <v>17</v>
      </c>
      <c r="AV190" t="n">
        <v>0</v>
      </c>
      <c r="AW190" t="n">
        <v>2.06</v>
      </c>
      <c r="AX190" t="n">
        <v>9</v>
      </c>
      <c r="AY190" t="n">
        <v>0.48</v>
      </c>
      <c r="AZ190" t="n">
        <v>0.517</v>
      </c>
      <c r="BA190" t="n">
        <v>0.499</v>
      </c>
      <c r="BB190" t="n">
        <v>0.517</v>
      </c>
      <c r="BC190" t="n">
        <v>0.026</v>
      </c>
      <c r="BD190" t="n">
        <v>0.028</v>
      </c>
      <c r="BE190" t="n">
        <v>0.027</v>
      </c>
      <c r="BF190" t="n">
        <v>0.3</v>
      </c>
      <c r="BG190" t="n">
        <v>0.016</v>
      </c>
      <c r="BH190" t="n">
        <v>0.981</v>
      </c>
      <c r="BI190" t="n">
        <v>2.19</v>
      </c>
      <c r="BJ190" t="n">
        <v>0.471</v>
      </c>
      <c r="BK190" t="n">
        <v>0.026</v>
      </c>
      <c r="BL190" t="n">
        <v>0.501</v>
      </c>
      <c r="BM190" t="n">
        <v>-0.18</v>
      </c>
      <c r="BN190" t="n">
        <v>0.7</v>
      </c>
      <c r="BO190" t="n">
        <v>-0.037</v>
      </c>
      <c r="BP190" t="n">
        <v>13</v>
      </c>
      <c r="BQ190" t="n">
        <v>3</v>
      </c>
      <c r="BS190" t="n">
        <v>28</v>
      </c>
      <c r="BT190" t="n">
        <v>1.525</v>
      </c>
      <c r="BW190" t="n">
        <v>1.27</v>
      </c>
      <c r="BX190" t="n">
        <v>1.19</v>
      </c>
      <c r="BY190" t="n">
        <v>1.23</v>
      </c>
      <c r="BZ190" t="n">
        <v>0.067</v>
      </c>
      <c r="CA190" t="n">
        <v>1.729</v>
      </c>
      <c r="CB190" t="n">
        <v>0.094</v>
      </c>
      <c r="CC190" t="n">
        <v>22</v>
      </c>
      <c r="CD190" t="n">
        <v>1</v>
      </c>
      <c r="CE190" t="n">
        <v>22</v>
      </c>
      <c r="CF190" t="n">
        <v>4</v>
      </c>
      <c r="CG190" t="n">
        <v>1</v>
      </c>
      <c r="CH190" t="n">
        <v>1</v>
      </c>
      <c r="CI190" t="n">
        <v>10.353</v>
      </c>
      <c r="CJ190" t="n">
        <v>9.776999999999999</v>
      </c>
      <c r="CK190" t="n">
        <v>56</v>
      </c>
      <c r="CL190" t="n">
        <v>95</v>
      </c>
      <c r="CM190" t="n">
        <v>36</v>
      </c>
      <c r="CN190" t="n">
        <v>20</v>
      </c>
      <c r="CO190" t="n">
        <v>20</v>
      </c>
      <c r="CP190" t="n">
        <v>25</v>
      </c>
      <c r="CQ190" t="n">
        <v>10</v>
      </c>
      <c r="CR190" t="n">
        <v>92</v>
      </c>
      <c r="CS190" t="n">
        <v>15</v>
      </c>
      <c r="CT190" t="n">
        <v>0.4</v>
      </c>
      <c r="CV190" t="n">
        <v>1</v>
      </c>
      <c r="CW190" t="n">
        <v>22.88</v>
      </c>
      <c r="CX190" t="n">
        <v>1.246</v>
      </c>
      <c r="CY190" t="n">
        <v>0</v>
      </c>
      <c r="DB190" t="n">
        <v>0</v>
      </c>
      <c r="DE190" t="n">
        <v>7.01</v>
      </c>
      <c r="DF190" t="n">
        <v>2</v>
      </c>
      <c r="DG190" t="n">
        <v>0</v>
      </c>
      <c r="DH190" t="n">
        <v>13</v>
      </c>
      <c r="DI190" t="n">
        <v>22</v>
      </c>
      <c r="DL190" t="n">
        <v>19</v>
      </c>
      <c r="DM190" t="n">
        <v>31</v>
      </c>
      <c r="DN190" t="n">
        <v>1</v>
      </c>
      <c r="DO190" t="n">
        <v>1.2</v>
      </c>
      <c r="DP190" t="n">
        <v>40.12</v>
      </c>
      <c r="DQ190" t="n">
        <v>20.04</v>
      </c>
      <c r="DR190" t="n">
        <v>40.08</v>
      </c>
      <c r="DS190" t="n">
        <v>0.04</v>
      </c>
      <c r="DT190" t="n">
        <v>691</v>
      </c>
      <c r="DU190" t="n">
        <v>18.18</v>
      </c>
      <c r="DV190" t="inlineStr">
        <is>
          <t>flat</t>
        </is>
      </c>
      <c r="DW190" t="n">
        <v>68.06</v>
      </c>
      <c r="DX190" t="n">
        <v>79.33</v>
      </c>
      <c r="DY190" t="n">
        <v>25.86</v>
      </c>
      <c r="DZ190" t="n">
        <v>9</v>
      </c>
      <c r="EA190" t="n">
        <v>114.67</v>
      </c>
      <c r="EB190" t="n">
        <v>24</v>
      </c>
      <c r="EC190" t="n">
        <v>11.5</v>
      </c>
      <c r="ED190" t="n">
        <v>11.1</v>
      </c>
      <c r="EE190" t="n">
        <v>156</v>
      </c>
      <c r="EF190" t="n">
        <v>127.2</v>
      </c>
      <c r="EG190" t="n">
        <v>59</v>
      </c>
      <c r="EH190" t="n">
        <v>75.09999999999999</v>
      </c>
      <c r="EI190" t="n">
        <v>3314.4</v>
      </c>
      <c r="EJ190" t="n">
        <v>1343.9</v>
      </c>
      <c r="EK190" t="n">
        <v>956.2</v>
      </c>
      <c r="EL190" t="n">
        <v>22.6</v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n">
        <v>5.5</v>
      </c>
      <c r="F191" t="b">
        <v>1</v>
      </c>
      <c r="G191" t="b">
        <v>1</v>
      </c>
      <c r="H191" t="n">
        <v>27.7</v>
      </c>
      <c r="I191" t="inlineStr">
        <is>
          <t>a</t>
        </is>
      </c>
      <c r="L191" t="inlineStr">
        <is>
          <t>p174594</t>
        </is>
      </c>
      <c r="M191" t="n">
        <v>347</v>
      </c>
      <c r="N191" t="n">
        <v>2</v>
      </c>
      <c r="Q191" t="n">
        <v>1065</v>
      </c>
      <c r="R191" t="n">
        <v>31</v>
      </c>
      <c r="S191" t="n">
        <v>10</v>
      </c>
      <c r="T191" t="n">
        <v>11.833</v>
      </c>
      <c r="U191" t="n">
        <v>34.4</v>
      </c>
      <c r="V191" t="n">
        <v>73</v>
      </c>
      <c r="W191" t="n">
        <v>6.169</v>
      </c>
      <c r="X191" t="n">
        <v>6</v>
      </c>
      <c r="Y191" t="n">
        <v>1</v>
      </c>
      <c r="Z191" t="n">
        <v>1</v>
      </c>
      <c r="AA191" t="n">
        <v>3</v>
      </c>
      <c r="AB191" t="n">
        <v>23</v>
      </c>
      <c r="AC191" t="n">
        <v>8</v>
      </c>
      <c r="AD191" t="n">
        <v>8</v>
      </c>
      <c r="AE191" t="n">
        <v>0</v>
      </c>
      <c r="AF191" t="n">
        <v>268</v>
      </c>
      <c r="AG191" t="n">
        <v>266</v>
      </c>
      <c r="AH191" t="n">
        <v>-2</v>
      </c>
      <c r="AI191" t="n">
        <v>73</v>
      </c>
      <c r="AJ191" t="n">
        <v>0.11</v>
      </c>
      <c r="AK191" t="n">
        <v>0.123</v>
      </c>
      <c r="AL191" t="n">
        <v>57</v>
      </c>
      <c r="AM191" t="n">
        <v>4.817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0.263</v>
      </c>
      <c r="AT191" t="n">
        <v>0.29</v>
      </c>
      <c r="AU191" t="n">
        <v>25</v>
      </c>
      <c r="AV191" t="n">
        <v>1</v>
      </c>
      <c r="AW191" t="n">
        <v>2.54</v>
      </c>
      <c r="AX191" t="n">
        <v>11</v>
      </c>
      <c r="AY191" t="n">
        <v>7.25</v>
      </c>
      <c r="AZ191" t="n">
        <v>8.140000000000001</v>
      </c>
      <c r="BA191" t="n">
        <v>7.695</v>
      </c>
      <c r="BB191" t="n">
        <v>5.857</v>
      </c>
      <c r="BC191" t="n">
        <v>0.613</v>
      </c>
      <c r="BD191" t="n">
        <v>0.6879999999999999</v>
      </c>
      <c r="BE191" t="n">
        <v>0.65</v>
      </c>
      <c r="BF191" t="n">
        <v>8</v>
      </c>
      <c r="BG191" t="n">
        <v>0.676</v>
      </c>
      <c r="BH191" t="n">
        <v>1.049</v>
      </c>
      <c r="BI191" t="n">
        <v>7.25</v>
      </c>
      <c r="BJ191" t="n">
        <v>7.607</v>
      </c>
      <c r="BK191" t="n">
        <v>0.643</v>
      </c>
      <c r="BL191" t="n">
        <v>-1.695</v>
      </c>
      <c r="BM191" t="n">
        <v>0.75</v>
      </c>
      <c r="BN191" t="n">
        <v>-2</v>
      </c>
      <c r="BO191" t="n">
        <v>-0.89</v>
      </c>
      <c r="BP191" t="n">
        <v>30</v>
      </c>
      <c r="BQ191" t="n">
        <v>16</v>
      </c>
      <c r="BR191" t="n">
        <v>7</v>
      </c>
      <c r="BS191" t="n">
        <v>64</v>
      </c>
      <c r="BT191" t="n">
        <v>5.408</v>
      </c>
      <c r="BU191" t="n">
        <v>2</v>
      </c>
      <c r="BW191" t="n">
        <v>1.58</v>
      </c>
      <c r="BX191" t="n">
        <v>1.685</v>
      </c>
      <c r="BY191" t="n">
        <v>1.632</v>
      </c>
      <c r="BZ191" t="n">
        <v>0.138</v>
      </c>
      <c r="CA191" t="n">
        <v>9.327</v>
      </c>
      <c r="CB191" t="n">
        <v>0.788</v>
      </c>
      <c r="CC191" t="n">
        <v>11</v>
      </c>
      <c r="CD191" t="n">
        <v>2</v>
      </c>
      <c r="CE191" t="n">
        <v>11</v>
      </c>
      <c r="CI191" t="n">
        <v>6.961</v>
      </c>
      <c r="CJ191" t="n">
        <v>1.467</v>
      </c>
      <c r="CK191" t="n">
        <v>15</v>
      </c>
      <c r="CL191" t="n">
        <v>30</v>
      </c>
      <c r="CM191" t="n">
        <v>12</v>
      </c>
      <c r="CN191" t="n">
        <v>7</v>
      </c>
      <c r="CO191" t="n">
        <v>3</v>
      </c>
      <c r="CP191" t="n">
        <v>11</v>
      </c>
      <c r="CQ191" t="n">
        <v>1</v>
      </c>
      <c r="CR191" t="n">
        <v>67</v>
      </c>
      <c r="CS191" t="n">
        <v>32</v>
      </c>
      <c r="CT191" t="n">
        <v>0.6</v>
      </c>
      <c r="CW191" t="n">
        <v>21.84</v>
      </c>
      <c r="CX191" t="n">
        <v>1.846</v>
      </c>
      <c r="CY191" t="n">
        <v>0</v>
      </c>
      <c r="DB191" t="n">
        <v>0</v>
      </c>
      <c r="DE191" t="n">
        <v>6.42</v>
      </c>
      <c r="DF191" t="n">
        <v>0</v>
      </c>
      <c r="DG191" t="n">
        <v>0</v>
      </c>
      <c r="DH191" t="n">
        <v>18</v>
      </c>
      <c r="DI191" t="n">
        <v>18</v>
      </c>
      <c r="DL191" t="n">
        <v>7</v>
      </c>
      <c r="DM191" t="n">
        <v>18</v>
      </c>
      <c r="DN191" t="n">
        <v>3</v>
      </c>
      <c r="DO191" t="n">
        <v>0.6</v>
      </c>
      <c r="DP191" t="n">
        <v>40.77</v>
      </c>
      <c r="DQ191" t="n">
        <v>20.45</v>
      </c>
      <c r="DR191" t="n">
        <v>40.9</v>
      </c>
      <c r="DS191" t="n">
        <v>-0.13</v>
      </c>
      <c r="DT191" t="n">
        <v>268</v>
      </c>
      <c r="DU191" t="n">
        <v>7.06</v>
      </c>
      <c r="DV191" t="inlineStr">
        <is>
          <t>flat</t>
        </is>
      </c>
      <c r="DW191" t="n">
        <v>90.59999999999999</v>
      </c>
      <c r="DX191" t="n">
        <v>84.33</v>
      </c>
      <c r="DY191" t="n">
        <v>17.4</v>
      </c>
      <c r="DZ191" t="n">
        <v>39</v>
      </c>
      <c r="EA191" t="n">
        <v>119.33</v>
      </c>
      <c r="EB191" t="n">
        <v>40</v>
      </c>
      <c r="EC191" t="n">
        <v>19.2</v>
      </c>
      <c r="ED191" t="n">
        <v>7</v>
      </c>
      <c r="EE191" t="n">
        <v>155</v>
      </c>
      <c r="EF191" t="n">
        <v>35.5</v>
      </c>
      <c r="EG191" t="n">
        <v>16.6</v>
      </c>
      <c r="EH191" t="n">
        <v>96.8</v>
      </c>
      <c r="EI191" t="n">
        <v>138.4</v>
      </c>
      <c r="EJ191" t="n">
        <v>652.5</v>
      </c>
      <c r="EK191" t="n">
        <v>114.2</v>
      </c>
      <c r="EL191" t="n">
        <v>14.6</v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n">
        <v>6.5</v>
      </c>
      <c r="F192" t="b">
        <v>1</v>
      </c>
      <c r="G192" t="b">
        <v>1</v>
      </c>
      <c r="H192" t="n">
        <v>24.4</v>
      </c>
      <c r="I192" t="inlineStr">
        <is>
          <t>a</t>
        </is>
      </c>
      <c r="L192" t="inlineStr">
        <is>
          <t>p248857</t>
        </is>
      </c>
      <c r="M192" t="n">
        <v>16</v>
      </c>
      <c r="O192" t="n">
        <v>5</v>
      </c>
      <c r="Q192" t="n">
        <v>1205</v>
      </c>
      <c r="R192" t="n">
        <v>26</v>
      </c>
      <c r="S192" t="n">
        <v>16</v>
      </c>
      <c r="T192" t="n">
        <v>13.389</v>
      </c>
      <c r="U192" t="n">
        <v>46.3</v>
      </c>
      <c r="V192" t="n">
        <v>72</v>
      </c>
      <c r="W192" t="n">
        <v>5.378</v>
      </c>
      <c r="X192" t="n">
        <v>3</v>
      </c>
      <c r="Y192" t="n">
        <v>1</v>
      </c>
      <c r="Z192" t="n">
        <v>1</v>
      </c>
      <c r="AA192" t="n">
        <v>8</v>
      </c>
      <c r="AB192" t="n">
        <v>9</v>
      </c>
      <c r="AC192" t="n">
        <v>9</v>
      </c>
      <c r="AD192" t="n">
        <v>9</v>
      </c>
      <c r="AE192" t="n">
        <v>0</v>
      </c>
      <c r="AF192" t="n">
        <v>254</v>
      </c>
      <c r="AG192" t="n">
        <v>250</v>
      </c>
      <c r="AH192" t="n">
        <v>-4</v>
      </c>
      <c r="AI192" t="n">
        <v>72</v>
      </c>
      <c r="AJ192" t="n">
        <v>0.125</v>
      </c>
      <c r="AK192" t="n">
        <v>0.143</v>
      </c>
      <c r="AL192" t="n">
        <v>70</v>
      </c>
      <c r="AM192" t="n">
        <v>5.228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0.421</v>
      </c>
      <c r="AT192" t="n">
        <v>0.423</v>
      </c>
      <c r="AU192" t="n">
        <v>18</v>
      </c>
      <c r="AV192" t="n">
        <v>3</v>
      </c>
      <c r="AW192" t="n">
        <v>3.18</v>
      </c>
      <c r="AX192" t="n">
        <v>14</v>
      </c>
      <c r="AY192" t="n">
        <v>1.23</v>
      </c>
      <c r="AZ192" t="n">
        <v>1.996</v>
      </c>
      <c r="BA192" t="n">
        <v>1.613</v>
      </c>
      <c r="BB192" t="n">
        <v>1.996</v>
      </c>
      <c r="BC192" t="n">
        <v>0.092</v>
      </c>
      <c r="BD192" t="n">
        <v>0.149</v>
      </c>
      <c r="BE192" t="n">
        <v>0.12</v>
      </c>
      <c r="BF192" t="n">
        <v>2.1</v>
      </c>
      <c r="BG192" t="n">
        <v>0.157</v>
      </c>
      <c r="BH192" t="n">
        <v>1.069</v>
      </c>
      <c r="BI192" t="n">
        <v>14.26</v>
      </c>
      <c r="BJ192" t="n">
        <v>1.315</v>
      </c>
      <c r="BK192" t="n">
        <v>0.098</v>
      </c>
      <c r="BL192" t="n">
        <v>1.387</v>
      </c>
      <c r="BM192" t="n">
        <v>0.87</v>
      </c>
      <c r="BN192" t="n">
        <v>0.9</v>
      </c>
      <c r="BO192" t="n">
        <v>-0.766</v>
      </c>
      <c r="BP192" t="n">
        <v>26</v>
      </c>
      <c r="BQ192" t="n">
        <v>10</v>
      </c>
      <c r="BR192" t="n">
        <v>2</v>
      </c>
      <c r="BS192" t="n">
        <v>115</v>
      </c>
      <c r="BT192" t="n">
        <v>8.589</v>
      </c>
      <c r="BV192" t="n">
        <v>1</v>
      </c>
      <c r="BW192" t="n">
        <v>2.86</v>
      </c>
      <c r="BX192" t="n">
        <v>4.011</v>
      </c>
      <c r="BY192" t="n">
        <v>3.435</v>
      </c>
      <c r="BZ192" t="n">
        <v>0.257</v>
      </c>
      <c r="CA192" t="n">
        <v>5.049</v>
      </c>
      <c r="CB192" t="n">
        <v>0.377</v>
      </c>
      <c r="CC192" t="n">
        <v>22</v>
      </c>
      <c r="CD192" t="n">
        <v>7</v>
      </c>
      <c r="CE192" t="n">
        <v>22</v>
      </c>
      <c r="CF192" t="n">
        <v>16</v>
      </c>
      <c r="CG192" t="n">
        <v>1</v>
      </c>
      <c r="CH192" t="n">
        <v>38</v>
      </c>
      <c r="CI192" t="n">
        <v>6.728</v>
      </c>
      <c r="CJ192" t="n">
        <v>3.294</v>
      </c>
      <c r="CK192" t="n">
        <v>14</v>
      </c>
      <c r="CL192" t="n">
        <v>35</v>
      </c>
      <c r="CM192" t="n">
        <v>21</v>
      </c>
      <c r="CN192" t="n">
        <v>10</v>
      </c>
      <c r="CO192" t="n">
        <v>5</v>
      </c>
      <c r="CP192" t="n">
        <v>8</v>
      </c>
      <c r="CQ192" t="n">
        <v>1</v>
      </c>
      <c r="CR192" t="n">
        <v>75</v>
      </c>
      <c r="CS192" t="n">
        <v>10</v>
      </c>
      <c r="CT192" t="n">
        <v>0.7</v>
      </c>
      <c r="CW192" t="n">
        <v>12.77</v>
      </c>
      <c r="CX192" t="n">
        <v>0.954</v>
      </c>
      <c r="CY192" t="n">
        <v>0</v>
      </c>
      <c r="DB192" t="n">
        <v>0</v>
      </c>
      <c r="DE192" t="n">
        <v>6.72</v>
      </c>
      <c r="DF192" t="n">
        <v>0</v>
      </c>
      <c r="DG192" t="n">
        <v>0</v>
      </c>
      <c r="DH192" t="n">
        <v>15</v>
      </c>
      <c r="DI192" t="n">
        <v>15</v>
      </c>
      <c r="DL192" t="n">
        <v>29</v>
      </c>
      <c r="DM192" t="n">
        <v>17</v>
      </c>
      <c r="DN192" t="n">
        <v>4</v>
      </c>
      <c r="DO192" t="n">
        <v>0.3</v>
      </c>
      <c r="DP192" t="n">
        <v>39.07</v>
      </c>
      <c r="DQ192" t="n">
        <v>20.21</v>
      </c>
      <c r="DR192" t="n">
        <v>40.42</v>
      </c>
      <c r="DS192" t="n">
        <v>-1.35</v>
      </c>
      <c r="DT192" t="n">
        <v>600</v>
      </c>
      <c r="DU192" t="n">
        <v>15.78</v>
      </c>
      <c r="DV192" t="inlineStr">
        <is>
          <t>fade (losing his place)</t>
        </is>
      </c>
      <c r="DW192" t="n">
        <v>72.31999999999999</v>
      </c>
      <c r="DX192" t="n">
        <v>75.90000000000001</v>
      </c>
      <c r="DY192" t="n">
        <v>24.55</v>
      </c>
      <c r="DZ192" t="n">
        <v>20.5</v>
      </c>
      <c r="EA192" t="n">
        <v>120</v>
      </c>
      <c r="EB192" t="n">
        <v>39</v>
      </c>
      <c r="EC192" t="n">
        <v>18.8</v>
      </c>
      <c r="ED192" t="n">
        <v>40.9</v>
      </c>
      <c r="EE192" t="n">
        <v>45</v>
      </c>
      <c r="EF192" t="n">
        <v>46.3</v>
      </c>
      <c r="EG192" t="n">
        <v>10.5</v>
      </c>
      <c r="EH192" t="n">
        <v>54.8</v>
      </c>
      <c r="EI192" t="n">
        <v>747</v>
      </c>
      <c r="EJ192" t="n">
        <v>350.8</v>
      </c>
      <c r="EK192" t="n">
        <v>238.7</v>
      </c>
      <c r="EL192" t="n">
        <v>16.7</v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n">
        <v>5</v>
      </c>
      <c r="F193" t="b">
        <v>1</v>
      </c>
      <c r="G193" t="b">
        <v>1</v>
      </c>
      <c r="H193" t="n">
        <v>20.1</v>
      </c>
      <c r="I193" t="inlineStr">
        <is>
          <t>a</t>
        </is>
      </c>
      <c r="L193" t="inlineStr">
        <is>
          <t>p651426</t>
        </is>
      </c>
      <c r="M193" t="n">
        <v>203</v>
      </c>
      <c r="Q193" t="n">
        <v>1331</v>
      </c>
      <c r="R193" t="n">
        <v>20</v>
      </c>
      <c r="S193" t="n">
        <v>14</v>
      </c>
      <c r="T193" t="n">
        <v>14.789</v>
      </c>
      <c r="U193" t="n">
        <v>66.59999999999999</v>
      </c>
      <c r="V193" t="n">
        <v>72</v>
      </c>
      <c r="W193" t="n">
        <v>4.869</v>
      </c>
      <c r="X193" t="n">
        <v>0</v>
      </c>
      <c r="Y193" t="n">
        <v>0</v>
      </c>
      <c r="AA193" t="n">
        <v>5</v>
      </c>
      <c r="AB193" t="n">
        <v>23</v>
      </c>
      <c r="AC193" t="n">
        <v>9</v>
      </c>
      <c r="AD193" t="n">
        <v>7</v>
      </c>
      <c r="AE193" t="n">
        <v>-2</v>
      </c>
      <c r="AF193" t="n">
        <v>216</v>
      </c>
      <c r="AG193" t="n">
        <v>193</v>
      </c>
      <c r="AH193" t="n">
        <v>-23</v>
      </c>
      <c r="AI193" t="n">
        <v>70</v>
      </c>
      <c r="AJ193" t="n">
        <v>0.125</v>
      </c>
      <c r="AK193" t="n">
        <v>0.143</v>
      </c>
      <c r="AL193" t="n">
        <v>169</v>
      </c>
      <c r="AM193" t="n">
        <v>11.427</v>
      </c>
      <c r="AN193" t="n">
        <v>10</v>
      </c>
      <c r="AO193" t="n">
        <v>20</v>
      </c>
      <c r="AP193" t="n">
        <v>0.714</v>
      </c>
      <c r="AQ193" t="n">
        <v>0.714</v>
      </c>
      <c r="AR193" t="n">
        <v>0.5</v>
      </c>
      <c r="AS193" t="n">
        <v>0.368</v>
      </c>
      <c r="AT193" t="n">
        <v>0.7</v>
      </c>
      <c r="AU193" t="n">
        <v>10</v>
      </c>
      <c r="AV193" t="n">
        <v>4</v>
      </c>
      <c r="AW193" t="n">
        <v>3.27</v>
      </c>
      <c r="AX193" t="n">
        <v>11</v>
      </c>
      <c r="AY193" t="n">
        <v>1.48</v>
      </c>
      <c r="AZ193" t="n">
        <v>1.566</v>
      </c>
      <c r="BA193" t="n">
        <v>1.523</v>
      </c>
      <c r="BB193" t="n">
        <v>1.566</v>
      </c>
      <c r="BC193" t="n">
        <v>0.1</v>
      </c>
      <c r="BD193" t="n">
        <v>0.106</v>
      </c>
      <c r="BE193" t="n">
        <v>0.103</v>
      </c>
      <c r="BF193" t="n">
        <v>0.3</v>
      </c>
      <c r="BG193" t="n">
        <v>0.02</v>
      </c>
      <c r="BH193" t="n">
        <v>0.876</v>
      </c>
      <c r="BI193" t="n">
        <v>1.48</v>
      </c>
      <c r="BJ193" t="n">
        <v>1.296</v>
      </c>
      <c r="BK193" t="n">
        <v>0.08799999999999999</v>
      </c>
      <c r="BL193" t="n">
        <v>-1.523</v>
      </c>
      <c r="BM193" t="n">
        <v>-1.18</v>
      </c>
      <c r="BN193" t="n">
        <v>-0.3</v>
      </c>
      <c r="BO193" t="n">
        <v>-0.08599999999999999</v>
      </c>
      <c r="BP193" t="n">
        <v>7</v>
      </c>
      <c r="BQ193" t="n">
        <v>1</v>
      </c>
      <c r="BR193" t="n">
        <v>3</v>
      </c>
      <c r="BS193" t="n">
        <v>11</v>
      </c>
      <c r="BT193" t="n">
        <v>0.744</v>
      </c>
      <c r="BW193" t="n">
        <v>0.33</v>
      </c>
      <c r="BX193" t="n">
        <v>0.082</v>
      </c>
      <c r="BY193" t="n">
        <v>0.206</v>
      </c>
      <c r="BZ193" t="n">
        <v>0.014</v>
      </c>
      <c r="CA193" t="n">
        <v>1.729</v>
      </c>
      <c r="CB193" t="n">
        <v>0.117</v>
      </c>
      <c r="CC193" t="n">
        <v>3</v>
      </c>
      <c r="CE193" t="n">
        <v>3</v>
      </c>
      <c r="CG193" t="n">
        <v>1</v>
      </c>
      <c r="CI193" t="n">
        <v>3.846</v>
      </c>
      <c r="CJ193" t="n">
        <v>3.819</v>
      </c>
      <c r="CK193" t="n">
        <v>129</v>
      </c>
      <c r="CL193" t="n">
        <v>54</v>
      </c>
      <c r="CM193" t="n">
        <v>40</v>
      </c>
      <c r="CN193" t="n">
        <v>24</v>
      </c>
      <c r="CO193" t="n">
        <v>12</v>
      </c>
      <c r="CP193" t="n">
        <v>103</v>
      </c>
      <c r="CQ193" t="n">
        <v>13</v>
      </c>
      <c r="CR193" t="n">
        <v>85</v>
      </c>
      <c r="CS193" t="n">
        <v>37</v>
      </c>
      <c r="CT193" t="n">
        <v>0.2</v>
      </c>
      <c r="CU193" t="n">
        <v>1</v>
      </c>
      <c r="CV193" t="n">
        <v>2</v>
      </c>
      <c r="CW193" t="n">
        <v>23.84</v>
      </c>
      <c r="CX193" t="n">
        <v>1.612</v>
      </c>
      <c r="CY193" t="n">
        <v>0</v>
      </c>
      <c r="DB193" t="n">
        <v>0</v>
      </c>
      <c r="DF193" t="n">
        <v>3</v>
      </c>
      <c r="DG193" t="n">
        <v>0</v>
      </c>
      <c r="DH193" t="n">
        <v>12</v>
      </c>
      <c r="DI193" t="n">
        <v>7</v>
      </c>
      <c r="DK193" t="n">
        <v>1</v>
      </c>
      <c r="DL193" t="n">
        <v>2</v>
      </c>
      <c r="DM193" t="n">
        <v>5</v>
      </c>
      <c r="DO193" t="n">
        <v>0.6</v>
      </c>
      <c r="DP193" t="n">
        <v>143.24</v>
      </c>
      <c r="DQ193" t="n">
        <v>71.62</v>
      </c>
      <c r="DR193" t="n">
        <v>143.24</v>
      </c>
      <c r="DS193" t="n">
        <v>0</v>
      </c>
      <c r="DT193" t="n">
        <v>3249</v>
      </c>
      <c r="DU193" t="n">
        <v>85.5</v>
      </c>
      <c r="DV193" t="inlineStr">
        <is>
          <t>flat</t>
        </is>
      </c>
      <c r="DW193" t="n">
        <v>98.06999999999999</v>
      </c>
      <c r="DX193" t="n">
        <v>109.5</v>
      </c>
      <c r="DY193" t="n">
        <v>16.4</v>
      </c>
      <c r="DZ193" t="n">
        <v>61.5</v>
      </c>
      <c r="EA193" t="n">
        <v>119.5</v>
      </c>
      <c r="EB193" t="n">
        <v>43</v>
      </c>
      <c r="EC193" t="n">
        <v>20.7</v>
      </c>
      <c r="ED193" t="n">
        <v>8.5</v>
      </c>
      <c r="EE193" t="n">
        <v>261</v>
      </c>
      <c r="EF193" t="n">
        <v>190.1</v>
      </c>
      <c r="EG193" t="n">
        <v>121</v>
      </c>
      <c r="EH193" t="n">
        <v>443.7</v>
      </c>
      <c r="EI193" t="n">
        <v>874</v>
      </c>
      <c r="EJ193" t="n">
        <v>6455.5</v>
      </c>
      <c r="EK193" t="n">
        <v>769.8</v>
      </c>
      <c r="EL193" t="n">
        <v>18.5</v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n">
        <v>5.5</v>
      </c>
      <c r="F194" t="b">
        <v>1</v>
      </c>
      <c r="G194" t="b">
        <v>1</v>
      </c>
      <c r="H194" t="n">
        <v>20.3</v>
      </c>
      <c r="I194" t="inlineStr">
        <is>
          <t>i</t>
        </is>
      </c>
      <c r="J194" t="inlineStr">
        <is>
          <t>Leg injury - Expected back 30 Aug</t>
        </is>
      </c>
      <c r="K194" t="n">
        <v>0</v>
      </c>
      <c r="L194" t="inlineStr">
        <is>
          <t>p547719</t>
        </is>
      </c>
      <c r="M194" t="n">
        <v>459</v>
      </c>
      <c r="O194" t="n">
        <v>4</v>
      </c>
      <c r="Q194" t="n">
        <v>1493</v>
      </c>
      <c r="R194" t="n">
        <v>23</v>
      </c>
      <c r="S194" t="n">
        <v>15</v>
      </c>
      <c r="T194" t="n">
        <v>16.589</v>
      </c>
      <c r="U194" t="n">
        <v>64.90000000000001</v>
      </c>
      <c r="V194" t="n">
        <v>72</v>
      </c>
      <c r="W194" t="n">
        <v>4.34</v>
      </c>
      <c r="X194" t="n">
        <v>1</v>
      </c>
      <c r="Y194" t="n">
        <v>4</v>
      </c>
      <c r="Z194" t="n">
        <v>4</v>
      </c>
      <c r="AA194" t="n">
        <v>2</v>
      </c>
      <c r="AB194" t="n">
        <v>22</v>
      </c>
      <c r="AC194" t="n">
        <v>5</v>
      </c>
      <c r="AD194" t="n">
        <v>5</v>
      </c>
      <c r="AE194" t="n">
        <v>0</v>
      </c>
      <c r="AF194" t="n">
        <v>334</v>
      </c>
      <c r="AG194" t="n">
        <v>321</v>
      </c>
      <c r="AH194" t="n">
        <v>-13</v>
      </c>
      <c r="AI194" t="n">
        <v>72</v>
      </c>
      <c r="AJ194" t="n">
        <v>0.06900000000000001</v>
      </c>
      <c r="AK194" t="n">
        <v>0.075</v>
      </c>
      <c r="AL194" t="n">
        <v>155</v>
      </c>
      <c r="AM194" t="n">
        <v>9.343999999999999</v>
      </c>
      <c r="AN194" t="n">
        <v>5</v>
      </c>
      <c r="AO194" t="n">
        <v>10</v>
      </c>
      <c r="AP194" t="n">
        <v>0.333</v>
      </c>
      <c r="AQ194" t="n">
        <v>0.4</v>
      </c>
      <c r="AR194" t="n">
        <v>0.333</v>
      </c>
      <c r="AS194" t="n">
        <v>0.395</v>
      </c>
      <c r="AT194" t="n">
        <v>0.652</v>
      </c>
      <c r="AU194" t="n">
        <v>14</v>
      </c>
      <c r="AV194" t="n">
        <v>1</v>
      </c>
      <c r="AW194" t="n">
        <v>2.84</v>
      </c>
      <c r="AX194" t="n">
        <v>15</v>
      </c>
      <c r="AY194" t="n">
        <v>1.36</v>
      </c>
      <c r="AZ194" t="n">
        <v>1.376</v>
      </c>
      <c r="BA194" t="n">
        <v>1.368</v>
      </c>
      <c r="BB194" t="n">
        <v>1.376</v>
      </c>
      <c r="BC194" t="n">
        <v>0.082</v>
      </c>
      <c r="BD194" t="n">
        <v>0.083</v>
      </c>
      <c r="BE194" t="n">
        <v>0.082</v>
      </c>
      <c r="BF194" t="n">
        <v>1.2</v>
      </c>
      <c r="BG194" t="n">
        <v>0.07199999999999999</v>
      </c>
      <c r="BH194" t="n">
        <v>0.962</v>
      </c>
      <c r="BI194" t="n">
        <v>3.23</v>
      </c>
      <c r="BJ194" t="n">
        <v>1.308</v>
      </c>
      <c r="BK194" t="n">
        <v>0.079</v>
      </c>
      <c r="BL194" t="n">
        <v>-0.368</v>
      </c>
      <c r="BM194" t="n">
        <v>-0.16</v>
      </c>
      <c r="BN194" t="n">
        <v>-0.2</v>
      </c>
      <c r="BO194" t="n">
        <v>-0.016</v>
      </c>
      <c r="BP194" t="n">
        <v>12</v>
      </c>
      <c r="BQ194" t="n">
        <v>4</v>
      </c>
      <c r="BR194" t="n">
        <v>2</v>
      </c>
      <c r="BS194" t="n">
        <v>25</v>
      </c>
      <c r="BT194" t="n">
        <v>1.507</v>
      </c>
      <c r="BW194" t="n">
        <v>2.1</v>
      </c>
      <c r="BX194" t="n">
        <v>2.321</v>
      </c>
      <c r="BY194" t="n">
        <v>2.211</v>
      </c>
      <c r="BZ194" t="n">
        <v>0.133</v>
      </c>
      <c r="CA194" t="n">
        <v>3.579</v>
      </c>
      <c r="CB194" t="n">
        <v>0.216</v>
      </c>
      <c r="CC194" t="n">
        <v>15</v>
      </c>
      <c r="CD194" t="n">
        <v>3</v>
      </c>
      <c r="CE194" t="n">
        <v>15</v>
      </c>
      <c r="CF194" t="n">
        <v>6</v>
      </c>
      <c r="CH194" t="n">
        <v>19</v>
      </c>
      <c r="CI194" t="n">
        <v>7.046</v>
      </c>
      <c r="CJ194" t="n">
        <v>5.918</v>
      </c>
      <c r="CK194" t="n">
        <v>57</v>
      </c>
      <c r="CL194" t="n">
        <v>69</v>
      </c>
      <c r="CM194" t="n">
        <v>29</v>
      </c>
      <c r="CN194" t="n">
        <v>18</v>
      </c>
      <c r="CO194" t="n">
        <v>20</v>
      </c>
      <c r="CP194" t="n">
        <v>34</v>
      </c>
      <c r="CQ194" t="n">
        <v>3</v>
      </c>
      <c r="CR194" t="n">
        <v>89</v>
      </c>
      <c r="CS194" t="n">
        <v>45</v>
      </c>
      <c r="CT194" t="n">
        <v>0.1</v>
      </c>
      <c r="CV194" t="n">
        <v>2</v>
      </c>
      <c r="CW194" t="n">
        <v>21.22</v>
      </c>
      <c r="CX194" t="n">
        <v>1.279</v>
      </c>
      <c r="CY194" t="n">
        <v>0</v>
      </c>
      <c r="DB194" t="n">
        <v>0</v>
      </c>
      <c r="DE194" t="n">
        <v>7.14</v>
      </c>
      <c r="DF194" t="n">
        <v>0</v>
      </c>
      <c r="DG194" t="n">
        <v>0</v>
      </c>
      <c r="DH194" t="n">
        <v>5</v>
      </c>
      <c r="DI194" t="n">
        <v>4</v>
      </c>
      <c r="DL194" t="n">
        <v>12</v>
      </c>
      <c r="DM194" t="n">
        <v>9</v>
      </c>
      <c r="DN194" t="n">
        <v>2</v>
      </c>
      <c r="DO194" t="n">
        <v>0</v>
      </c>
      <c r="DP194" t="n">
        <v>69.98999999999999</v>
      </c>
      <c r="DQ194" t="n">
        <v>35.08</v>
      </c>
      <c r="DR194" t="n">
        <v>70.16</v>
      </c>
      <c r="DS194" t="n">
        <v>-0.17</v>
      </c>
      <c r="DT194" t="n">
        <v>1790</v>
      </c>
      <c r="DU194" t="n">
        <v>47.1</v>
      </c>
      <c r="DV194" t="inlineStr">
        <is>
          <t>flat</t>
        </is>
      </c>
      <c r="EF194" t="n">
        <v>124.4</v>
      </c>
      <c r="EG194" t="n">
        <v>59.7</v>
      </c>
      <c r="EH194" t="n">
        <v>99.5</v>
      </c>
      <c r="EI194" t="n">
        <v>1091.4</v>
      </c>
      <c r="EJ194" t="n">
        <v>675.4</v>
      </c>
      <c r="EK194" t="n">
        <v>417.2</v>
      </c>
      <c r="EL194" t="n">
        <v>20.7</v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n">
        <v>4.5</v>
      </c>
      <c r="F195" t="b">
        <v>1</v>
      </c>
      <c r="G195" t="b">
        <v>1</v>
      </c>
      <c r="H195" t="n">
        <v>35.9</v>
      </c>
      <c r="I195" t="inlineStr">
        <is>
          <t>d</t>
        </is>
      </c>
      <c r="J195" t="inlineStr">
        <is>
          <t>Unspecified injury - 75% chance of playing</t>
        </is>
      </c>
      <c r="K195" t="n">
        <v>75</v>
      </c>
      <c r="L195" t="inlineStr">
        <is>
          <t>p59735</t>
        </is>
      </c>
      <c r="M195" t="n">
        <v>325</v>
      </c>
      <c r="Q195" t="n">
        <v>1980</v>
      </c>
      <c r="R195" t="n">
        <v>22</v>
      </c>
      <c r="S195" t="n">
        <v>22</v>
      </c>
      <c r="T195" t="n">
        <v>22</v>
      </c>
      <c r="U195" t="n">
        <v>90</v>
      </c>
      <c r="V195" t="n">
        <v>71</v>
      </c>
      <c r="W195" t="n">
        <v>3.227</v>
      </c>
      <c r="X195" t="n">
        <v>0</v>
      </c>
      <c r="Y195" t="n">
        <v>0</v>
      </c>
      <c r="AA195" t="n">
        <v>5</v>
      </c>
      <c r="AB195" t="n">
        <v>27</v>
      </c>
      <c r="AC195" t="n">
        <v>3</v>
      </c>
      <c r="AD195" t="n">
        <v>5</v>
      </c>
      <c r="AE195" t="n">
        <v>2</v>
      </c>
      <c r="AF195" t="n">
        <v>334</v>
      </c>
      <c r="AG195" t="n">
        <v>329</v>
      </c>
      <c r="AH195" t="n">
        <v>-5</v>
      </c>
      <c r="AI195" t="n">
        <v>73</v>
      </c>
      <c r="AJ195" t="n">
        <v>0.042</v>
      </c>
      <c r="AK195" t="n">
        <v>0.044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0.579</v>
      </c>
      <c r="AT195" t="n">
        <v>1</v>
      </c>
      <c r="AU195" t="n">
        <v>12</v>
      </c>
      <c r="AV195" t="n">
        <v>1</v>
      </c>
      <c r="AW195" t="n">
        <v>2.44</v>
      </c>
      <c r="AX195" t="n">
        <v>11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H195" t="n">
        <v>1</v>
      </c>
      <c r="BI195" t="n">
        <v>0</v>
      </c>
      <c r="BJ195" t="n">
        <v>0</v>
      </c>
      <c r="BK195" t="n">
        <v>0</v>
      </c>
      <c r="BL195" t="n">
        <v>0</v>
      </c>
      <c r="BO195" t="n">
        <v>0</v>
      </c>
      <c r="BW195" t="n">
        <v>0.05</v>
      </c>
      <c r="BX195" t="n">
        <v>0</v>
      </c>
      <c r="BY195" t="n">
        <v>0.025</v>
      </c>
      <c r="BZ195" t="n">
        <v>0.001</v>
      </c>
      <c r="CA195" t="n">
        <v>0.025</v>
      </c>
      <c r="CB195" t="n">
        <v>0.001</v>
      </c>
      <c r="CC195" t="n">
        <v>0</v>
      </c>
      <c r="CI195" t="n">
        <v>1.812</v>
      </c>
      <c r="CJ195" t="n">
        <v>1.812</v>
      </c>
      <c r="CK195" t="n">
        <v>30</v>
      </c>
      <c r="CL195" t="n">
        <v>202</v>
      </c>
      <c r="CM195" t="n">
        <v>1</v>
      </c>
      <c r="CP195" t="n">
        <v>29</v>
      </c>
      <c r="CQ195" t="n">
        <v>0</v>
      </c>
      <c r="CR195" t="n">
        <v>13</v>
      </c>
      <c r="CS195" t="n">
        <v>6</v>
      </c>
      <c r="CV195" t="n">
        <v>1</v>
      </c>
      <c r="CW195" t="n">
        <v>28.36</v>
      </c>
      <c r="CX195" t="n">
        <v>1.289</v>
      </c>
      <c r="CY195" t="n">
        <v>63</v>
      </c>
      <c r="CZ195" t="n">
        <v>70</v>
      </c>
      <c r="DA195" t="n">
        <v>-1.5</v>
      </c>
      <c r="DB195" t="n">
        <v>0</v>
      </c>
      <c r="DC195" t="n">
        <v>17</v>
      </c>
      <c r="DD195" t="n">
        <v>16</v>
      </c>
      <c r="DE195" t="n">
        <v>7.01</v>
      </c>
      <c r="DF195" t="n">
        <v>1</v>
      </c>
      <c r="DG195" t="n">
        <v>0</v>
      </c>
      <c r="DI195" t="n">
        <v>7</v>
      </c>
      <c r="DL195" t="n">
        <v>1</v>
      </c>
      <c r="DO195" t="n">
        <v>0</v>
      </c>
      <c r="DP195" t="n">
        <v>1.6</v>
      </c>
      <c r="DQ195" t="n">
        <v>0.8</v>
      </c>
      <c r="DR195" t="n">
        <v>1.6</v>
      </c>
      <c r="DS195" t="n">
        <v>0</v>
      </c>
      <c r="DT195" t="n">
        <v>35</v>
      </c>
      <c r="DU195" t="n">
        <v>0.91</v>
      </c>
      <c r="DV195" t="inlineStr">
        <is>
          <t>flat</t>
        </is>
      </c>
      <c r="DW195" t="n">
        <v>115.85</v>
      </c>
      <c r="DY195" t="n">
        <v>2.95</v>
      </c>
      <c r="DZ195" t="n">
        <v>112.57</v>
      </c>
      <c r="EA195" t="n">
        <v>120</v>
      </c>
      <c r="EB195" t="n">
        <v>8</v>
      </c>
      <c r="EC195" t="n">
        <v>3.8</v>
      </c>
      <c r="ED195" t="n">
        <v>27.3</v>
      </c>
      <c r="EE195" t="n">
        <v>414</v>
      </c>
      <c r="EJ195" t="n">
        <v>79200</v>
      </c>
      <c r="EK195" t="n">
        <v>79200</v>
      </c>
      <c r="EL195" t="n">
        <v>27.9</v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n">
        <v>5</v>
      </c>
      <c r="F196" t="b">
        <v>1</v>
      </c>
      <c r="G196" t="b">
        <v>1</v>
      </c>
      <c r="H196" t="n">
        <v>23.9</v>
      </c>
      <c r="I196" t="inlineStr">
        <is>
          <t>a</t>
        </is>
      </c>
      <c r="L196" t="inlineStr">
        <is>
          <t>p482442</t>
        </is>
      </c>
      <c r="M196" t="n">
        <v>518</v>
      </c>
      <c r="Q196" t="n">
        <v>1388</v>
      </c>
      <c r="R196" t="n">
        <v>26</v>
      </c>
      <c r="S196" t="n">
        <v>13</v>
      </c>
      <c r="T196" t="n">
        <v>15.422</v>
      </c>
      <c r="U196" t="n">
        <v>53.4</v>
      </c>
      <c r="V196" t="n">
        <v>71</v>
      </c>
      <c r="W196" t="n">
        <v>4.604</v>
      </c>
      <c r="X196" t="n">
        <v>2</v>
      </c>
      <c r="Y196" t="n">
        <v>4</v>
      </c>
      <c r="Z196" t="n">
        <v>4</v>
      </c>
      <c r="AA196" t="n">
        <v>3</v>
      </c>
      <c r="AB196" t="n">
        <v>23</v>
      </c>
      <c r="AC196" t="n">
        <v>2</v>
      </c>
      <c r="AD196" t="n">
        <v>2</v>
      </c>
      <c r="AE196" t="n">
        <v>0</v>
      </c>
      <c r="AF196" t="n">
        <v>313</v>
      </c>
      <c r="AG196" t="n">
        <v>300</v>
      </c>
      <c r="AH196" t="n">
        <v>-13</v>
      </c>
      <c r="AI196" t="n">
        <v>71</v>
      </c>
      <c r="AJ196" t="n">
        <v>0.028</v>
      </c>
      <c r="AK196" t="n">
        <v>0.029</v>
      </c>
      <c r="AL196" t="n">
        <v>183</v>
      </c>
      <c r="AM196" t="n">
        <v>11.866</v>
      </c>
      <c r="AN196" t="n">
        <v>4</v>
      </c>
      <c r="AO196" t="n">
        <v>8</v>
      </c>
      <c r="AP196" t="n">
        <v>0.308</v>
      </c>
      <c r="AQ196" t="n">
        <v>0.615</v>
      </c>
      <c r="AR196" t="n">
        <v>0.308</v>
      </c>
      <c r="AS196" t="n">
        <v>0.342</v>
      </c>
      <c r="AT196" t="n">
        <v>0.5</v>
      </c>
      <c r="AU196" t="n">
        <v>16</v>
      </c>
      <c r="AV196" t="n">
        <v>0</v>
      </c>
      <c r="AW196" t="n">
        <v>2.24</v>
      </c>
      <c r="AX196" t="n">
        <v>8</v>
      </c>
      <c r="AY196" t="n">
        <v>1.63</v>
      </c>
      <c r="AZ196" t="n">
        <v>2.047</v>
      </c>
      <c r="BA196" t="n">
        <v>1.839</v>
      </c>
      <c r="BB196" t="n">
        <v>2.047</v>
      </c>
      <c r="BC196" t="n">
        <v>0.106</v>
      </c>
      <c r="BD196" t="n">
        <v>0.133</v>
      </c>
      <c r="BE196" t="n">
        <v>0.119</v>
      </c>
      <c r="BF196" t="n">
        <v>2</v>
      </c>
      <c r="BG196" t="n">
        <v>0.13</v>
      </c>
      <c r="BH196" t="n">
        <v>0.959</v>
      </c>
      <c r="BI196" t="n">
        <v>8.58</v>
      </c>
      <c r="BJ196" t="n">
        <v>1.563</v>
      </c>
      <c r="BK196" t="n">
        <v>0.101</v>
      </c>
      <c r="BL196" t="n">
        <v>0.161</v>
      </c>
      <c r="BM196" t="n">
        <v>0.37</v>
      </c>
      <c r="BN196" t="n">
        <v>0</v>
      </c>
      <c r="BO196" t="n">
        <v>-0.417</v>
      </c>
      <c r="BP196" t="n">
        <v>17</v>
      </c>
      <c r="BQ196" t="n">
        <v>6</v>
      </c>
      <c r="BR196" t="n">
        <v>1</v>
      </c>
      <c r="BS196" t="n">
        <v>27</v>
      </c>
      <c r="BT196" t="n">
        <v>1.751</v>
      </c>
      <c r="BV196" t="n">
        <v>2</v>
      </c>
      <c r="BW196" t="n">
        <v>1.11</v>
      </c>
      <c r="BX196" t="n">
        <v>2.434</v>
      </c>
      <c r="BY196" t="n">
        <v>1.772</v>
      </c>
      <c r="BZ196" t="n">
        <v>0.115</v>
      </c>
      <c r="CA196" t="n">
        <v>3.61</v>
      </c>
      <c r="CB196" t="n">
        <v>0.234</v>
      </c>
      <c r="CC196" t="n">
        <v>11</v>
      </c>
      <c r="CD196" t="n">
        <v>3</v>
      </c>
      <c r="CE196" t="n">
        <v>11</v>
      </c>
      <c r="CF196" t="n">
        <v>2</v>
      </c>
      <c r="CG196" t="n">
        <v>2</v>
      </c>
      <c r="CI196" t="n">
        <v>7.017</v>
      </c>
      <c r="CJ196" t="n">
        <v>4.959</v>
      </c>
      <c r="CK196" t="n">
        <v>74</v>
      </c>
      <c r="CL196" t="n">
        <v>77</v>
      </c>
      <c r="CM196" t="n">
        <v>32</v>
      </c>
      <c r="CN196" t="n">
        <v>21</v>
      </c>
      <c r="CO196" t="n">
        <v>18</v>
      </c>
      <c r="CP196" t="n">
        <v>47</v>
      </c>
      <c r="CQ196" t="n">
        <v>10</v>
      </c>
      <c r="CR196" t="n">
        <v>86</v>
      </c>
      <c r="CS196" t="n">
        <v>27</v>
      </c>
      <c r="CT196" t="n">
        <v>0.3</v>
      </c>
      <c r="CV196" t="n">
        <v>2</v>
      </c>
      <c r="CW196" t="n">
        <v>26.67</v>
      </c>
      <c r="CX196" t="n">
        <v>1.729</v>
      </c>
      <c r="CY196" t="n">
        <v>0</v>
      </c>
      <c r="DB196" t="n">
        <v>0</v>
      </c>
      <c r="DE196" t="n">
        <v>6.79</v>
      </c>
      <c r="DF196" t="n">
        <v>3</v>
      </c>
      <c r="DG196" t="n">
        <v>0</v>
      </c>
      <c r="DH196" t="n">
        <v>29</v>
      </c>
      <c r="DI196" t="n">
        <v>13</v>
      </c>
      <c r="DL196" t="n">
        <v>13</v>
      </c>
      <c r="DM196" t="n">
        <v>18</v>
      </c>
      <c r="DN196" t="n">
        <v>3</v>
      </c>
      <c r="DO196" t="n">
        <v>0.4</v>
      </c>
      <c r="DP196" t="n">
        <v>31.83</v>
      </c>
      <c r="DQ196" t="n">
        <v>17.57</v>
      </c>
      <c r="DR196" t="n">
        <v>35.14</v>
      </c>
      <c r="DS196" t="n">
        <v>-3.31</v>
      </c>
      <c r="DT196" t="n">
        <v>174</v>
      </c>
      <c r="DU196" t="n">
        <v>4.57</v>
      </c>
      <c r="DV196" t="inlineStr">
        <is>
          <t>flat</t>
        </is>
      </c>
      <c r="DW196" t="n">
        <v>77.09999999999999</v>
      </c>
      <c r="DX196" t="n">
        <v>76.5</v>
      </c>
      <c r="DY196" t="n">
        <v>15.53</v>
      </c>
      <c r="DZ196" t="n">
        <v>61</v>
      </c>
      <c r="EA196" t="n">
        <v>92</v>
      </c>
      <c r="EB196" t="n">
        <v>3</v>
      </c>
      <c r="EC196" t="n">
        <v>1.4</v>
      </c>
      <c r="ED196" t="n">
        <v>0</v>
      </c>
      <c r="EE196" t="n">
        <v>262</v>
      </c>
      <c r="EF196" t="n">
        <v>81.59999999999999</v>
      </c>
      <c r="EG196" t="n">
        <v>51.4</v>
      </c>
      <c r="EH196" t="n">
        <v>126.2</v>
      </c>
      <c r="EI196" t="n">
        <v>754.9</v>
      </c>
      <c r="EJ196" t="n">
        <v>783.4</v>
      </c>
      <c r="EK196" t="n">
        <v>384.4</v>
      </c>
      <c r="EL196" t="n">
        <v>19.5</v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n">
        <v>5</v>
      </c>
      <c r="F197" t="b">
        <v>1</v>
      </c>
      <c r="G197" t="b">
        <v>1</v>
      </c>
      <c r="H197" t="n">
        <v>31.8</v>
      </c>
      <c r="I197" t="inlineStr">
        <is>
          <t>a</t>
        </is>
      </c>
      <c r="L197" t="inlineStr">
        <is>
          <t>p152551</t>
        </is>
      </c>
      <c r="M197" t="n">
        <v>213</v>
      </c>
      <c r="Q197" t="n">
        <v>1722</v>
      </c>
      <c r="R197" t="n">
        <v>31</v>
      </c>
      <c r="S197" t="n">
        <v>18</v>
      </c>
      <c r="T197" t="n">
        <v>19.133</v>
      </c>
      <c r="U197" t="n">
        <v>55.5</v>
      </c>
      <c r="V197" t="n">
        <v>69</v>
      </c>
      <c r="W197" t="n">
        <v>3.606</v>
      </c>
      <c r="X197" t="n">
        <v>0</v>
      </c>
      <c r="Y197" t="n">
        <v>5</v>
      </c>
      <c r="Z197" t="n">
        <v>2</v>
      </c>
      <c r="AA197" t="n">
        <v>7</v>
      </c>
      <c r="AB197" t="n">
        <v>25</v>
      </c>
      <c r="AC197" t="n">
        <v>3</v>
      </c>
      <c r="AD197" t="n">
        <v>3</v>
      </c>
      <c r="AE197" t="n">
        <v>0</v>
      </c>
      <c r="AF197" t="n">
        <v>296</v>
      </c>
      <c r="AG197" t="n">
        <v>280</v>
      </c>
      <c r="AH197" t="n">
        <v>-16</v>
      </c>
      <c r="AI197" t="n">
        <v>69</v>
      </c>
      <c r="AJ197" t="n">
        <v>0.043</v>
      </c>
      <c r="AK197" t="n">
        <v>0.045</v>
      </c>
      <c r="AL197" t="n">
        <v>220</v>
      </c>
      <c r="AM197" t="n">
        <v>11.498</v>
      </c>
      <c r="AN197" t="n">
        <v>4</v>
      </c>
      <c r="AO197" t="n">
        <v>8</v>
      </c>
      <c r="AP197" t="n">
        <v>0.222</v>
      </c>
      <c r="AQ197" t="n">
        <v>0.556</v>
      </c>
      <c r="AR197" t="n">
        <v>0.222</v>
      </c>
      <c r="AS197" t="n">
        <v>0.474</v>
      </c>
      <c r="AT197" t="n">
        <v>0.516</v>
      </c>
      <c r="AU197" t="n">
        <v>22</v>
      </c>
      <c r="AV197" t="n">
        <v>1</v>
      </c>
      <c r="AW197" t="n">
        <v>2.35</v>
      </c>
      <c r="AX197" t="n">
        <v>10</v>
      </c>
      <c r="AY197" t="n">
        <v>1.84</v>
      </c>
      <c r="AZ197" t="n">
        <v>2.209</v>
      </c>
      <c r="BA197" t="n">
        <v>2.024</v>
      </c>
      <c r="BB197" t="n">
        <v>2.209</v>
      </c>
      <c r="BC197" t="n">
        <v>0.096</v>
      </c>
      <c r="BD197" t="n">
        <v>0.115</v>
      </c>
      <c r="BE197" t="n">
        <v>0.106</v>
      </c>
      <c r="BF197" t="n">
        <v>1.1</v>
      </c>
      <c r="BG197" t="n">
        <v>0.057</v>
      </c>
      <c r="BH197" t="n">
        <v>0.863</v>
      </c>
      <c r="BI197" t="n">
        <v>8.1</v>
      </c>
      <c r="BJ197" t="n">
        <v>1.589</v>
      </c>
      <c r="BK197" t="n">
        <v>0.083</v>
      </c>
      <c r="BL197" t="n">
        <v>-2.024</v>
      </c>
      <c r="BM197" t="n">
        <v>-0.74</v>
      </c>
      <c r="BN197" t="n">
        <v>-1.1</v>
      </c>
      <c r="BO197" t="n">
        <v>-0.369</v>
      </c>
      <c r="BP197" t="n">
        <v>19</v>
      </c>
      <c r="BQ197" t="n">
        <v>7</v>
      </c>
      <c r="BR197" t="n">
        <v>3</v>
      </c>
      <c r="BS197" t="n">
        <v>51</v>
      </c>
      <c r="BT197" t="n">
        <v>2.666</v>
      </c>
      <c r="BW197" t="n">
        <v>1.48</v>
      </c>
      <c r="BX197" t="n">
        <v>1.784</v>
      </c>
      <c r="BY197" t="n">
        <v>1.632</v>
      </c>
      <c r="BZ197" t="n">
        <v>0.08500000000000001</v>
      </c>
      <c r="CA197" t="n">
        <v>3.656</v>
      </c>
      <c r="CB197" t="n">
        <v>0.191</v>
      </c>
      <c r="CC197" t="n">
        <v>13</v>
      </c>
      <c r="CD197" t="n">
        <v>3</v>
      </c>
      <c r="CE197" t="n">
        <v>13</v>
      </c>
      <c r="CF197" t="n">
        <v>5</v>
      </c>
      <c r="CI197" t="n">
        <v>7.616</v>
      </c>
      <c r="CJ197" t="n">
        <v>6.043</v>
      </c>
      <c r="CK197" t="n">
        <v>90</v>
      </c>
      <c r="CL197" t="n">
        <v>102</v>
      </c>
      <c r="CM197" t="n">
        <v>28</v>
      </c>
      <c r="CN197" t="n">
        <v>16</v>
      </c>
      <c r="CO197" t="n">
        <v>25</v>
      </c>
      <c r="CP197" t="n">
        <v>61</v>
      </c>
      <c r="CQ197" t="n">
        <v>4</v>
      </c>
      <c r="CR197" t="n">
        <v>122</v>
      </c>
      <c r="CS197" t="n">
        <v>65</v>
      </c>
      <c r="CT197" t="n">
        <v>0.3</v>
      </c>
      <c r="CU197" t="n">
        <v>1</v>
      </c>
      <c r="CV197" t="n">
        <v>2</v>
      </c>
      <c r="CW197" t="n">
        <v>25.11</v>
      </c>
      <c r="CX197" t="n">
        <v>1.312</v>
      </c>
      <c r="CY197" t="n">
        <v>0</v>
      </c>
      <c r="DB197" t="n">
        <v>0</v>
      </c>
      <c r="DE197" t="n">
        <v>6.73</v>
      </c>
      <c r="DF197" t="n">
        <v>7</v>
      </c>
      <c r="DG197" t="n">
        <v>0</v>
      </c>
      <c r="DH197" t="n">
        <v>25</v>
      </c>
      <c r="DI197" t="n">
        <v>25</v>
      </c>
      <c r="DJ197" t="n">
        <v>1</v>
      </c>
      <c r="DL197" t="n">
        <v>3</v>
      </c>
      <c r="DM197" t="n">
        <v>9</v>
      </c>
      <c r="DO197" t="n">
        <v>0.1</v>
      </c>
      <c r="DP197" t="n">
        <v>26.18</v>
      </c>
      <c r="DQ197" t="n">
        <v>13.09</v>
      </c>
      <c r="DR197" t="n">
        <v>26.18</v>
      </c>
      <c r="DS197" t="n">
        <v>0</v>
      </c>
      <c r="DT197" t="n">
        <v>528</v>
      </c>
      <c r="DU197" t="n">
        <v>13.9</v>
      </c>
      <c r="DV197" t="inlineStr">
        <is>
          <t>flat</t>
        </is>
      </c>
      <c r="EF197" t="n">
        <v>90.59999999999999</v>
      </c>
      <c r="EG197" t="n">
        <v>33.8</v>
      </c>
      <c r="EH197" t="n">
        <v>132.5</v>
      </c>
      <c r="EI197" t="n">
        <v>850.7</v>
      </c>
      <c r="EJ197" t="n">
        <v>1055.1</v>
      </c>
      <c r="EK197" t="n">
        <v>470.9</v>
      </c>
      <c r="EL197" t="n">
        <v>25</v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n">
        <v>6.5</v>
      </c>
      <c r="F198" t="b">
        <v>1</v>
      </c>
      <c r="G198" t="b">
        <v>1</v>
      </c>
      <c r="H198" t="n">
        <v>30.2</v>
      </c>
      <c r="I198" t="inlineStr">
        <is>
          <t>i</t>
        </is>
      </c>
      <c r="J198" t="inlineStr">
        <is>
          <t>Back injury - Unknown return date</t>
        </is>
      </c>
      <c r="K198" t="n">
        <v>0</v>
      </c>
      <c r="L198" t="inlineStr">
        <is>
          <t>p220566</t>
        </is>
      </c>
      <c r="M198" t="n">
        <v>402</v>
      </c>
      <c r="Q198" t="n">
        <v>1510</v>
      </c>
      <c r="R198" t="n">
        <v>21</v>
      </c>
      <c r="S198" t="n">
        <v>17</v>
      </c>
      <c r="T198" t="n">
        <v>16.778</v>
      </c>
      <c r="U198" t="n">
        <v>71.90000000000001</v>
      </c>
      <c r="V198" t="n">
        <v>69</v>
      </c>
      <c r="W198" t="n">
        <v>4.113</v>
      </c>
      <c r="X198" t="n">
        <v>1</v>
      </c>
      <c r="Y198" t="n">
        <v>1</v>
      </c>
      <c r="AA198" t="n">
        <v>5</v>
      </c>
      <c r="AB198" t="n">
        <v>15</v>
      </c>
      <c r="AC198" t="n">
        <v>6</v>
      </c>
      <c r="AD198" t="n">
        <v>6</v>
      </c>
      <c r="AE198" t="n">
        <v>0</v>
      </c>
      <c r="AF198" t="n">
        <v>350</v>
      </c>
      <c r="AG198" t="n">
        <v>338</v>
      </c>
      <c r="AH198" t="n">
        <v>-12</v>
      </c>
      <c r="AI198" t="n">
        <v>69</v>
      </c>
      <c r="AJ198" t="n">
        <v>0.08699999999999999</v>
      </c>
      <c r="AK198" t="n">
        <v>0.095</v>
      </c>
      <c r="AL198" t="n">
        <v>206</v>
      </c>
      <c r="AM198" t="n">
        <v>12.278</v>
      </c>
      <c r="AN198" t="n">
        <v>8</v>
      </c>
      <c r="AO198" t="n">
        <v>16</v>
      </c>
      <c r="AP198" t="n">
        <v>0.471</v>
      </c>
      <c r="AQ198" t="n">
        <v>0.706</v>
      </c>
      <c r="AR198" t="n">
        <v>0.471</v>
      </c>
      <c r="AS198" t="n">
        <v>0.447</v>
      </c>
      <c r="AT198" t="n">
        <v>0.762</v>
      </c>
      <c r="AU198" t="n">
        <v>7</v>
      </c>
      <c r="AV198" t="n">
        <v>0</v>
      </c>
      <c r="AW198" t="n">
        <v>2.26</v>
      </c>
      <c r="AX198" t="n">
        <v>9</v>
      </c>
      <c r="AY198" t="n">
        <v>1.15</v>
      </c>
      <c r="AZ198" t="n">
        <v>1.188</v>
      </c>
      <c r="BA198" t="n">
        <v>1.169</v>
      </c>
      <c r="BB198" t="n">
        <v>1.188</v>
      </c>
      <c r="BC198" t="n">
        <v>0.06900000000000001</v>
      </c>
      <c r="BD198" t="n">
        <v>0.07099999999999999</v>
      </c>
      <c r="BE198" t="n">
        <v>0.07000000000000001</v>
      </c>
      <c r="BF198" t="n">
        <v>0.6</v>
      </c>
      <c r="BG198" t="n">
        <v>0.036</v>
      </c>
      <c r="BH198" t="n">
        <v>0.962</v>
      </c>
      <c r="BI198" t="n">
        <v>9.67</v>
      </c>
      <c r="BJ198" t="n">
        <v>1.106</v>
      </c>
      <c r="BK198" t="n">
        <v>0.066</v>
      </c>
      <c r="BL198" t="n">
        <v>-0.169</v>
      </c>
      <c r="BM198" t="n">
        <v>-0.55</v>
      </c>
      <c r="BN198" t="n">
        <v>0.4</v>
      </c>
      <c r="BO198" t="n">
        <v>-0.038</v>
      </c>
      <c r="BP198" t="n">
        <v>16</v>
      </c>
      <c r="BQ198" t="n">
        <v>3</v>
      </c>
      <c r="BS198" t="n">
        <v>26</v>
      </c>
      <c r="BT198" t="n">
        <v>1.55</v>
      </c>
      <c r="BV198" t="n">
        <v>1</v>
      </c>
      <c r="BW198" t="n">
        <v>2.45</v>
      </c>
      <c r="BX198" t="n">
        <v>2.276</v>
      </c>
      <c r="BY198" t="n">
        <v>2.363</v>
      </c>
      <c r="BZ198" t="n">
        <v>0.141</v>
      </c>
      <c r="CA198" t="n">
        <v>3.532</v>
      </c>
      <c r="CB198" t="n">
        <v>0.211</v>
      </c>
      <c r="CC198" t="n">
        <v>26</v>
      </c>
      <c r="CD198" t="n">
        <v>2</v>
      </c>
      <c r="CE198" t="n">
        <v>25</v>
      </c>
      <c r="CF198" t="n">
        <v>1</v>
      </c>
      <c r="CG198" t="n">
        <v>4</v>
      </c>
      <c r="CI198" t="n">
        <v>12.138</v>
      </c>
      <c r="CJ198" t="n">
        <v>10.706</v>
      </c>
      <c r="CK198" t="n">
        <v>57</v>
      </c>
      <c r="CL198" t="n">
        <v>107</v>
      </c>
      <c r="CM198" t="n">
        <v>42</v>
      </c>
      <c r="CN198" t="n">
        <v>22</v>
      </c>
      <c r="CO198" t="n">
        <v>14</v>
      </c>
      <c r="CP198" t="n">
        <v>41</v>
      </c>
      <c r="CQ198" t="n">
        <v>3</v>
      </c>
      <c r="CR198" t="n">
        <v>118</v>
      </c>
      <c r="CS198" t="n">
        <v>39</v>
      </c>
      <c r="CT198" t="n">
        <v>0.6</v>
      </c>
      <c r="CV198" t="n">
        <v>3</v>
      </c>
      <c r="CW198" t="n">
        <v>20.74</v>
      </c>
      <c r="CX198" t="n">
        <v>1.236</v>
      </c>
      <c r="CY198" t="n">
        <v>0</v>
      </c>
      <c r="DB198" t="n">
        <v>0</v>
      </c>
      <c r="DE198" t="n">
        <v>7.51</v>
      </c>
      <c r="DF198" t="n">
        <v>3</v>
      </c>
      <c r="DG198" t="n">
        <v>0</v>
      </c>
      <c r="DH198" t="n">
        <v>14</v>
      </c>
      <c r="DI198" t="n">
        <v>31</v>
      </c>
      <c r="DL198" t="n">
        <v>7</v>
      </c>
      <c r="DM198" t="n">
        <v>11</v>
      </c>
      <c r="DO198" t="n">
        <v>0.1</v>
      </c>
      <c r="DP198" t="n">
        <v>111.24</v>
      </c>
      <c r="DQ198" t="n">
        <v>43.01</v>
      </c>
      <c r="DR198" t="n">
        <v>86.02</v>
      </c>
      <c r="DS198" t="n">
        <v>25.22</v>
      </c>
      <c r="DT198" t="n">
        <v>2804</v>
      </c>
      <c r="DU198" t="n">
        <v>73.8</v>
      </c>
      <c r="DV198" t="inlineStr">
        <is>
          <t>ramp-up (injury / late WC return)</t>
        </is>
      </c>
      <c r="DW198" t="n">
        <v>82.87</v>
      </c>
      <c r="DX198" t="n">
        <v>88</v>
      </c>
      <c r="DY198" t="n">
        <v>29.62</v>
      </c>
      <c r="DZ198" t="n">
        <v>32.5</v>
      </c>
      <c r="EA198" t="n">
        <v>111.2</v>
      </c>
      <c r="EB198" t="n">
        <v>6</v>
      </c>
      <c r="EC198" t="n">
        <v>2.9</v>
      </c>
      <c r="ED198" t="n">
        <v>81.2</v>
      </c>
      <c r="EE198" t="n">
        <v>46</v>
      </c>
      <c r="EF198" t="n">
        <v>94.40000000000001</v>
      </c>
      <c r="EG198" t="n">
        <v>58.1</v>
      </c>
      <c r="EH198" t="n">
        <v>60.4</v>
      </c>
      <c r="EI198" t="n">
        <v>1291.4</v>
      </c>
      <c r="EJ198" t="n">
        <v>639</v>
      </c>
      <c r="EK198" t="n">
        <v>427.5</v>
      </c>
      <c r="EL198" t="n">
        <v>21.9</v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n">
        <v>4.5</v>
      </c>
      <c r="F199" t="b">
        <v>1</v>
      </c>
      <c r="G199" t="b">
        <v>1</v>
      </c>
      <c r="H199" t="n">
        <v>27.3</v>
      </c>
      <c r="I199" t="inlineStr">
        <is>
          <t>i</t>
        </is>
      </c>
      <c r="J199" t="inlineStr">
        <is>
          <t>Hamstring injury - Expected back 30 Aug</t>
        </is>
      </c>
      <c r="K199" t="n">
        <v>0</v>
      </c>
      <c r="L199" t="inlineStr">
        <is>
          <t>p243526</t>
        </is>
      </c>
      <c r="M199" t="n">
        <v>331</v>
      </c>
      <c r="Q199" t="n">
        <v>2637</v>
      </c>
      <c r="R199" t="n">
        <v>32</v>
      </c>
      <c r="S199" t="n">
        <v>31</v>
      </c>
      <c r="T199" t="n">
        <v>29.3</v>
      </c>
      <c r="U199" t="n">
        <v>82.40000000000001</v>
      </c>
      <c r="V199" t="n">
        <v>68</v>
      </c>
      <c r="W199" t="n">
        <v>2.321</v>
      </c>
      <c r="X199" t="n">
        <v>0</v>
      </c>
      <c r="Y199" t="n">
        <v>0</v>
      </c>
      <c r="AA199" t="n">
        <v>5</v>
      </c>
      <c r="AB199" t="n">
        <v>45</v>
      </c>
      <c r="AC199" t="n">
        <v>8</v>
      </c>
      <c r="AD199" t="n">
        <v>8</v>
      </c>
      <c r="AE199" t="n">
        <v>0</v>
      </c>
      <c r="AF199" t="n">
        <v>286</v>
      </c>
      <c r="AG199" t="n">
        <v>263</v>
      </c>
      <c r="AH199" t="n">
        <v>-23</v>
      </c>
      <c r="AI199" t="n">
        <v>68</v>
      </c>
      <c r="AJ199" t="n">
        <v>0.118</v>
      </c>
      <c r="AK199" t="n">
        <v>0.133</v>
      </c>
      <c r="AL199" t="n">
        <v>184</v>
      </c>
      <c r="AM199" t="n">
        <v>6.28</v>
      </c>
      <c r="AN199" t="n">
        <v>2</v>
      </c>
      <c r="AO199" t="n">
        <v>4</v>
      </c>
      <c r="AP199" t="n">
        <v>0.065</v>
      </c>
      <c r="AQ199" t="n">
        <v>0.065</v>
      </c>
      <c r="AR199" t="n">
        <v>0.032</v>
      </c>
      <c r="AS199" t="n">
        <v>0.8159999999999999</v>
      </c>
      <c r="AT199" t="n">
        <v>0.875</v>
      </c>
      <c r="AU199" t="n">
        <v>25</v>
      </c>
      <c r="AV199" t="n">
        <v>0</v>
      </c>
      <c r="AW199" t="n">
        <v>2.63</v>
      </c>
      <c r="AX199" t="n">
        <v>9</v>
      </c>
      <c r="AY199" t="n">
        <v>1.1</v>
      </c>
      <c r="AZ199" t="n">
        <v>0.878</v>
      </c>
      <c r="BA199" t="n">
        <v>0.989</v>
      </c>
      <c r="BB199" t="n">
        <v>0.878</v>
      </c>
      <c r="BC199" t="n">
        <v>0.038</v>
      </c>
      <c r="BD199" t="n">
        <v>0.03</v>
      </c>
      <c r="BE199" t="n">
        <v>0.034</v>
      </c>
      <c r="BF199" t="n">
        <v>0.1</v>
      </c>
      <c r="BG199" t="n">
        <v>0.003</v>
      </c>
      <c r="BH199" t="n">
        <v>0.89</v>
      </c>
      <c r="BI199" t="n">
        <v>1.1</v>
      </c>
      <c r="BJ199" t="n">
        <v>0.979</v>
      </c>
      <c r="BK199" t="n">
        <v>0.033</v>
      </c>
      <c r="BL199" t="n">
        <v>-0.989</v>
      </c>
      <c r="BM199" t="n">
        <v>-1</v>
      </c>
      <c r="BN199" t="n">
        <v>-0.1</v>
      </c>
      <c r="BO199" t="n">
        <v>0.222</v>
      </c>
      <c r="BP199" t="n">
        <v>18</v>
      </c>
      <c r="BQ199" t="n">
        <v>3</v>
      </c>
      <c r="BS199" t="n">
        <v>51</v>
      </c>
      <c r="BT199" t="n">
        <v>1.741</v>
      </c>
      <c r="BW199" t="n">
        <v>2.89</v>
      </c>
      <c r="BX199" t="n">
        <v>3.101</v>
      </c>
      <c r="BY199" t="n">
        <v>2.996</v>
      </c>
      <c r="BZ199" t="n">
        <v>0.102</v>
      </c>
      <c r="CA199" t="n">
        <v>3.985</v>
      </c>
      <c r="CB199" t="n">
        <v>0.136</v>
      </c>
      <c r="CC199" t="n">
        <v>21</v>
      </c>
      <c r="CD199" t="n">
        <v>4</v>
      </c>
      <c r="CE199" t="n">
        <v>21</v>
      </c>
      <c r="CF199" t="n">
        <v>24</v>
      </c>
      <c r="CG199" t="n">
        <v>1</v>
      </c>
      <c r="CH199" t="n">
        <v>3</v>
      </c>
      <c r="CI199" t="n">
        <v>6.766</v>
      </c>
      <c r="CJ199" t="n">
        <v>4.271</v>
      </c>
      <c r="CK199" t="n">
        <v>119</v>
      </c>
      <c r="CL199" t="n">
        <v>112</v>
      </c>
      <c r="CM199" t="n">
        <v>65</v>
      </c>
      <c r="CN199" t="n">
        <v>44</v>
      </c>
      <c r="CO199" t="n">
        <v>27</v>
      </c>
      <c r="CP199" t="n">
        <v>83</v>
      </c>
      <c r="CQ199" t="n">
        <v>7</v>
      </c>
      <c r="CR199" t="n">
        <v>178</v>
      </c>
      <c r="CS199" t="n">
        <v>18</v>
      </c>
      <c r="CT199" t="n">
        <v>0.3</v>
      </c>
      <c r="CU199" t="n">
        <v>1</v>
      </c>
      <c r="CW199" t="n">
        <v>41.06</v>
      </c>
      <c r="CX199" t="n">
        <v>1.401</v>
      </c>
      <c r="CY199" t="n">
        <v>0</v>
      </c>
      <c r="DB199" t="n">
        <v>0</v>
      </c>
      <c r="DE199" t="n">
        <v>6.78</v>
      </c>
      <c r="DF199" t="n">
        <v>4</v>
      </c>
      <c r="DG199" t="n">
        <v>1</v>
      </c>
      <c r="DH199" t="n">
        <v>31</v>
      </c>
      <c r="DI199" t="n">
        <v>56</v>
      </c>
      <c r="DK199" t="n">
        <v>0</v>
      </c>
      <c r="DL199" t="n">
        <v>39</v>
      </c>
      <c r="DM199" t="n">
        <v>26</v>
      </c>
      <c r="DN199" t="n">
        <v>3</v>
      </c>
      <c r="DO199" t="n">
        <v>0.2</v>
      </c>
      <c r="DP199" t="n">
        <v>103.92</v>
      </c>
      <c r="DQ199" t="n">
        <v>50.84</v>
      </c>
      <c r="DR199" t="n">
        <v>101.68</v>
      </c>
      <c r="DS199" t="n">
        <v>2.24</v>
      </c>
      <c r="DT199" t="n">
        <v>2770</v>
      </c>
      <c r="DU199" t="n">
        <v>72.90000000000001</v>
      </c>
      <c r="DV199" t="inlineStr">
        <is>
          <t>flat</t>
        </is>
      </c>
      <c r="DW199" t="n">
        <v>98.59</v>
      </c>
      <c r="DX199" t="n">
        <v>92</v>
      </c>
      <c r="DY199" t="n">
        <v>16.81</v>
      </c>
      <c r="DZ199" t="n">
        <v>76.5</v>
      </c>
      <c r="EA199" t="n">
        <v>118</v>
      </c>
      <c r="EB199" t="n">
        <v>7</v>
      </c>
      <c r="EC199" t="n">
        <v>3.4</v>
      </c>
      <c r="ED199" t="n">
        <v>0</v>
      </c>
      <c r="EE199" t="n">
        <v>415</v>
      </c>
      <c r="EF199" t="n">
        <v>146.5</v>
      </c>
      <c r="EG199" t="n">
        <v>51.7</v>
      </c>
      <c r="EH199" t="n">
        <v>125.6</v>
      </c>
      <c r="EI199" t="n">
        <v>2666.7</v>
      </c>
      <c r="EJ199" t="n">
        <v>880.3</v>
      </c>
      <c r="EK199" t="n">
        <v>661.8</v>
      </c>
      <c r="EL199" t="n">
        <v>38.8</v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n">
        <v>5</v>
      </c>
      <c r="F200" t="b">
        <v>1</v>
      </c>
      <c r="G200" t="b">
        <v>1</v>
      </c>
      <c r="H200" t="n">
        <v>23.1</v>
      </c>
      <c r="I200" t="inlineStr">
        <is>
          <t>a</t>
        </is>
      </c>
      <c r="L200" t="inlineStr">
        <is>
          <t>p490094</t>
        </is>
      </c>
      <c r="M200" t="n">
        <v>240</v>
      </c>
      <c r="Q200" t="n">
        <v>1477</v>
      </c>
      <c r="R200" t="n">
        <v>29</v>
      </c>
      <c r="S200" t="n">
        <v>17</v>
      </c>
      <c r="T200" t="n">
        <v>16.411</v>
      </c>
      <c r="U200" t="n">
        <v>50.9</v>
      </c>
      <c r="V200" t="n">
        <v>68</v>
      </c>
      <c r="W200" t="n">
        <v>4.144</v>
      </c>
      <c r="X200" t="n">
        <v>0</v>
      </c>
      <c r="Y200" t="n">
        <v>3</v>
      </c>
      <c r="Z200" t="n">
        <v>2</v>
      </c>
      <c r="AA200" t="n">
        <v>8</v>
      </c>
      <c r="AB200" t="n">
        <v>18</v>
      </c>
      <c r="AC200" t="n">
        <v>1</v>
      </c>
      <c r="AD200" t="n">
        <v>1</v>
      </c>
      <c r="AE200" t="n">
        <v>0</v>
      </c>
      <c r="AF200" t="n">
        <v>225</v>
      </c>
      <c r="AG200" t="n">
        <v>218</v>
      </c>
      <c r="AH200" t="n">
        <v>-7</v>
      </c>
      <c r="AI200" t="n">
        <v>68</v>
      </c>
      <c r="AJ200" t="n">
        <v>0.015</v>
      </c>
      <c r="AK200" t="n">
        <v>0.015</v>
      </c>
      <c r="AL200" t="n">
        <v>189</v>
      </c>
      <c r="AM200" t="n">
        <v>11.517</v>
      </c>
      <c r="AN200" t="n">
        <v>7</v>
      </c>
      <c r="AO200" t="n">
        <v>14</v>
      </c>
      <c r="AP200" t="n">
        <v>0.412</v>
      </c>
      <c r="AQ200" t="n">
        <v>0.588</v>
      </c>
      <c r="AR200" t="n">
        <v>0.412</v>
      </c>
      <c r="AS200" t="n">
        <v>0.447</v>
      </c>
      <c r="AT200" t="n">
        <v>0.552</v>
      </c>
      <c r="AU200" t="n">
        <v>19</v>
      </c>
      <c r="AV200" t="n">
        <v>0</v>
      </c>
      <c r="AW200" t="n">
        <v>1.79</v>
      </c>
      <c r="AX200" t="n">
        <v>7</v>
      </c>
      <c r="AY200" t="n">
        <v>0.54</v>
      </c>
      <c r="AZ200" t="n">
        <v>0.511</v>
      </c>
      <c r="BA200" t="n">
        <v>0.525</v>
      </c>
      <c r="BB200" t="n">
        <v>0.511</v>
      </c>
      <c r="BC200" t="n">
        <v>0.033</v>
      </c>
      <c r="BD200" t="n">
        <v>0.031</v>
      </c>
      <c r="BE200" t="n">
        <v>0.032</v>
      </c>
      <c r="BF200" t="n">
        <v>0.1</v>
      </c>
      <c r="BG200" t="n">
        <v>0.006</v>
      </c>
      <c r="BH200" t="n">
        <v>0.924</v>
      </c>
      <c r="BI200" t="n">
        <v>0.77</v>
      </c>
      <c r="BJ200" t="n">
        <v>0.499</v>
      </c>
      <c r="BK200" t="n">
        <v>0.03</v>
      </c>
      <c r="BL200" t="n">
        <v>-0.525</v>
      </c>
      <c r="BM200" t="n">
        <v>-0.44</v>
      </c>
      <c r="BN200" t="n">
        <v>-0.1</v>
      </c>
      <c r="BO200" t="n">
        <v>0.029</v>
      </c>
      <c r="BP200" t="n">
        <v>12</v>
      </c>
      <c r="BQ200" t="n">
        <v>1</v>
      </c>
      <c r="BS200" t="n">
        <v>24</v>
      </c>
      <c r="BT200" t="n">
        <v>1.462</v>
      </c>
      <c r="BW200" t="n">
        <v>0.71</v>
      </c>
      <c r="BX200" t="n">
        <v>1.848</v>
      </c>
      <c r="BY200" t="n">
        <v>1.279</v>
      </c>
      <c r="BZ200" t="n">
        <v>0.078</v>
      </c>
      <c r="CA200" t="n">
        <v>1.804</v>
      </c>
      <c r="CB200" t="n">
        <v>0.11</v>
      </c>
      <c r="CC200" t="n">
        <v>8</v>
      </c>
      <c r="CD200" t="n">
        <v>3</v>
      </c>
      <c r="CE200" t="n">
        <v>8</v>
      </c>
      <c r="CF200" t="n">
        <v>0</v>
      </c>
      <c r="CI200" t="n">
        <v>4.415</v>
      </c>
      <c r="CJ200" t="n">
        <v>2.845</v>
      </c>
      <c r="CK200" t="n">
        <v>43</v>
      </c>
      <c r="CL200" t="n">
        <v>78</v>
      </c>
      <c r="CM200" t="n">
        <v>68</v>
      </c>
      <c r="CN200" t="n">
        <v>45</v>
      </c>
      <c r="CO200" t="n">
        <v>22</v>
      </c>
      <c r="CP200" t="n">
        <v>9</v>
      </c>
      <c r="CQ200" t="n">
        <v>12</v>
      </c>
      <c r="CR200" t="n">
        <v>125</v>
      </c>
      <c r="CS200" t="n">
        <v>22</v>
      </c>
      <c r="CT200" t="n">
        <v>0.2</v>
      </c>
      <c r="CU200" t="n">
        <v>1</v>
      </c>
      <c r="CV200" t="n">
        <v>2</v>
      </c>
      <c r="CW200" t="n">
        <v>24.64</v>
      </c>
      <c r="CX200" t="n">
        <v>1.501</v>
      </c>
      <c r="CY200" t="n">
        <v>0</v>
      </c>
      <c r="DB200" t="n">
        <v>0</v>
      </c>
      <c r="DE200" t="n">
        <v>6.72</v>
      </c>
      <c r="DF200" t="n">
        <v>9</v>
      </c>
      <c r="DG200" t="n">
        <v>0</v>
      </c>
      <c r="DH200" t="n">
        <v>29</v>
      </c>
      <c r="DI200" t="n">
        <v>20</v>
      </c>
      <c r="DJ200" t="n">
        <v>1</v>
      </c>
      <c r="DL200" t="n">
        <v>15</v>
      </c>
      <c r="DM200" t="n">
        <v>28</v>
      </c>
      <c r="DO200" t="n">
        <v>0.1</v>
      </c>
      <c r="DP200" t="n">
        <v>32.64</v>
      </c>
      <c r="DQ200" t="n">
        <v>19.42</v>
      </c>
      <c r="DR200" t="n">
        <v>38.84</v>
      </c>
      <c r="DS200" t="n">
        <v>-6.2</v>
      </c>
      <c r="DT200" t="n">
        <v>328</v>
      </c>
      <c r="DU200" t="n">
        <v>8.630000000000001</v>
      </c>
      <c r="DV200" t="inlineStr">
        <is>
          <t>fade (losing his place)</t>
        </is>
      </c>
      <c r="EF200" t="n">
        <v>123.1</v>
      </c>
      <c r="EG200" t="n">
        <v>61.5</v>
      </c>
      <c r="EH200" t="n">
        <v>184.6</v>
      </c>
      <c r="EI200" t="n">
        <v>2810.9</v>
      </c>
      <c r="EJ200" t="n">
        <v>1154.9</v>
      </c>
      <c r="EK200" t="n">
        <v>818.6</v>
      </c>
      <c r="EL200" t="n">
        <v>21.7</v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n">
        <v>6</v>
      </c>
      <c r="F201" t="b">
        <v>1</v>
      </c>
      <c r="G201" t="b">
        <v>1</v>
      </c>
      <c r="H201" t="n">
        <v>29.3</v>
      </c>
      <c r="I201" t="inlineStr">
        <is>
          <t>a</t>
        </is>
      </c>
      <c r="K201" t="n">
        <v>100</v>
      </c>
      <c r="L201" t="inlineStr">
        <is>
          <t>p166989</t>
        </is>
      </c>
      <c r="M201" t="n">
        <v>43</v>
      </c>
      <c r="N201" t="n">
        <v>3</v>
      </c>
      <c r="Q201" t="n">
        <v>1857</v>
      </c>
      <c r="R201" t="n">
        <v>25</v>
      </c>
      <c r="S201" t="n">
        <v>21</v>
      </c>
      <c r="T201" t="n">
        <v>20.633</v>
      </c>
      <c r="U201" t="n">
        <v>74.3</v>
      </c>
      <c r="V201" t="n">
        <v>68</v>
      </c>
      <c r="W201" t="n">
        <v>3.296</v>
      </c>
      <c r="X201" t="n">
        <v>0</v>
      </c>
      <c r="Y201" t="n">
        <v>4</v>
      </c>
      <c r="Z201" t="n">
        <v>4</v>
      </c>
      <c r="AA201" t="n">
        <v>4</v>
      </c>
      <c r="AB201" t="n">
        <v>27</v>
      </c>
      <c r="AC201" t="n">
        <v>3</v>
      </c>
      <c r="AD201" t="n">
        <v>3</v>
      </c>
      <c r="AE201" t="n">
        <v>0</v>
      </c>
      <c r="AF201" t="n">
        <v>417</v>
      </c>
      <c r="AG201" t="n">
        <v>409</v>
      </c>
      <c r="AH201" t="n">
        <v>-8</v>
      </c>
      <c r="AI201" t="n">
        <v>68</v>
      </c>
      <c r="AJ201" t="n">
        <v>0.044</v>
      </c>
      <c r="AK201" t="n">
        <v>0.046</v>
      </c>
      <c r="AL201" t="n">
        <v>203</v>
      </c>
      <c r="AM201" t="n">
        <v>9.837999999999999</v>
      </c>
      <c r="AN201" t="n">
        <v>2</v>
      </c>
      <c r="AO201" t="n">
        <v>4</v>
      </c>
      <c r="AP201" t="n">
        <v>0.095</v>
      </c>
      <c r="AQ201" t="n">
        <v>0.476</v>
      </c>
      <c r="AR201" t="n">
        <v>0.095</v>
      </c>
      <c r="AS201" t="n">
        <v>0.553</v>
      </c>
      <c r="AT201" t="n">
        <v>0.8</v>
      </c>
      <c r="AU201" t="n">
        <v>16</v>
      </c>
      <c r="AV201" t="n">
        <v>0</v>
      </c>
      <c r="AW201" t="n">
        <v>1.89</v>
      </c>
      <c r="AX201" t="n">
        <v>7</v>
      </c>
      <c r="AY201" t="n">
        <v>1.14</v>
      </c>
      <c r="AZ201" t="n">
        <v>1.84</v>
      </c>
      <c r="BA201" t="n">
        <v>1.49</v>
      </c>
      <c r="BB201" t="n">
        <v>1.84</v>
      </c>
      <c r="BC201" t="n">
        <v>0.055</v>
      </c>
      <c r="BD201" t="n">
        <v>0.089</v>
      </c>
      <c r="BE201" t="n">
        <v>0.07199999999999999</v>
      </c>
      <c r="BF201" t="n">
        <v>0.8</v>
      </c>
      <c r="BG201" t="n">
        <v>0.039</v>
      </c>
      <c r="BH201" t="n">
        <v>1.075</v>
      </c>
      <c r="BI201" t="n">
        <v>8.19</v>
      </c>
      <c r="BJ201" t="n">
        <v>1.225</v>
      </c>
      <c r="BK201" t="n">
        <v>0.059</v>
      </c>
      <c r="BL201" t="n">
        <v>-1.49</v>
      </c>
      <c r="BM201" t="n">
        <v>-0.34</v>
      </c>
      <c r="BN201" t="n">
        <v>-0.8</v>
      </c>
      <c r="BO201" t="n">
        <v>-0.7</v>
      </c>
      <c r="BP201" t="n">
        <v>24</v>
      </c>
      <c r="BQ201" t="n">
        <v>7</v>
      </c>
      <c r="BR201" t="n">
        <v>2</v>
      </c>
      <c r="BS201" t="n">
        <v>34</v>
      </c>
      <c r="BT201" t="n">
        <v>1.648</v>
      </c>
      <c r="BW201" t="n">
        <v>3.26</v>
      </c>
      <c r="BX201" t="n">
        <v>2.982</v>
      </c>
      <c r="BY201" t="n">
        <v>3.121</v>
      </c>
      <c r="BZ201" t="n">
        <v>0.151</v>
      </c>
      <c r="CA201" t="n">
        <v>4.611</v>
      </c>
      <c r="CB201" t="n">
        <v>0.223</v>
      </c>
      <c r="CC201" t="n">
        <v>32</v>
      </c>
      <c r="CD201" t="n">
        <v>5</v>
      </c>
      <c r="CE201" t="n">
        <v>32</v>
      </c>
      <c r="CF201" t="n">
        <v>14</v>
      </c>
      <c r="CG201" t="n">
        <v>4</v>
      </c>
      <c r="CH201" t="n">
        <v>25</v>
      </c>
      <c r="CI201" t="n">
        <v>9.827</v>
      </c>
      <c r="CJ201" t="n">
        <v>7.487</v>
      </c>
      <c r="CK201" t="n">
        <v>51</v>
      </c>
      <c r="CL201" t="n">
        <v>94</v>
      </c>
      <c r="CM201" t="n">
        <v>58</v>
      </c>
      <c r="CN201" t="n">
        <v>36</v>
      </c>
      <c r="CO201" t="n">
        <v>18</v>
      </c>
      <c r="CP201" t="n">
        <v>19</v>
      </c>
      <c r="CQ201" t="n">
        <v>14</v>
      </c>
      <c r="CR201" t="n">
        <v>129</v>
      </c>
      <c r="CS201" t="n">
        <v>22</v>
      </c>
      <c r="CT201" t="n">
        <v>0.4</v>
      </c>
      <c r="CV201" t="n">
        <v>1</v>
      </c>
      <c r="CW201" t="n">
        <v>31.34</v>
      </c>
      <c r="CX201" t="n">
        <v>1.519</v>
      </c>
      <c r="CY201" t="n">
        <v>0</v>
      </c>
      <c r="DB201" t="n">
        <v>0</v>
      </c>
      <c r="DE201" t="n">
        <v>7.15</v>
      </c>
      <c r="DF201" t="n">
        <v>0</v>
      </c>
      <c r="DG201" t="n">
        <v>0</v>
      </c>
      <c r="DH201" t="n">
        <v>25</v>
      </c>
      <c r="DI201" t="n">
        <v>41</v>
      </c>
      <c r="DL201" t="n">
        <v>9</v>
      </c>
      <c r="DM201" t="n">
        <v>13</v>
      </c>
      <c r="DN201" t="n">
        <v>1</v>
      </c>
      <c r="DO201" t="n">
        <v>1.7</v>
      </c>
      <c r="DP201" t="n">
        <v>125.52</v>
      </c>
      <c r="DQ201" t="n">
        <v>62.7</v>
      </c>
      <c r="DR201" t="n">
        <v>125.4</v>
      </c>
      <c r="DS201" t="n">
        <v>0.12</v>
      </c>
      <c r="DT201" t="n">
        <v>2764</v>
      </c>
      <c r="DU201" t="n">
        <v>72.75</v>
      </c>
      <c r="DV201" t="inlineStr">
        <is>
          <t>flat</t>
        </is>
      </c>
      <c r="DW201" t="n">
        <v>69.91</v>
      </c>
      <c r="DX201" t="n">
        <v>83.12</v>
      </c>
      <c r="DY201" t="n">
        <v>24.25</v>
      </c>
      <c r="DZ201" t="n">
        <v>10</v>
      </c>
      <c r="EA201" t="n">
        <v>115</v>
      </c>
      <c r="EB201" t="n">
        <v>90</v>
      </c>
      <c r="EC201" t="n">
        <v>43.3</v>
      </c>
      <c r="ED201" t="n">
        <v>3.2</v>
      </c>
      <c r="EE201" t="n">
        <v>93</v>
      </c>
      <c r="EF201" t="n">
        <v>77.40000000000001</v>
      </c>
      <c r="EG201" t="n">
        <v>54.6</v>
      </c>
      <c r="EH201" t="n">
        <v>58</v>
      </c>
      <c r="EI201" t="n">
        <v>1246.3</v>
      </c>
      <c r="EJ201" t="n">
        <v>595</v>
      </c>
      <c r="EK201" t="n">
        <v>402.7</v>
      </c>
      <c r="EL201" t="n">
        <v>27.3</v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n">
        <v>5</v>
      </c>
      <c r="F202" t="b">
        <v>1</v>
      </c>
      <c r="G202" t="b">
        <v>1</v>
      </c>
      <c r="H202" t="n">
        <v>26.3</v>
      </c>
      <c r="I202" t="inlineStr">
        <is>
          <t>a</t>
        </is>
      </c>
      <c r="L202" t="inlineStr">
        <is>
          <t>p489888</t>
        </is>
      </c>
      <c r="M202" t="n">
        <v>77</v>
      </c>
      <c r="Q202" t="n">
        <v>1074</v>
      </c>
      <c r="R202" t="n">
        <v>31</v>
      </c>
      <c r="S202" t="n">
        <v>10</v>
      </c>
      <c r="T202" t="n">
        <v>11.933</v>
      </c>
      <c r="U202" t="n">
        <v>34.6</v>
      </c>
      <c r="V202" t="n">
        <v>67</v>
      </c>
      <c r="W202" t="n">
        <v>5.615</v>
      </c>
      <c r="X202" t="n">
        <v>3</v>
      </c>
      <c r="Y202" t="n">
        <v>2</v>
      </c>
      <c r="Z202" t="n">
        <v>1</v>
      </c>
      <c r="AA202" t="n">
        <v>3</v>
      </c>
      <c r="AB202" t="n">
        <v>17</v>
      </c>
      <c r="AC202" t="n">
        <v>4</v>
      </c>
      <c r="AD202" t="n">
        <v>4</v>
      </c>
      <c r="AE202" t="n">
        <v>0</v>
      </c>
      <c r="AF202" t="n">
        <v>241</v>
      </c>
      <c r="AG202" t="n">
        <v>235</v>
      </c>
      <c r="AH202" t="n">
        <v>-6</v>
      </c>
      <c r="AI202" t="n">
        <v>67</v>
      </c>
      <c r="AJ202" t="n">
        <v>0.06</v>
      </c>
      <c r="AK202" t="n">
        <v>0.063</v>
      </c>
      <c r="AL202" t="n">
        <v>123</v>
      </c>
      <c r="AM202" t="n">
        <v>10.307</v>
      </c>
      <c r="AN202" t="n">
        <v>1</v>
      </c>
      <c r="AO202" t="n">
        <v>2</v>
      </c>
      <c r="AP202" t="n">
        <v>0.1</v>
      </c>
      <c r="AQ202" t="n">
        <v>0.2</v>
      </c>
      <c r="AR202" t="n">
        <v>0.1</v>
      </c>
      <c r="AS202" t="n">
        <v>0.263</v>
      </c>
      <c r="AT202" t="n">
        <v>0.258</v>
      </c>
      <c r="AU202" t="n">
        <v>25</v>
      </c>
      <c r="AV202" t="n">
        <v>2</v>
      </c>
      <c r="AW202" t="n">
        <v>2.51</v>
      </c>
      <c r="AX202" t="n">
        <v>10</v>
      </c>
      <c r="AY202" t="n">
        <v>2.6</v>
      </c>
      <c r="AZ202" t="n">
        <v>3.574</v>
      </c>
      <c r="BA202" t="n">
        <v>3.087</v>
      </c>
      <c r="BB202" t="n">
        <v>3.574</v>
      </c>
      <c r="BC202" t="n">
        <v>0.218</v>
      </c>
      <c r="BD202" t="n">
        <v>0.3</v>
      </c>
      <c r="BE202" t="n">
        <v>0.259</v>
      </c>
      <c r="BF202" t="n">
        <v>3.2</v>
      </c>
      <c r="BG202" t="n">
        <v>0.268</v>
      </c>
      <c r="BH202" t="n">
        <v>1.057</v>
      </c>
      <c r="BI202" t="n">
        <v>2.6</v>
      </c>
      <c r="BJ202" t="n">
        <v>2.747</v>
      </c>
      <c r="BK202" t="n">
        <v>0.23</v>
      </c>
      <c r="BL202" t="n">
        <v>-0.08699999999999999</v>
      </c>
      <c r="BM202" t="n">
        <v>0.6</v>
      </c>
      <c r="BN202" t="n">
        <v>-0.2</v>
      </c>
      <c r="BO202" t="n">
        <v>-0.974</v>
      </c>
      <c r="BP202" t="n">
        <v>20</v>
      </c>
      <c r="BQ202" t="n">
        <v>9</v>
      </c>
      <c r="BR202" t="n">
        <v>4</v>
      </c>
      <c r="BS202" t="n">
        <v>46</v>
      </c>
      <c r="BT202" t="n">
        <v>3.855</v>
      </c>
      <c r="BV202" t="n">
        <v>1</v>
      </c>
      <c r="BW202" t="n">
        <v>1.62</v>
      </c>
      <c r="BX202" t="n">
        <v>1.278</v>
      </c>
      <c r="BY202" t="n">
        <v>1.449</v>
      </c>
      <c r="BZ202" t="n">
        <v>0.121</v>
      </c>
      <c r="CA202" t="n">
        <v>4.536</v>
      </c>
      <c r="CB202" t="n">
        <v>0.38</v>
      </c>
      <c r="CC202" t="n">
        <v>17</v>
      </c>
      <c r="CD202" t="n">
        <v>1</v>
      </c>
      <c r="CE202" t="n">
        <v>16</v>
      </c>
      <c r="CF202" t="n">
        <v>2</v>
      </c>
      <c r="CH202" t="n">
        <v>15</v>
      </c>
      <c r="CI202" t="n">
        <v>6.135</v>
      </c>
      <c r="CJ202" t="n">
        <v>2.169</v>
      </c>
      <c r="CK202" t="n">
        <v>26</v>
      </c>
      <c r="CL202" t="n">
        <v>61</v>
      </c>
      <c r="CM202" t="n">
        <v>36</v>
      </c>
      <c r="CN202" t="n">
        <v>16</v>
      </c>
      <c r="CO202" t="n">
        <v>7</v>
      </c>
      <c r="CP202" t="n">
        <v>17</v>
      </c>
      <c r="CQ202" t="n">
        <v>2</v>
      </c>
      <c r="CR202" t="n">
        <v>96</v>
      </c>
      <c r="CS202" t="n">
        <v>30</v>
      </c>
      <c r="CT202" t="n">
        <v>0.4</v>
      </c>
      <c r="CW202" t="n">
        <v>18.22</v>
      </c>
      <c r="CX202" t="n">
        <v>1.527</v>
      </c>
      <c r="CY202" t="n">
        <v>0</v>
      </c>
      <c r="DB202" t="n">
        <v>0</v>
      </c>
      <c r="DE202" t="n">
        <v>6.69</v>
      </c>
      <c r="DF202" t="n">
        <v>2</v>
      </c>
      <c r="DG202" t="n">
        <v>0</v>
      </c>
      <c r="DH202" t="n">
        <v>29</v>
      </c>
      <c r="DI202" t="n">
        <v>22</v>
      </c>
      <c r="DJ202" t="n">
        <v>1</v>
      </c>
      <c r="DL202" t="n">
        <v>8</v>
      </c>
      <c r="DM202" t="n">
        <v>9</v>
      </c>
      <c r="DN202" t="n">
        <v>5</v>
      </c>
      <c r="DO202" t="n">
        <v>0.2</v>
      </c>
      <c r="DP202" t="n">
        <v>34.75</v>
      </c>
      <c r="DQ202" t="n">
        <v>19.09</v>
      </c>
      <c r="DR202" t="n">
        <v>38.18</v>
      </c>
      <c r="DS202" t="n">
        <v>-3.43</v>
      </c>
      <c r="DT202" t="n">
        <v>390</v>
      </c>
      <c r="DU202" t="n">
        <v>10.26</v>
      </c>
      <c r="DV202" t="inlineStr">
        <is>
          <t>flat</t>
        </is>
      </c>
      <c r="EF202" t="n">
        <v>53.7</v>
      </c>
      <c r="EG202" t="n">
        <v>23.3</v>
      </c>
      <c r="EH202" t="n">
        <v>67.09999999999999</v>
      </c>
      <c r="EI202" t="n">
        <v>347.9</v>
      </c>
      <c r="EJ202" t="n">
        <v>741.2</v>
      </c>
      <c r="EK202" t="n">
        <v>236.8</v>
      </c>
      <c r="EL202" t="n">
        <v>16</v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n">
        <v>5.5</v>
      </c>
      <c r="F203" t="b">
        <v>1</v>
      </c>
      <c r="G203" t="b">
        <v>1</v>
      </c>
      <c r="H203" t="n">
        <v>22.5</v>
      </c>
      <c r="I203" t="inlineStr">
        <is>
          <t>a</t>
        </is>
      </c>
      <c r="L203" t="inlineStr">
        <is>
          <t>p578153</t>
        </is>
      </c>
      <c r="M203" t="n">
        <v>393</v>
      </c>
      <c r="Q203" t="n">
        <v>1427</v>
      </c>
      <c r="R203" t="n">
        <v>21</v>
      </c>
      <c r="S203" t="n">
        <v>15</v>
      </c>
      <c r="T203" t="n">
        <v>15.856</v>
      </c>
      <c r="U203" t="n">
        <v>68</v>
      </c>
      <c r="V203" t="n">
        <v>67</v>
      </c>
      <c r="W203" t="n">
        <v>4.226</v>
      </c>
      <c r="X203" t="n">
        <v>0</v>
      </c>
      <c r="Y203" t="n">
        <v>0</v>
      </c>
      <c r="AA203" t="n">
        <v>6</v>
      </c>
      <c r="AB203" t="n">
        <v>13</v>
      </c>
      <c r="AC203" t="n">
        <v>3</v>
      </c>
      <c r="AD203" t="n">
        <v>3</v>
      </c>
      <c r="AE203" t="n">
        <v>0</v>
      </c>
      <c r="AF203" t="n">
        <v>293</v>
      </c>
      <c r="AG203" t="n">
        <v>275</v>
      </c>
      <c r="AH203" t="n">
        <v>-18</v>
      </c>
      <c r="AI203" t="n">
        <v>67</v>
      </c>
      <c r="AJ203" t="n">
        <v>0.045</v>
      </c>
      <c r="AK203" t="n">
        <v>0.047</v>
      </c>
      <c r="AL203" t="n">
        <v>123</v>
      </c>
      <c r="AM203" t="n">
        <v>7.758</v>
      </c>
      <c r="AN203" t="n">
        <v>5</v>
      </c>
      <c r="AO203" t="n">
        <v>10</v>
      </c>
      <c r="AP203" t="n">
        <v>0.333</v>
      </c>
      <c r="AQ203" t="n">
        <v>0.333</v>
      </c>
      <c r="AR203" t="n">
        <v>0.133</v>
      </c>
      <c r="AS203" t="n">
        <v>0.395</v>
      </c>
      <c r="AT203" t="n">
        <v>0.667</v>
      </c>
      <c r="AU203" t="n">
        <v>12</v>
      </c>
      <c r="AV203" t="n">
        <v>1</v>
      </c>
      <c r="AW203" t="n">
        <v>2.68</v>
      </c>
      <c r="AX203" t="n">
        <v>11</v>
      </c>
      <c r="AY203" t="n">
        <v>0.65</v>
      </c>
      <c r="AZ203" t="n">
        <v>0.673</v>
      </c>
      <c r="BA203" t="n">
        <v>0.661</v>
      </c>
      <c r="BB203" t="n">
        <v>0.673</v>
      </c>
      <c r="BC203" t="n">
        <v>0.041</v>
      </c>
      <c r="BD203" t="n">
        <v>0.042</v>
      </c>
      <c r="BE203" t="n">
        <v>0.042</v>
      </c>
      <c r="BH203" t="n">
        <v>0.923</v>
      </c>
      <c r="BI203" t="n">
        <v>0.67</v>
      </c>
      <c r="BJ203" t="n">
        <v>0.6</v>
      </c>
      <c r="BK203" t="n">
        <v>0.038</v>
      </c>
      <c r="BL203" t="n">
        <v>-0.661</v>
      </c>
      <c r="BO203" t="n">
        <v>-0.023</v>
      </c>
      <c r="BP203" t="n">
        <v>7</v>
      </c>
      <c r="BQ203" t="n">
        <v>1</v>
      </c>
      <c r="BR203" t="n">
        <v>1</v>
      </c>
      <c r="BS203" t="n">
        <v>8</v>
      </c>
      <c r="BT203" t="n">
        <v>0.505</v>
      </c>
      <c r="BW203" t="n">
        <v>1.21</v>
      </c>
      <c r="BX203" t="n">
        <v>0.572</v>
      </c>
      <c r="BY203" t="n">
        <v>0.891</v>
      </c>
      <c r="BZ203" t="n">
        <v>0.056</v>
      </c>
      <c r="CA203" t="n">
        <v>1.552</v>
      </c>
      <c r="CB203" t="n">
        <v>0.098</v>
      </c>
      <c r="CC203" t="n">
        <v>6</v>
      </c>
      <c r="CE203" t="n">
        <v>6</v>
      </c>
      <c r="CF203" t="n">
        <v>1</v>
      </c>
      <c r="CI203" t="n">
        <v>7.634</v>
      </c>
      <c r="CJ203" t="n">
        <v>7.127</v>
      </c>
      <c r="CK203" t="n">
        <v>96</v>
      </c>
      <c r="CL203" t="n">
        <v>75</v>
      </c>
      <c r="CM203" t="n">
        <v>27</v>
      </c>
      <c r="CN203" t="n">
        <v>20</v>
      </c>
      <c r="CO203" t="n">
        <v>33</v>
      </c>
      <c r="CP203" t="n">
        <v>56</v>
      </c>
      <c r="CQ203" t="n">
        <v>9</v>
      </c>
      <c r="CR203" t="n">
        <v>55</v>
      </c>
      <c r="CS203" t="n">
        <v>15</v>
      </c>
      <c r="CT203" t="n">
        <v>0.1</v>
      </c>
      <c r="CV203" t="n">
        <v>1</v>
      </c>
      <c r="CW203" t="n">
        <v>20.89</v>
      </c>
      <c r="CX203" t="n">
        <v>1.318</v>
      </c>
      <c r="CY203" t="n">
        <v>0</v>
      </c>
      <c r="DB203" t="n">
        <v>0</v>
      </c>
      <c r="DE203" t="n">
        <v>7.12</v>
      </c>
      <c r="DF203" t="n">
        <v>2</v>
      </c>
      <c r="DG203" t="n">
        <v>0</v>
      </c>
      <c r="DH203" t="n">
        <v>14</v>
      </c>
      <c r="DI203" t="n">
        <v>6</v>
      </c>
      <c r="DL203" t="n">
        <v>7</v>
      </c>
      <c r="DM203" t="n">
        <v>2</v>
      </c>
      <c r="DO203" t="n">
        <v>2</v>
      </c>
      <c r="DP203" t="n">
        <v>34.61</v>
      </c>
      <c r="DQ203" t="n">
        <v>17.31</v>
      </c>
      <c r="DR203" t="n">
        <v>34.62</v>
      </c>
      <c r="DS203" t="n">
        <v>-0.01</v>
      </c>
      <c r="DT203" t="n">
        <v>690</v>
      </c>
      <c r="DU203" t="n">
        <v>18.16</v>
      </c>
      <c r="DV203" t="inlineStr">
        <is>
          <t>flat</t>
        </is>
      </c>
      <c r="DW203" t="n">
        <v>80.81</v>
      </c>
      <c r="DX203" t="n">
        <v>86.89</v>
      </c>
      <c r="DY203" t="n">
        <v>19.62</v>
      </c>
      <c r="DZ203" t="n">
        <v>28</v>
      </c>
      <c r="EA203" t="n">
        <v>119.2</v>
      </c>
      <c r="EB203" t="n">
        <v>116</v>
      </c>
      <c r="EC203" t="n">
        <v>55.8</v>
      </c>
      <c r="ED203" t="n">
        <v>26.6</v>
      </c>
      <c r="EE203" t="n">
        <v>159</v>
      </c>
      <c r="EF203" t="n">
        <v>203.9</v>
      </c>
      <c r="EG203" t="n">
        <v>178.4</v>
      </c>
      <c r="EH203" t="n">
        <v>237.8</v>
      </c>
      <c r="EI203" t="n">
        <v>2157.5</v>
      </c>
      <c r="EJ203" t="n">
        <v>1602</v>
      </c>
      <c r="EK203" t="n">
        <v>919.4</v>
      </c>
      <c r="EL203" t="n">
        <v>21.3</v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n">
        <v>5</v>
      </c>
      <c r="F204" t="b">
        <v>1</v>
      </c>
      <c r="G204" t="b">
        <v>1</v>
      </c>
      <c r="H204" t="n">
        <v>27.9</v>
      </c>
      <c r="I204" t="inlineStr">
        <is>
          <t>a</t>
        </is>
      </c>
      <c r="L204" t="inlineStr">
        <is>
          <t>p248056</t>
        </is>
      </c>
      <c r="M204" t="n">
        <v>345</v>
      </c>
      <c r="O204" t="n">
        <v>4</v>
      </c>
      <c r="Q204" t="n">
        <v>1307</v>
      </c>
      <c r="R204" t="n">
        <v>28</v>
      </c>
      <c r="S204" t="n">
        <v>14</v>
      </c>
      <c r="T204" t="n">
        <v>14.522</v>
      </c>
      <c r="U204" t="n">
        <v>46.7</v>
      </c>
      <c r="V204" t="n">
        <v>67</v>
      </c>
      <c r="W204" t="n">
        <v>4.614</v>
      </c>
      <c r="X204" t="n">
        <v>2</v>
      </c>
      <c r="Y204" t="n">
        <v>1</v>
      </c>
      <c r="AA204" t="n">
        <v>3</v>
      </c>
      <c r="AB204" t="n">
        <v>22</v>
      </c>
      <c r="AC204" t="n">
        <v>4</v>
      </c>
      <c r="AD204" t="n">
        <v>3</v>
      </c>
      <c r="AE204" t="n">
        <v>-1</v>
      </c>
      <c r="AF204" t="n">
        <v>288</v>
      </c>
      <c r="AG204" t="n">
        <v>279</v>
      </c>
      <c r="AH204" t="n">
        <v>-9</v>
      </c>
      <c r="AI204" t="n">
        <v>66</v>
      </c>
      <c r="AJ204" t="n">
        <v>0.06</v>
      </c>
      <c r="AK204" t="n">
        <v>0.063</v>
      </c>
      <c r="AL204" t="n">
        <v>147</v>
      </c>
      <c r="AM204" t="n">
        <v>10.122</v>
      </c>
      <c r="AN204" t="n">
        <v>4</v>
      </c>
      <c r="AO204" t="n">
        <v>8</v>
      </c>
      <c r="AP204" t="n">
        <v>0.286</v>
      </c>
      <c r="AQ204" t="n">
        <v>0.357</v>
      </c>
      <c r="AR204" t="n">
        <v>0.286</v>
      </c>
      <c r="AS204" t="n">
        <v>0.368</v>
      </c>
      <c r="AT204" t="n">
        <v>0.429</v>
      </c>
      <c r="AU204" t="n">
        <v>19</v>
      </c>
      <c r="AV204" t="n">
        <v>0</v>
      </c>
      <c r="AW204" t="n">
        <v>2.03</v>
      </c>
      <c r="AX204" t="n">
        <v>9</v>
      </c>
      <c r="AY204" t="n">
        <v>1.44</v>
      </c>
      <c r="AZ204" t="n">
        <v>2.198</v>
      </c>
      <c r="BA204" t="n">
        <v>1.819</v>
      </c>
      <c r="BB204" t="n">
        <v>2.198</v>
      </c>
      <c r="BC204" t="n">
        <v>0.099</v>
      </c>
      <c r="BD204" t="n">
        <v>0.151</v>
      </c>
      <c r="BE204" t="n">
        <v>0.125</v>
      </c>
      <c r="BF204" t="n">
        <v>1.3</v>
      </c>
      <c r="BG204" t="n">
        <v>0.09</v>
      </c>
      <c r="BH204" t="n">
        <v>0.985</v>
      </c>
      <c r="BI204" t="n">
        <v>1.44</v>
      </c>
      <c r="BJ204" t="n">
        <v>1.419</v>
      </c>
      <c r="BK204" t="n">
        <v>0.098</v>
      </c>
      <c r="BL204" t="n">
        <v>0.181</v>
      </c>
      <c r="BM204" t="n">
        <v>-0.14</v>
      </c>
      <c r="BN204" t="n">
        <v>0.7</v>
      </c>
      <c r="BO204" t="n">
        <v>-0.758</v>
      </c>
      <c r="BP204" t="n">
        <v>17</v>
      </c>
      <c r="BQ204" t="n">
        <v>5</v>
      </c>
      <c r="BR204" t="n">
        <v>1</v>
      </c>
      <c r="BS204" t="n">
        <v>14</v>
      </c>
      <c r="BT204" t="n">
        <v>0.964</v>
      </c>
      <c r="BW204" t="n">
        <v>1.39</v>
      </c>
      <c r="BX204" t="n">
        <v>1.358</v>
      </c>
      <c r="BY204" t="n">
        <v>1.374</v>
      </c>
      <c r="BZ204" t="n">
        <v>0.095</v>
      </c>
      <c r="CA204" t="n">
        <v>3.193</v>
      </c>
      <c r="CB204" t="n">
        <v>0.22</v>
      </c>
      <c r="CC204" t="n">
        <v>18</v>
      </c>
      <c r="CD204" t="n">
        <v>1</v>
      </c>
      <c r="CE204" t="n">
        <v>18</v>
      </c>
      <c r="CF204" t="n">
        <v>14</v>
      </c>
      <c r="CG204" t="n">
        <v>1</v>
      </c>
      <c r="CH204" t="n">
        <v>12</v>
      </c>
      <c r="CI204" t="n">
        <v>6.806</v>
      </c>
      <c r="CJ204" t="n">
        <v>4.313</v>
      </c>
      <c r="CK204" t="n">
        <v>38</v>
      </c>
      <c r="CL204" t="n">
        <v>82</v>
      </c>
      <c r="CM204" t="n">
        <v>27</v>
      </c>
      <c r="CN204" t="n">
        <v>14</v>
      </c>
      <c r="CO204" t="n">
        <v>21</v>
      </c>
      <c r="CP204" t="n">
        <v>15</v>
      </c>
      <c r="CQ204" t="n">
        <v>2</v>
      </c>
      <c r="CR204" t="n">
        <v>52</v>
      </c>
      <c r="CS204" t="n">
        <v>12</v>
      </c>
      <c r="CT204" t="n">
        <v>0.7</v>
      </c>
      <c r="CV204" t="n">
        <v>1</v>
      </c>
      <c r="CW204" t="n">
        <v>21.49</v>
      </c>
      <c r="CX204" t="n">
        <v>1.48</v>
      </c>
      <c r="CY204" t="n">
        <v>0</v>
      </c>
      <c r="DB204" t="n">
        <v>0</v>
      </c>
      <c r="DE204" t="n">
        <v>6.85</v>
      </c>
      <c r="DF204" t="n">
        <v>1</v>
      </c>
      <c r="DG204" t="n">
        <v>0</v>
      </c>
      <c r="DH204" t="n">
        <v>13</v>
      </c>
      <c r="DI204" t="n">
        <v>9</v>
      </c>
      <c r="DL204" t="n">
        <v>4</v>
      </c>
      <c r="DM204" t="n">
        <v>8</v>
      </c>
      <c r="DO204" t="n">
        <v>0.3</v>
      </c>
      <c r="DP204" t="n">
        <v>33.82</v>
      </c>
      <c r="DQ204" t="n">
        <v>16.91</v>
      </c>
      <c r="DR204" t="n">
        <v>33.82</v>
      </c>
      <c r="DS204" t="n">
        <v>0</v>
      </c>
      <c r="DT204" t="n">
        <v>662</v>
      </c>
      <c r="DU204" t="n">
        <v>17.41</v>
      </c>
      <c r="DV204" t="inlineStr">
        <is>
          <t>flat</t>
        </is>
      </c>
      <c r="EF204" t="n">
        <v>76.90000000000001</v>
      </c>
      <c r="EG204" t="n">
        <v>93.40000000000001</v>
      </c>
      <c r="EH204" t="n">
        <v>72.59999999999999</v>
      </c>
      <c r="EI204" t="n">
        <v>718.5</v>
      </c>
      <c r="EJ204" t="n">
        <v>951.3</v>
      </c>
      <c r="EK204" t="n">
        <v>409.3</v>
      </c>
      <c r="EL204" t="n">
        <v>19.5</v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n">
        <v>6.5</v>
      </c>
      <c r="F205" t="b">
        <v>1</v>
      </c>
      <c r="G205" t="b">
        <v>1</v>
      </c>
      <c r="H205" t="n">
        <v>20</v>
      </c>
      <c r="I205" t="inlineStr">
        <is>
          <t>a</t>
        </is>
      </c>
      <c r="L205" t="inlineStr">
        <is>
          <t>p499604</t>
        </is>
      </c>
      <c r="M205" t="n">
        <v>67</v>
      </c>
      <c r="Q205" t="n">
        <v>1110</v>
      </c>
      <c r="R205" t="n">
        <v>15</v>
      </c>
      <c r="S205" t="n">
        <v>13</v>
      </c>
      <c r="T205" t="n">
        <v>12.333</v>
      </c>
      <c r="U205" t="n">
        <v>74</v>
      </c>
      <c r="V205" t="n">
        <v>67</v>
      </c>
      <c r="W205" t="n">
        <v>5.432</v>
      </c>
      <c r="X205" t="n">
        <v>5</v>
      </c>
      <c r="Y205" t="n">
        <v>2</v>
      </c>
      <c r="Z205" t="n">
        <v>2</v>
      </c>
      <c r="AA205" t="n">
        <v>6</v>
      </c>
      <c r="AB205" t="n">
        <v>10</v>
      </c>
      <c r="AC205" t="n">
        <v>3</v>
      </c>
      <c r="AD205" t="n">
        <v>3</v>
      </c>
      <c r="AE205" t="n">
        <v>0</v>
      </c>
      <c r="AF205" t="n">
        <v>238</v>
      </c>
      <c r="AG205" t="n">
        <v>232</v>
      </c>
      <c r="AH205" t="n">
        <v>-6</v>
      </c>
      <c r="AI205" t="n">
        <v>67</v>
      </c>
      <c r="AJ205" t="n">
        <v>0.045</v>
      </c>
      <c r="AK205" t="n">
        <v>0.047</v>
      </c>
      <c r="AL205" t="n">
        <v>82</v>
      </c>
      <c r="AM205" t="n">
        <v>6.649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0.342</v>
      </c>
      <c r="AT205" t="n">
        <v>0.867</v>
      </c>
      <c r="AU205" t="n">
        <v>4</v>
      </c>
      <c r="AV205" t="n">
        <v>0</v>
      </c>
      <c r="AW205" t="n">
        <v>2.56</v>
      </c>
      <c r="AX205" t="n">
        <v>9</v>
      </c>
      <c r="AY205" t="n">
        <v>2.67</v>
      </c>
      <c r="AZ205" t="n">
        <v>2.668</v>
      </c>
      <c r="BA205" t="n">
        <v>2.669</v>
      </c>
      <c r="BB205" t="n">
        <v>2.668</v>
      </c>
      <c r="BC205" t="n">
        <v>0.216</v>
      </c>
      <c r="BD205" t="n">
        <v>0.216</v>
      </c>
      <c r="BE205" t="n">
        <v>0.216</v>
      </c>
      <c r="BF205" t="n">
        <v>3.4</v>
      </c>
      <c r="BG205" t="n">
        <v>0.276</v>
      </c>
      <c r="BH205" t="n">
        <v>1.068</v>
      </c>
      <c r="BI205" t="n">
        <v>2.67</v>
      </c>
      <c r="BJ205" t="n">
        <v>2.853</v>
      </c>
      <c r="BK205" t="n">
        <v>0.231</v>
      </c>
      <c r="BL205" t="n">
        <v>2.331</v>
      </c>
      <c r="BM205" t="n">
        <v>0.73</v>
      </c>
      <c r="BN205" t="n">
        <v>1.6</v>
      </c>
      <c r="BO205" t="n">
        <v>0.002</v>
      </c>
      <c r="BP205" t="n">
        <v>28</v>
      </c>
      <c r="BQ205" t="n">
        <v>8</v>
      </c>
      <c r="BS205" t="n">
        <v>51</v>
      </c>
      <c r="BT205" t="n">
        <v>4.135</v>
      </c>
      <c r="BV205" t="n">
        <v>1</v>
      </c>
      <c r="BW205" t="n">
        <v>1.84</v>
      </c>
      <c r="BX205" t="n">
        <v>2.779</v>
      </c>
      <c r="BY205" t="n">
        <v>2.309</v>
      </c>
      <c r="BZ205" t="n">
        <v>0.187</v>
      </c>
      <c r="CA205" t="n">
        <v>4.979</v>
      </c>
      <c r="CB205" t="n">
        <v>0.404</v>
      </c>
      <c r="CC205" t="n">
        <v>14</v>
      </c>
      <c r="CD205" t="n">
        <v>3</v>
      </c>
      <c r="CE205" t="n">
        <v>14</v>
      </c>
      <c r="CF205" t="n">
        <v>4</v>
      </c>
      <c r="CG205" t="n">
        <v>1</v>
      </c>
      <c r="CH205" t="n">
        <v>1</v>
      </c>
      <c r="CI205" t="n">
        <v>6.338</v>
      </c>
      <c r="CJ205" t="n">
        <v>2.823</v>
      </c>
      <c r="CK205" t="n">
        <v>28</v>
      </c>
      <c r="CL205" t="n">
        <v>43</v>
      </c>
      <c r="CM205" t="n">
        <v>11</v>
      </c>
      <c r="CN205" t="n">
        <v>7</v>
      </c>
      <c r="CO205" t="n">
        <v>8</v>
      </c>
      <c r="CP205" t="n">
        <v>20</v>
      </c>
      <c r="CR205" t="n">
        <v>55</v>
      </c>
      <c r="CS205" t="n">
        <v>25</v>
      </c>
      <c r="CW205" t="n">
        <v>19.14</v>
      </c>
      <c r="CX205" t="n">
        <v>1.552</v>
      </c>
      <c r="CY205" t="n">
        <v>0</v>
      </c>
      <c r="DB205" t="n">
        <v>0</v>
      </c>
      <c r="DF205" t="n">
        <v>1</v>
      </c>
      <c r="DG205" t="n">
        <v>0</v>
      </c>
      <c r="DH205" t="n">
        <v>9</v>
      </c>
      <c r="DI205" t="n">
        <v>6</v>
      </c>
      <c r="DK205" t="n">
        <v>1</v>
      </c>
      <c r="DL205" t="n">
        <v>13</v>
      </c>
      <c r="DM205" t="n">
        <v>10</v>
      </c>
      <c r="DN205" t="n">
        <v>1</v>
      </c>
      <c r="DO205" t="n">
        <v>3.3</v>
      </c>
      <c r="DP205" t="n">
        <v>131.9</v>
      </c>
      <c r="DQ205" t="n">
        <v>66.31</v>
      </c>
      <c r="DR205" t="n">
        <v>132.62</v>
      </c>
      <c r="DS205" t="n">
        <v>-0.72</v>
      </c>
      <c r="DT205" t="n">
        <v>2861</v>
      </c>
      <c r="DU205" t="n">
        <v>75.3</v>
      </c>
      <c r="DV205" t="inlineStr">
        <is>
          <t>flat</t>
        </is>
      </c>
      <c r="DW205" t="n">
        <v>46.47</v>
      </c>
      <c r="DX205" t="n">
        <v>52.75</v>
      </c>
      <c r="DY205" t="n">
        <v>21.39</v>
      </c>
      <c r="DZ205" t="n">
        <v>14</v>
      </c>
      <c r="EA205" t="n">
        <v>118.86</v>
      </c>
      <c r="EB205" t="n">
        <v>178</v>
      </c>
      <c r="EC205" t="n">
        <v>85.59999999999999</v>
      </c>
      <c r="ED205" t="n">
        <v>7.8</v>
      </c>
      <c r="EE205" t="n">
        <v>47</v>
      </c>
      <c r="EF205" t="n">
        <v>39.6</v>
      </c>
      <c r="EG205" t="n">
        <v>21.8</v>
      </c>
      <c r="EH205" t="n">
        <v>79.3</v>
      </c>
      <c r="EI205" t="n">
        <v>415.9</v>
      </c>
      <c r="EJ205" t="n">
        <v>480.6</v>
      </c>
      <c r="EK205" t="n">
        <v>223</v>
      </c>
      <c r="EL205" t="n">
        <v>16.6</v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n">
        <v>6</v>
      </c>
      <c r="F206" t="b">
        <v>1</v>
      </c>
      <c r="G206" t="b">
        <v>1</v>
      </c>
      <c r="H206" t="n">
        <v>30.2</v>
      </c>
      <c r="I206" t="inlineStr">
        <is>
          <t>a</t>
        </is>
      </c>
      <c r="L206" t="inlineStr">
        <is>
          <t>p195384</t>
        </is>
      </c>
      <c r="M206" t="n">
        <v>17</v>
      </c>
      <c r="Q206" t="n">
        <v>1024</v>
      </c>
      <c r="R206" t="n">
        <v>22</v>
      </c>
      <c r="S206" t="n">
        <v>10</v>
      </c>
      <c r="T206" t="n">
        <v>11.378</v>
      </c>
      <c r="U206" t="n">
        <v>46.5</v>
      </c>
      <c r="V206" t="n">
        <v>67</v>
      </c>
      <c r="W206" t="n">
        <v>5.889</v>
      </c>
      <c r="X206" t="n">
        <v>4</v>
      </c>
      <c r="Y206" t="n">
        <v>3</v>
      </c>
      <c r="Z206" t="n">
        <v>3</v>
      </c>
      <c r="AA206" t="n">
        <v>4</v>
      </c>
      <c r="AB206" t="n">
        <v>10</v>
      </c>
      <c r="AC206" t="n">
        <v>5</v>
      </c>
      <c r="AD206" t="n">
        <v>5</v>
      </c>
      <c r="AE206" t="n">
        <v>0</v>
      </c>
      <c r="AF206" t="n">
        <v>236</v>
      </c>
      <c r="AG206" t="n">
        <v>229</v>
      </c>
      <c r="AH206" t="n">
        <v>-7</v>
      </c>
      <c r="AI206" t="n">
        <v>67</v>
      </c>
      <c r="AJ206" t="n">
        <v>0.075</v>
      </c>
      <c r="AK206" t="n">
        <v>0.081</v>
      </c>
      <c r="AL206" t="n">
        <v>113</v>
      </c>
      <c r="AM206" t="n">
        <v>9.932</v>
      </c>
      <c r="AN206" t="n">
        <v>0</v>
      </c>
      <c r="AO206" t="n">
        <v>0</v>
      </c>
      <c r="AP206" t="n">
        <v>0</v>
      </c>
      <c r="AQ206" t="n">
        <v>0.3</v>
      </c>
      <c r="AR206" t="n">
        <v>0</v>
      </c>
      <c r="AS206" t="n">
        <v>0.263</v>
      </c>
      <c r="AT206" t="n">
        <v>0.364</v>
      </c>
      <c r="AU206" t="n">
        <v>14</v>
      </c>
      <c r="AV206" t="n">
        <v>1</v>
      </c>
      <c r="AW206" t="n">
        <v>2.87</v>
      </c>
      <c r="AX206" t="n">
        <v>13</v>
      </c>
      <c r="AY206" t="n">
        <v>3.36</v>
      </c>
      <c r="AZ206" t="n">
        <v>5.218</v>
      </c>
      <c r="BA206" t="n">
        <v>4.289</v>
      </c>
      <c r="BB206" t="n">
        <v>5.218</v>
      </c>
      <c r="BC206" t="n">
        <v>0.295</v>
      </c>
      <c r="BD206" t="n">
        <v>0.459</v>
      </c>
      <c r="BE206" t="n">
        <v>0.377</v>
      </c>
      <c r="BF206" t="n">
        <v>3.7</v>
      </c>
      <c r="BG206" t="n">
        <v>0.325</v>
      </c>
      <c r="BH206" t="n">
        <v>1.093</v>
      </c>
      <c r="BI206" t="n">
        <v>9.109999999999999</v>
      </c>
      <c r="BJ206" t="n">
        <v>3.672</v>
      </c>
      <c r="BK206" t="n">
        <v>0.323</v>
      </c>
      <c r="BL206" t="n">
        <v>-0.289</v>
      </c>
      <c r="BM206" t="n">
        <v>0.34</v>
      </c>
      <c r="BN206" t="n">
        <v>0.3</v>
      </c>
      <c r="BO206" t="n">
        <v>-1.858</v>
      </c>
      <c r="BP206" t="n">
        <v>22</v>
      </c>
      <c r="BQ206" t="n">
        <v>8</v>
      </c>
      <c r="BR206" t="n">
        <v>5</v>
      </c>
      <c r="BS206" t="n">
        <v>34</v>
      </c>
      <c r="BT206" t="n">
        <v>2.988</v>
      </c>
      <c r="BV206" t="n">
        <v>3</v>
      </c>
      <c r="BW206" t="n">
        <v>1.45</v>
      </c>
      <c r="BX206" t="n">
        <v>2.29</v>
      </c>
      <c r="BY206" t="n">
        <v>1.87</v>
      </c>
      <c r="BZ206" t="n">
        <v>0.164</v>
      </c>
      <c r="CA206" t="n">
        <v>6.159</v>
      </c>
      <c r="CB206" t="n">
        <v>0.541</v>
      </c>
      <c r="CC206" t="n">
        <v>12</v>
      </c>
      <c r="CD206" t="n">
        <v>4</v>
      </c>
      <c r="CE206" t="n">
        <v>12</v>
      </c>
      <c r="CG206" t="n">
        <v>2</v>
      </c>
      <c r="CI206" t="n">
        <v>8.369</v>
      </c>
      <c r="CJ206" t="n">
        <v>3.812</v>
      </c>
      <c r="CK206" t="n">
        <v>30</v>
      </c>
      <c r="CL206" t="n">
        <v>57</v>
      </c>
      <c r="CM206" t="n">
        <v>26</v>
      </c>
      <c r="CN206" t="n">
        <v>13</v>
      </c>
      <c r="CO206" t="n">
        <v>10</v>
      </c>
      <c r="CP206" t="n">
        <v>19</v>
      </c>
      <c r="CQ206" t="n">
        <v>2</v>
      </c>
      <c r="CR206" t="n">
        <v>79</v>
      </c>
      <c r="CS206" t="n">
        <v>28</v>
      </c>
      <c r="CT206" t="n">
        <v>0.7</v>
      </c>
      <c r="CW206" t="n">
        <v>7.36</v>
      </c>
      <c r="CX206" t="n">
        <v>0.647</v>
      </c>
      <c r="CY206" t="n">
        <v>0</v>
      </c>
      <c r="DB206" t="n">
        <v>0</v>
      </c>
      <c r="DE206" t="n">
        <v>6.93</v>
      </c>
      <c r="DF206" t="n">
        <v>1</v>
      </c>
      <c r="DG206" t="n">
        <v>0</v>
      </c>
      <c r="DH206" t="n">
        <v>22</v>
      </c>
      <c r="DI206" t="n">
        <v>20</v>
      </c>
      <c r="DL206" t="n">
        <v>5</v>
      </c>
      <c r="DM206" t="n">
        <v>17</v>
      </c>
      <c r="DN206" t="n">
        <v>3</v>
      </c>
      <c r="DO206" t="n">
        <v>1</v>
      </c>
      <c r="DP206" t="n">
        <v>34.52</v>
      </c>
      <c r="DQ206" t="n">
        <v>17.34</v>
      </c>
      <c r="DR206" t="n">
        <v>34.68</v>
      </c>
      <c r="DS206" t="n">
        <v>-0.16</v>
      </c>
      <c r="DT206" t="n">
        <v>173</v>
      </c>
      <c r="DU206" t="n">
        <v>4.54</v>
      </c>
      <c r="DV206" t="inlineStr">
        <is>
          <t>flat</t>
        </is>
      </c>
      <c r="DW206" t="n">
        <v>74.88</v>
      </c>
      <c r="DX206" t="n">
        <v>74.75</v>
      </c>
      <c r="DY206" t="n">
        <v>21.72</v>
      </c>
      <c r="DZ206" t="n">
        <v>19</v>
      </c>
      <c r="EA206" t="n">
        <v>108</v>
      </c>
      <c r="EB206" t="n">
        <v>21</v>
      </c>
      <c r="EC206" t="n">
        <v>10.1</v>
      </c>
      <c r="ED206" t="n">
        <v>0</v>
      </c>
      <c r="EE206" t="n">
        <v>94</v>
      </c>
      <c r="EF206" t="n">
        <v>46.5</v>
      </c>
      <c r="EG206" t="n">
        <v>30.1</v>
      </c>
      <c r="EH206" t="n">
        <v>85.3</v>
      </c>
      <c r="EI206" t="n">
        <v>238.8</v>
      </c>
      <c r="EJ206" t="n">
        <v>547.6</v>
      </c>
      <c r="EK206" t="n">
        <v>166.3</v>
      </c>
      <c r="EL206" t="n">
        <v>15.3</v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n">
        <v>5</v>
      </c>
      <c r="F207" t="b">
        <v>1</v>
      </c>
      <c r="G207" t="b">
        <v>1</v>
      </c>
      <c r="H207" t="n">
        <v>30</v>
      </c>
      <c r="I207" t="inlineStr">
        <is>
          <t>a</t>
        </is>
      </c>
      <c r="L207" t="inlineStr">
        <is>
          <t>p209400</t>
        </is>
      </c>
      <c r="M207" t="n">
        <v>214</v>
      </c>
      <c r="O207" t="n">
        <v>4</v>
      </c>
      <c r="Q207" t="n">
        <v>1899</v>
      </c>
      <c r="R207" t="n">
        <v>28</v>
      </c>
      <c r="S207" t="n">
        <v>22</v>
      </c>
      <c r="T207" t="n">
        <v>21.1</v>
      </c>
      <c r="U207" t="n">
        <v>67.8</v>
      </c>
      <c r="V207" t="n">
        <v>67</v>
      </c>
      <c r="W207" t="n">
        <v>3.175</v>
      </c>
      <c r="X207" t="n">
        <v>0</v>
      </c>
      <c r="Y207" t="n">
        <v>2</v>
      </c>
      <c r="AA207" t="n">
        <v>6</v>
      </c>
      <c r="AB207" t="n">
        <v>28</v>
      </c>
      <c r="AC207" t="n">
        <v>0</v>
      </c>
      <c r="AD207" t="n">
        <v>0</v>
      </c>
      <c r="AE207" t="n">
        <v>0</v>
      </c>
      <c r="AF207" t="n">
        <v>331</v>
      </c>
      <c r="AG207" t="n">
        <v>322</v>
      </c>
      <c r="AH207" t="n">
        <v>-9</v>
      </c>
      <c r="AI207" t="n">
        <v>67</v>
      </c>
      <c r="AJ207" t="n">
        <v>0</v>
      </c>
      <c r="AK207" t="n">
        <v>0</v>
      </c>
      <c r="AL207" t="n">
        <v>208</v>
      </c>
      <c r="AM207" t="n">
        <v>9.858000000000001</v>
      </c>
      <c r="AN207" t="n">
        <v>5</v>
      </c>
      <c r="AO207" t="n">
        <v>10</v>
      </c>
      <c r="AP207" t="n">
        <v>0.227</v>
      </c>
      <c r="AQ207" t="n">
        <v>0.455</v>
      </c>
      <c r="AR207" t="n">
        <v>0.227</v>
      </c>
      <c r="AS207" t="n">
        <v>0.579</v>
      </c>
      <c r="AT207" t="n">
        <v>0.714</v>
      </c>
      <c r="AU207" t="n">
        <v>17</v>
      </c>
      <c r="AV207" t="n">
        <v>0</v>
      </c>
      <c r="AW207" t="n">
        <v>1.68</v>
      </c>
      <c r="AX207" t="n">
        <v>6</v>
      </c>
      <c r="AY207" t="n">
        <v>1.64</v>
      </c>
      <c r="AZ207" t="n">
        <v>1.487</v>
      </c>
      <c r="BA207" t="n">
        <v>1.564</v>
      </c>
      <c r="BB207" t="n">
        <v>1.487</v>
      </c>
      <c r="BC207" t="n">
        <v>0.078</v>
      </c>
      <c r="BD207" t="n">
        <v>0.07000000000000001</v>
      </c>
      <c r="BE207" t="n">
        <v>0.074</v>
      </c>
      <c r="BF207" t="n">
        <v>1.1</v>
      </c>
      <c r="BG207" t="n">
        <v>0.052</v>
      </c>
      <c r="BH207" t="n">
        <v>0.911</v>
      </c>
      <c r="BI207" t="n">
        <v>2.76</v>
      </c>
      <c r="BJ207" t="n">
        <v>1.494</v>
      </c>
      <c r="BK207" t="n">
        <v>0.07099999999999999</v>
      </c>
      <c r="BL207" t="n">
        <v>-1.564</v>
      </c>
      <c r="BM207" t="n">
        <v>-0.54</v>
      </c>
      <c r="BN207" t="n">
        <v>-1.1</v>
      </c>
      <c r="BO207" t="n">
        <v>0.153</v>
      </c>
      <c r="BP207" t="n">
        <v>19</v>
      </c>
      <c r="BQ207" t="n">
        <v>4</v>
      </c>
      <c r="BR207" t="n">
        <v>1</v>
      </c>
      <c r="BS207" t="n">
        <v>37</v>
      </c>
      <c r="BT207" t="n">
        <v>1.754</v>
      </c>
      <c r="BW207" t="n">
        <v>3.24</v>
      </c>
      <c r="BX207" t="n">
        <v>2.586</v>
      </c>
      <c r="BY207" t="n">
        <v>2.913</v>
      </c>
      <c r="BZ207" t="n">
        <v>0.138</v>
      </c>
      <c r="CA207" t="n">
        <v>4.476</v>
      </c>
      <c r="CB207" t="n">
        <v>0.212</v>
      </c>
      <c r="CC207" t="n">
        <v>20</v>
      </c>
      <c r="CD207" t="n">
        <v>5</v>
      </c>
      <c r="CE207" t="n">
        <v>20</v>
      </c>
      <c r="CF207" t="n">
        <v>11</v>
      </c>
      <c r="CG207" t="n">
        <v>4</v>
      </c>
      <c r="CH207" t="n">
        <v>22</v>
      </c>
      <c r="CI207" t="n">
        <v>9.884</v>
      </c>
      <c r="CJ207" t="n">
        <v>7.306</v>
      </c>
      <c r="CK207" t="n">
        <v>38</v>
      </c>
      <c r="CL207" t="n">
        <v>108</v>
      </c>
      <c r="CM207" t="n">
        <v>62</v>
      </c>
      <c r="CN207" t="n">
        <v>37</v>
      </c>
      <c r="CO207" t="n">
        <v>14</v>
      </c>
      <c r="CP207" t="n">
        <v>23</v>
      </c>
      <c r="CQ207" t="n">
        <v>1</v>
      </c>
      <c r="CR207" t="n">
        <v>116</v>
      </c>
      <c r="CS207" t="n">
        <v>14</v>
      </c>
      <c r="CT207" t="n">
        <v>0.6</v>
      </c>
      <c r="CV207" t="n">
        <v>3</v>
      </c>
      <c r="CW207" t="n">
        <v>26.04</v>
      </c>
      <c r="CX207" t="n">
        <v>1.234</v>
      </c>
      <c r="CY207" t="n">
        <v>0</v>
      </c>
      <c r="DB207" t="n">
        <v>0</v>
      </c>
      <c r="DE207" t="n">
        <v>6.84</v>
      </c>
      <c r="DF207" t="n">
        <v>3</v>
      </c>
      <c r="DG207" t="n">
        <v>0</v>
      </c>
      <c r="DH207" t="n">
        <v>30</v>
      </c>
      <c r="DI207" t="n">
        <v>28</v>
      </c>
      <c r="DJ207" t="n">
        <v>1</v>
      </c>
      <c r="DL207" t="n">
        <v>12</v>
      </c>
      <c r="DM207" t="n">
        <v>16</v>
      </c>
      <c r="DN207" t="n">
        <v>1</v>
      </c>
      <c r="DO207" t="n">
        <v>0.3</v>
      </c>
      <c r="DP207" t="n">
        <v>74.98</v>
      </c>
      <c r="DQ207" t="n">
        <v>37.49</v>
      </c>
      <c r="DR207" t="n">
        <v>74.98</v>
      </c>
      <c r="DS207" t="n">
        <v>0</v>
      </c>
      <c r="DT207" t="n">
        <v>1932</v>
      </c>
      <c r="DU207" t="n">
        <v>50.85</v>
      </c>
      <c r="DV207" t="inlineStr">
        <is>
          <t>flat</t>
        </is>
      </c>
      <c r="EF207" t="n">
        <v>99.90000000000001</v>
      </c>
      <c r="EG207" t="n">
        <v>51.3</v>
      </c>
      <c r="EH207" t="n">
        <v>95</v>
      </c>
      <c r="EI207" t="n">
        <v>1214.5</v>
      </c>
      <c r="EJ207" t="n">
        <v>651.9</v>
      </c>
      <c r="EK207" t="n">
        <v>424.2</v>
      </c>
      <c r="EL207" t="n">
        <v>28.3</v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n">
        <v>5</v>
      </c>
      <c r="F208" t="b">
        <v>1</v>
      </c>
      <c r="G208" t="b">
        <v>1</v>
      </c>
      <c r="H208" t="n">
        <v>30</v>
      </c>
      <c r="I208" t="inlineStr">
        <is>
          <t>a</t>
        </is>
      </c>
      <c r="L208" t="inlineStr">
        <is>
          <t>p212314</t>
        </is>
      </c>
      <c r="M208" t="n">
        <v>267</v>
      </c>
      <c r="Q208" t="n">
        <v>1730</v>
      </c>
      <c r="R208" t="n">
        <v>26</v>
      </c>
      <c r="S208" t="n">
        <v>20</v>
      </c>
      <c r="T208" t="n">
        <v>19.222</v>
      </c>
      <c r="U208" t="n">
        <v>66.5</v>
      </c>
      <c r="V208" t="n">
        <v>67</v>
      </c>
      <c r="W208" t="n">
        <v>3.486</v>
      </c>
      <c r="X208" t="n">
        <v>1</v>
      </c>
      <c r="Y208" t="n">
        <v>4</v>
      </c>
      <c r="Z208" t="n">
        <v>2</v>
      </c>
      <c r="AA208" t="n">
        <v>6</v>
      </c>
      <c r="AB208" t="n">
        <v>22</v>
      </c>
      <c r="AC208" t="n">
        <v>4</v>
      </c>
      <c r="AD208" t="n">
        <v>4</v>
      </c>
      <c r="AE208" t="n">
        <v>0</v>
      </c>
      <c r="AF208" t="n">
        <v>314</v>
      </c>
      <c r="AG208" t="n">
        <v>302</v>
      </c>
      <c r="AH208" t="n">
        <v>-12</v>
      </c>
      <c r="AI208" t="n">
        <v>67</v>
      </c>
      <c r="AJ208" t="n">
        <v>0.06</v>
      </c>
      <c r="AK208" t="n">
        <v>0.063</v>
      </c>
      <c r="AL208" t="n">
        <v>183</v>
      </c>
      <c r="AM208" t="n">
        <v>9.52</v>
      </c>
      <c r="AN208" t="n">
        <v>3</v>
      </c>
      <c r="AO208" t="n">
        <v>6</v>
      </c>
      <c r="AP208" t="n">
        <v>0.15</v>
      </c>
      <c r="AQ208" t="n">
        <v>0.3</v>
      </c>
      <c r="AR208" t="n">
        <v>0.15</v>
      </c>
      <c r="AS208" t="n">
        <v>0.526</v>
      </c>
      <c r="AT208" t="n">
        <v>0.654</v>
      </c>
      <c r="AU208" t="n">
        <v>17</v>
      </c>
      <c r="AV208" t="n">
        <v>0</v>
      </c>
      <c r="AW208" t="n">
        <v>2.22</v>
      </c>
      <c r="AX208" t="n">
        <v>9</v>
      </c>
      <c r="AY208" t="n">
        <v>2.23</v>
      </c>
      <c r="AZ208" t="n">
        <v>2.339</v>
      </c>
      <c r="BA208" t="n">
        <v>2.285</v>
      </c>
      <c r="BB208" t="n">
        <v>2.339</v>
      </c>
      <c r="BC208" t="n">
        <v>0.116</v>
      </c>
      <c r="BD208" t="n">
        <v>0.122</v>
      </c>
      <c r="BE208" t="n">
        <v>0.119</v>
      </c>
      <c r="BF208" t="n">
        <v>1.4</v>
      </c>
      <c r="BG208" t="n">
        <v>0.073</v>
      </c>
      <c r="BH208" t="n">
        <v>0.892</v>
      </c>
      <c r="BI208" t="n">
        <v>5.01</v>
      </c>
      <c r="BJ208" t="n">
        <v>1.988</v>
      </c>
      <c r="BK208" t="n">
        <v>0.103</v>
      </c>
      <c r="BL208" t="n">
        <v>-1.285</v>
      </c>
      <c r="BM208" t="n">
        <v>-0.83</v>
      </c>
      <c r="BN208" t="n">
        <v>-0.4</v>
      </c>
      <c r="BO208" t="n">
        <v>-0.109</v>
      </c>
      <c r="BP208" t="n">
        <v>18</v>
      </c>
      <c r="BQ208" t="n">
        <v>6</v>
      </c>
      <c r="BR208" t="n">
        <v>3</v>
      </c>
      <c r="BS208" t="n">
        <v>35</v>
      </c>
      <c r="BT208" t="n">
        <v>1.821</v>
      </c>
      <c r="BV208" t="n">
        <v>1</v>
      </c>
      <c r="BW208" t="n">
        <v>1.91</v>
      </c>
      <c r="BX208" t="n">
        <v>2.163</v>
      </c>
      <c r="BY208" t="n">
        <v>2.037</v>
      </c>
      <c r="BZ208" t="n">
        <v>0.106</v>
      </c>
      <c r="CA208" t="n">
        <v>4.321</v>
      </c>
      <c r="CB208" t="n">
        <v>0.225</v>
      </c>
      <c r="CC208" t="n">
        <v>27</v>
      </c>
      <c r="CD208" t="n">
        <v>3</v>
      </c>
      <c r="CE208" t="n">
        <v>28</v>
      </c>
      <c r="CF208" t="n">
        <v>19</v>
      </c>
      <c r="CG208" t="n">
        <v>1</v>
      </c>
      <c r="CH208" t="n">
        <v>52</v>
      </c>
      <c r="CI208" t="n">
        <v>6.226</v>
      </c>
      <c r="CJ208" t="n">
        <v>3.358</v>
      </c>
      <c r="CK208" t="n">
        <v>63</v>
      </c>
      <c r="CL208" t="n">
        <v>71</v>
      </c>
      <c r="CM208" t="n">
        <v>49</v>
      </c>
      <c r="CN208" t="n">
        <v>27</v>
      </c>
      <c r="CO208" t="n">
        <v>18</v>
      </c>
      <c r="CP208" t="n">
        <v>36</v>
      </c>
      <c r="CQ208" t="n">
        <v>9</v>
      </c>
      <c r="CR208" t="n">
        <v>103</v>
      </c>
      <c r="CS208" t="n">
        <v>23</v>
      </c>
      <c r="CT208" t="n">
        <v>0.3</v>
      </c>
      <c r="CV208" t="n">
        <v>2</v>
      </c>
      <c r="CW208" t="n">
        <v>27.64</v>
      </c>
      <c r="CX208" t="n">
        <v>1.438</v>
      </c>
      <c r="CY208" t="n">
        <v>0</v>
      </c>
      <c r="DB208" t="n">
        <v>0</v>
      </c>
      <c r="DE208" t="n">
        <v>6.84</v>
      </c>
      <c r="DF208" t="n">
        <v>9</v>
      </c>
      <c r="DG208" t="n">
        <v>0</v>
      </c>
      <c r="DH208" t="n">
        <v>53</v>
      </c>
      <c r="DI208" t="n">
        <v>25</v>
      </c>
      <c r="DL208" t="n">
        <v>6</v>
      </c>
      <c r="DM208" t="n">
        <v>9</v>
      </c>
      <c r="DN208" t="n">
        <v>2</v>
      </c>
      <c r="DO208" t="n">
        <v>0.1</v>
      </c>
      <c r="DP208" t="n">
        <v>85</v>
      </c>
      <c r="DQ208" t="n">
        <v>42.69</v>
      </c>
      <c r="DR208" t="n">
        <v>85.38</v>
      </c>
      <c r="DS208" t="n">
        <v>-0.38</v>
      </c>
      <c r="DT208" t="n">
        <v>2217</v>
      </c>
      <c r="DU208" t="n">
        <v>58.35</v>
      </c>
      <c r="DV208" t="inlineStr">
        <is>
          <t>flat</t>
        </is>
      </c>
      <c r="EF208" t="n">
        <v>96.09999999999999</v>
      </c>
      <c r="EG208" t="n">
        <v>49.4</v>
      </c>
      <c r="EH208" t="n">
        <v>61.8</v>
      </c>
      <c r="EI208" t="n">
        <v>757.2</v>
      </c>
      <c r="EJ208" t="n">
        <v>849.4</v>
      </c>
      <c r="EK208" t="n">
        <v>400.3</v>
      </c>
      <c r="EL208" t="n">
        <v>25.8</v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n">
        <v>4.5</v>
      </c>
      <c r="F209" t="b">
        <v>1</v>
      </c>
      <c r="G209" t="b">
        <v>1</v>
      </c>
      <c r="H209" t="n">
        <v>29.9</v>
      </c>
      <c r="I209" t="inlineStr">
        <is>
          <t>a</t>
        </is>
      </c>
      <c r="L209" t="inlineStr">
        <is>
          <t>p159506</t>
        </is>
      </c>
      <c r="M209" t="n">
        <v>473</v>
      </c>
      <c r="Q209" t="n">
        <v>1587</v>
      </c>
      <c r="R209" t="n">
        <v>18</v>
      </c>
      <c r="S209" t="n">
        <v>18</v>
      </c>
      <c r="T209" t="n">
        <v>17.633</v>
      </c>
      <c r="U209" t="n">
        <v>88.2</v>
      </c>
      <c r="V209" t="n">
        <v>67</v>
      </c>
      <c r="W209" t="n">
        <v>3.8</v>
      </c>
      <c r="X209" t="n">
        <v>0</v>
      </c>
      <c r="Y209" t="n">
        <v>2</v>
      </c>
      <c r="AA209" t="n">
        <v>6</v>
      </c>
      <c r="AB209" t="n">
        <v>19</v>
      </c>
      <c r="AC209" t="n">
        <v>5</v>
      </c>
      <c r="AD209" t="n">
        <v>5</v>
      </c>
      <c r="AE209" t="n">
        <v>0</v>
      </c>
      <c r="AF209" t="n">
        <v>264</v>
      </c>
      <c r="AG209" t="n">
        <v>246</v>
      </c>
      <c r="AH209" t="n">
        <v>-18</v>
      </c>
      <c r="AI209" t="n">
        <v>67</v>
      </c>
      <c r="AJ209" t="n">
        <v>0.075</v>
      </c>
      <c r="AK209" t="n">
        <v>0.081</v>
      </c>
      <c r="AL209" t="n">
        <v>130</v>
      </c>
      <c r="AM209" t="n">
        <v>7.372</v>
      </c>
      <c r="AN209" t="n">
        <v>2</v>
      </c>
      <c r="AO209" t="n">
        <v>4</v>
      </c>
      <c r="AP209" t="n">
        <v>0.111</v>
      </c>
      <c r="AQ209" t="n">
        <v>0.111</v>
      </c>
      <c r="AR209" t="n">
        <v>0.111</v>
      </c>
      <c r="AS209" t="n">
        <v>0.474</v>
      </c>
      <c r="AT209" t="n">
        <v>1</v>
      </c>
      <c r="AU209" t="n">
        <v>11</v>
      </c>
      <c r="AV209" t="n">
        <v>2</v>
      </c>
      <c r="AW209" t="n">
        <v>3</v>
      </c>
      <c r="AX209" t="n">
        <v>11</v>
      </c>
      <c r="AY209" t="n">
        <v>0.41</v>
      </c>
      <c r="AZ209" t="n">
        <v>0.41</v>
      </c>
      <c r="BA209" t="n">
        <v>0.41</v>
      </c>
      <c r="BB209" t="n">
        <v>0.41</v>
      </c>
      <c r="BC209" t="n">
        <v>0.023</v>
      </c>
      <c r="BD209" t="n">
        <v>0.023</v>
      </c>
      <c r="BE209" t="n">
        <v>0.023</v>
      </c>
      <c r="BF209" t="n">
        <v>0</v>
      </c>
      <c r="BG209" t="n">
        <v>0</v>
      </c>
      <c r="BH209" t="n">
        <v>0.97</v>
      </c>
      <c r="BI209" t="n">
        <v>1.38</v>
      </c>
      <c r="BJ209" t="n">
        <v>0.398</v>
      </c>
      <c r="BK209" t="n">
        <v>0.023</v>
      </c>
      <c r="BL209" t="n">
        <v>-0.41</v>
      </c>
      <c r="BM209" t="n">
        <v>-0.41</v>
      </c>
      <c r="BN209" t="n">
        <v>0</v>
      </c>
      <c r="BO209" t="n">
        <v>0</v>
      </c>
      <c r="BP209" t="n">
        <v>12</v>
      </c>
      <c r="BQ209" t="n">
        <v>1</v>
      </c>
      <c r="BS209" t="n">
        <v>10</v>
      </c>
      <c r="BT209" t="n">
        <v>0.5669999999999999</v>
      </c>
      <c r="BW209" t="n">
        <v>0.84</v>
      </c>
      <c r="BX209" t="n">
        <v>0.341</v>
      </c>
      <c r="BY209" t="n">
        <v>0.591</v>
      </c>
      <c r="BZ209" t="n">
        <v>0.033</v>
      </c>
      <c r="CA209" t="n">
        <v>1</v>
      </c>
      <c r="CB209" t="n">
        <v>0.057</v>
      </c>
      <c r="CC209" t="n">
        <v>9</v>
      </c>
      <c r="CE209" t="n">
        <v>9</v>
      </c>
      <c r="CF209" t="n">
        <v>7</v>
      </c>
      <c r="CH209" t="n">
        <v>1</v>
      </c>
      <c r="CI209" t="n">
        <v>3.951</v>
      </c>
      <c r="CJ209" t="n">
        <v>3.527</v>
      </c>
      <c r="CK209" t="n">
        <v>99</v>
      </c>
      <c r="CL209" t="n">
        <v>81</v>
      </c>
      <c r="CM209" t="n">
        <v>31</v>
      </c>
      <c r="CN209" t="n">
        <v>21</v>
      </c>
      <c r="CO209" t="n">
        <v>25</v>
      </c>
      <c r="CP209" t="n">
        <v>71</v>
      </c>
      <c r="CQ209" t="n">
        <v>3</v>
      </c>
      <c r="CR209" t="n">
        <v>85</v>
      </c>
      <c r="CS209" t="n">
        <v>25</v>
      </c>
      <c r="CV209" t="n">
        <v>2</v>
      </c>
      <c r="CW209" t="n">
        <v>25.31</v>
      </c>
      <c r="CX209" t="n">
        <v>1.435</v>
      </c>
      <c r="CY209" t="n">
        <v>0</v>
      </c>
      <c r="DB209" t="n">
        <v>0</v>
      </c>
      <c r="DF209" t="n">
        <v>3</v>
      </c>
      <c r="DG209" t="n">
        <v>0</v>
      </c>
      <c r="DH209" t="n">
        <v>13</v>
      </c>
      <c r="DI209" t="n">
        <v>15</v>
      </c>
      <c r="DL209" t="n">
        <v>15</v>
      </c>
      <c r="DM209" t="n">
        <v>15</v>
      </c>
      <c r="DO209" t="n">
        <v>4.3</v>
      </c>
      <c r="DP209" t="n">
        <v>117.2</v>
      </c>
      <c r="DQ209" t="n">
        <v>58.71</v>
      </c>
      <c r="DR209" t="n">
        <v>117.42</v>
      </c>
      <c r="DS209" t="n">
        <v>-0.22</v>
      </c>
      <c r="DT209" t="n">
        <v>2953</v>
      </c>
      <c r="DU209" t="n">
        <v>77.7</v>
      </c>
      <c r="DV209" t="inlineStr">
        <is>
          <t>flat</t>
        </is>
      </c>
      <c r="DW209" t="n">
        <v>90.52</v>
      </c>
      <c r="DX209" t="n">
        <v>94.81999999999999</v>
      </c>
      <c r="DY209" t="n">
        <v>19.19</v>
      </c>
      <c r="DZ209" t="n">
        <v>38.29</v>
      </c>
      <c r="EA209" t="n">
        <v>117</v>
      </c>
      <c r="EB209" t="n">
        <v>63</v>
      </c>
      <c r="EC209" t="n">
        <v>30.3</v>
      </c>
      <c r="ED209" t="n">
        <v>4.5</v>
      </c>
      <c r="EE209" t="n">
        <v>416</v>
      </c>
      <c r="EF209" t="n">
        <v>132.2</v>
      </c>
      <c r="EG209" t="n">
        <v>158.7</v>
      </c>
      <c r="EH209" t="n">
        <v>176.3</v>
      </c>
      <c r="EI209" t="n">
        <v>3872.6</v>
      </c>
      <c r="EJ209" t="n">
        <v>2686.8</v>
      </c>
      <c r="EK209" t="n">
        <v>1586.2</v>
      </c>
      <c r="EL209" t="n">
        <v>23.7</v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n">
        <v>5.5</v>
      </c>
      <c r="F210" t="b">
        <v>1</v>
      </c>
      <c r="G210" t="b">
        <v>1</v>
      </c>
      <c r="H210" t="n">
        <v>22.6</v>
      </c>
      <c r="I210" t="inlineStr">
        <is>
          <t>a</t>
        </is>
      </c>
      <c r="L210" t="inlineStr">
        <is>
          <t>p547027</t>
        </is>
      </c>
      <c r="M210" t="n">
        <v>543</v>
      </c>
      <c r="N210" t="n">
        <v>1</v>
      </c>
      <c r="Q210" t="n">
        <v>1403</v>
      </c>
      <c r="R210" t="n">
        <v>20</v>
      </c>
      <c r="S210" t="n">
        <v>15</v>
      </c>
      <c r="T210" t="n">
        <v>15.589</v>
      </c>
      <c r="U210" t="n">
        <v>70.2</v>
      </c>
      <c r="V210" t="n">
        <v>65</v>
      </c>
      <c r="W210" t="n">
        <v>4.17</v>
      </c>
      <c r="X210" t="n">
        <v>2</v>
      </c>
      <c r="Y210" t="n">
        <v>6</v>
      </c>
      <c r="Z210" t="n">
        <v>2</v>
      </c>
      <c r="AA210" t="n">
        <v>5</v>
      </c>
      <c r="AB210" t="n">
        <v>19</v>
      </c>
      <c r="AC210" t="n">
        <v>3</v>
      </c>
      <c r="AD210" t="n">
        <v>4</v>
      </c>
      <c r="AE210" t="n">
        <v>1</v>
      </c>
      <c r="AF210" t="n">
        <v>209</v>
      </c>
      <c r="AG210" t="n">
        <v>203</v>
      </c>
      <c r="AH210" t="n">
        <v>-6</v>
      </c>
      <c r="AI210" t="n">
        <v>66</v>
      </c>
      <c r="AJ210" t="n">
        <v>0.046</v>
      </c>
      <c r="AK210" t="n">
        <v>0.048</v>
      </c>
      <c r="AL210" t="n">
        <v>79</v>
      </c>
      <c r="AM210" t="n">
        <v>5.068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0.395</v>
      </c>
      <c r="AT210" t="n">
        <v>0.75</v>
      </c>
      <c r="AU210" t="n">
        <v>11</v>
      </c>
      <c r="AV210" t="n">
        <v>1</v>
      </c>
      <c r="AW210" t="n">
        <v>2.82</v>
      </c>
      <c r="AX210" t="n">
        <v>14</v>
      </c>
      <c r="AY210" t="n">
        <v>3.27</v>
      </c>
      <c r="AZ210" t="n">
        <v>3.253</v>
      </c>
      <c r="BA210" t="n">
        <v>3.261</v>
      </c>
      <c r="BB210" t="n">
        <v>2.492</v>
      </c>
      <c r="BC210" t="n">
        <v>0.21</v>
      </c>
      <c r="BD210" t="n">
        <v>0.209</v>
      </c>
      <c r="BE210" t="n">
        <v>0.209</v>
      </c>
      <c r="BF210" t="n">
        <v>2.5</v>
      </c>
      <c r="BG210" t="n">
        <v>0.16</v>
      </c>
      <c r="BH210" t="n">
        <v>0.9320000000000001</v>
      </c>
      <c r="BI210" t="n">
        <v>3.27</v>
      </c>
      <c r="BJ210" t="n">
        <v>3.047</v>
      </c>
      <c r="BK210" t="n">
        <v>0.195</v>
      </c>
      <c r="BL210" t="n">
        <v>-1.261</v>
      </c>
      <c r="BM210" t="n">
        <v>-0.77</v>
      </c>
      <c r="BN210" t="n">
        <v>-0.5</v>
      </c>
      <c r="BO210" t="n">
        <v>0.017</v>
      </c>
      <c r="BP210" t="n">
        <v>26</v>
      </c>
      <c r="BQ210" t="n">
        <v>8</v>
      </c>
      <c r="BR210" t="n">
        <v>2</v>
      </c>
      <c r="BS210" t="n">
        <v>46</v>
      </c>
      <c r="BT210" t="n">
        <v>2.951</v>
      </c>
      <c r="BU210" t="n">
        <v>1</v>
      </c>
      <c r="BW210" t="n">
        <v>0.85</v>
      </c>
      <c r="BX210" t="n">
        <v>0.645</v>
      </c>
      <c r="BY210" t="n">
        <v>0.747</v>
      </c>
      <c r="BZ210" t="n">
        <v>0.048</v>
      </c>
      <c r="CA210" t="n">
        <v>4.009</v>
      </c>
      <c r="CB210" t="n">
        <v>0.257</v>
      </c>
      <c r="CC210" t="n">
        <v>7</v>
      </c>
      <c r="CD210" t="n">
        <v>1</v>
      </c>
      <c r="CE210" t="n">
        <v>7</v>
      </c>
      <c r="CF210" t="n">
        <v>4</v>
      </c>
      <c r="CG210" t="n">
        <v>2</v>
      </c>
      <c r="CI210" t="n">
        <v>4.116</v>
      </c>
      <c r="CJ210" t="n">
        <v>1.881</v>
      </c>
      <c r="CK210" t="n">
        <v>17</v>
      </c>
      <c r="CL210" t="n">
        <v>48</v>
      </c>
      <c r="CM210" t="n">
        <v>14</v>
      </c>
      <c r="CN210" t="n">
        <v>7</v>
      </c>
      <c r="CO210" t="n">
        <v>4</v>
      </c>
      <c r="CP210" t="n">
        <v>13</v>
      </c>
      <c r="CR210" t="n">
        <v>58</v>
      </c>
      <c r="CS210" t="n">
        <v>11</v>
      </c>
      <c r="CT210" t="n">
        <v>0.6</v>
      </c>
      <c r="CV210" t="n">
        <v>1</v>
      </c>
      <c r="CW210" t="n">
        <v>21.52</v>
      </c>
      <c r="CX210" t="n">
        <v>1.38</v>
      </c>
      <c r="CY210" t="n">
        <v>0</v>
      </c>
      <c r="DB210" t="n">
        <v>0</v>
      </c>
      <c r="DE210" t="n">
        <v>6.65</v>
      </c>
      <c r="DF210" t="n">
        <v>6</v>
      </c>
      <c r="DG210" t="n">
        <v>0</v>
      </c>
      <c r="DH210" t="n">
        <v>20</v>
      </c>
      <c r="DI210" t="n">
        <v>27</v>
      </c>
      <c r="DJ210" t="n">
        <v>1</v>
      </c>
      <c r="DL210" t="n">
        <v>6</v>
      </c>
      <c r="DM210" t="n">
        <v>14</v>
      </c>
      <c r="DN210" t="n">
        <v>3</v>
      </c>
      <c r="DO210" t="n">
        <v>0.1</v>
      </c>
      <c r="DP210" t="n">
        <v>70.40000000000001</v>
      </c>
      <c r="DQ210" t="n">
        <v>35.2</v>
      </c>
      <c r="DR210" t="n">
        <v>70.40000000000001</v>
      </c>
      <c r="DS210" t="n">
        <v>0</v>
      </c>
      <c r="DT210" t="n">
        <v>1602</v>
      </c>
      <c r="DU210" t="n">
        <v>42.15</v>
      </c>
      <c r="DV210" t="inlineStr">
        <is>
          <t>flat</t>
        </is>
      </c>
      <c r="DW210" t="n">
        <v>82.16</v>
      </c>
      <c r="DY210" t="n">
        <v>24.42</v>
      </c>
      <c r="DZ210" t="n">
        <v>50.4</v>
      </c>
      <c r="EA210" t="n">
        <v>102</v>
      </c>
      <c r="EB210" t="n">
        <v>4</v>
      </c>
      <c r="EC210" t="n">
        <v>1.9</v>
      </c>
      <c r="ED210" t="n">
        <v>0</v>
      </c>
      <c r="EE210" t="n">
        <v>160</v>
      </c>
      <c r="EF210" t="n">
        <v>54</v>
      </c>
      <c r="EG210" t="n">
        <v>30.5</v>
      </c>
      <c r="EH210" t="n">
        <v>200.4</v>
      </c>
      <c r="EI210" t="n">
        <v>430.2</v>
      </c>
      <c r="EJ210" t="n">
        <v>1877.2</v>
      </c>
      <c r="EK210" t="n">
        <v>350</v>
      </c>
      <c r="EL210" t="n">
        <v>21.6</v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n">
        <v>6</v>
      </c>
      <c r="F211" t="b">
        <v>1</v>
      </c>
      <c r="G211" t="b">
        <v>1</v>
      </c>
      <c r="H211" t="n">
        <v>25.2</v>
      </c>
      <c r="I211" t="inlineStr">
        <is>
          <t>a</t>
        </is>
      </c>
      <c r="L211" t="inlineStr">
        <is>
          <t>p242898</t>
        </is>
      </c>
      <c r="M211" t="n">
        <v>209</v>
      </c>
      <c r="Q211" t="n">
        <v>1710</v>
      </c>
      <c r="R211" t="n">
        <v>34</v>
      </c>
      <c r="S211" t="n">
        <v>19</v>
      </c>
      <c r="T211" t="n">
        <v>19</v>
      </c>
      <c r="U211" t="n">
        <v>50.3</v>
      </c>
      <c r="V211" t="n">
        <v>65</v>
      </c>
      <c r="W211" t="n">
        <v>3.421</v>
      </c>
      <c r="X211" t="n">
        <v>2</v>
      </c>
      <c r="Y211" t="n">
        <v>1</v>
      </c>
      <c r="Z211" t="n">
        <v>1</v>
      </c>
      <c r="AA211" t="n">
        <v>6</v>
      </c>
      <c r="AB211" t="n">
        <v>24</v>
      </c>
      <c r="AC211" t="n">
        <v>2</v>
      </c>
      <c r="AD211" t="n">
        <v>2</v>
      </c>
      <c r="AE211" t="n">
        <v>0</v>
      </c>
      <c r="AF211" t="n">
        <v>217</v>
      </c>
      <c r="AG211" t="n">
        <v>210</v>
      </c>
      <c r="AH211" t="n">
        <v>-7</v>
      </c>
      <c r="AI211" t="n">
        <v>65</v>
      </c>
      <c r="AJ211" t="n">
        <v>0.031</v>
      </c>
      <c r="AK211" t="n">
        <v>0.032</v>
      </c>
      <c r="AL211" t="n">
        <v>121</v>
      </c>
      <c r="AM211" t="n">
        <v>6.368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0.5</v>
      </c>
      <c r="AT211" t="n">
        <v>0.471</v>
      </c>
      <c r="AU211" t="n">
        <v>30</v>
      </c>
      <c r="AV211" t="n">
        <v>0</v>
      </c>
      <c r="AW211" t="n">
        <v>1.81</v>
      </c>
      <c r="AX211" t="n">
        <v>9</v>
      </c>
      <c r="AY211" t="n">
        <v>2.45</v>
      </c>
      <c r="AZ211" t="n">
        <v>2.593</v>
      </c>
      <c r="BA211" t="n">
        <v>2.522</v>
      </c>
      <c r="BB211" t="n">
        <v>2.593</v>
      </c>
      <c r="BC211" t="n">
        <v>0.129</v>
      </c>
      <c r="BD211" t="n">
        <v>0.136</v>
      </c>
      <c r="BE211" t="n">
        <v>0.133</v>
      </c>
      <c r="BF211" t="n">
        <v>1.6</v>
      </c>
      <c r="BG211" t="n">
        <v>0.08400000000000001</v>
      </c>
      <c r="BH211" t="n">
        <v>0.926</v>
      </c>
      <c r="BI211" t="n">
        <v>31.95</v>
      </c>
      <c r="BJ211" t="n">
        <v>2.269</v>
      </c>
      <c r="BK211" t="n">
        <v>0.119</v>
      </c>
      <c r="BL211" t="n">
        <v>-0.522</v>
      </c>
      <c r="BM211" t="n">
        <v>-0.85</v>
      </c>
      <c r="BN211" t="n">
        <v>0.4</v>
      </c>
      <c r="BO211" t="n">
        <v>-0.143</v>
      </c>
      <c r="BP211" t="n">
        <v>23</v>
      </c>
      <c r="BQ211" t="n">
        <v>5</v>
      </c>
      <c r="BR211" t="n">
        <v>2</v>
      </c>
      <c r="BS211" t="n">
        <v>59</v>
      </c>
      <c r="BT211" t="n">
        <v>3.105</v>
      </c>
      <c r="BW211" t="n">
        <v>1.31</v>
      </c>
      <c r="BX211" t="n">
        <v>1.281</v>
      </c>
      <c r="BY211" t="n">
        <v>1.296</v>
      </c>
      <c r="BZ211" t="n">
        <v>0.068</v>
      </c>
      <c r="CA211" t="n">
        <v>3.817</v>
      </c>
      <c r="CB211" t="n">
        <v>0.201</v>
      </c>
      <c r="CC211" t="n">
        <v>19</v>
      </c>
      <c r="CD211" t="n">
        <v>1</v>
      </c>
      <c r="CE211" t="n">
        <v>19</v>
      </c>
      <c r="CF211" t="n">
        <v>18</v>
      </c>
      <c r="CH211" t="n">
        <v>23</v>
      </c>
      <c r="CI211" t="n">
        <v>5.24</v>
      </c>
      <c r="CJ211" t="n">
        <v>1.934</v>
      </c>
      <c r="CK211" t="n">
        <v>37</v>
      </c>
      <c r="CL211" t="n">
        <v>55</v>
      </c>
      <c r="CM211" t="n">
        <v>29</v>
      </c>
      <c r="CN211" t="n">
        <v>18</v>
      </c>
      <c r="CO211" t="n">
        <v>4</v>
      </c>
      <c r="CP211" t="n">
        <v>32</v>
      </c>
      <c r="CQ211" t="n">
        <v>1</v>
      </c>
      <c r="CR211" t="n">
        <v>67</v>
      </c>
      <c r="CS211" t="n">
        <v>16</v>
      </c>
      <c r="CT211" t="n">
        <v>0.6</v>
      </c>
      <c r="CV211" t="n">
        <v>1</v>
      </c>
      <c r="CW211" t="n">
        <v>28.29</v>
      </c>
      <c r="CX211" t="n">
        <v>1.489</v>
      </c>
      <c r="CY211" t="n">
        <v>0</v>
      </c>
      <c r="DB211" t="n">
        <v>0</v>
      </c>
      <c r="DE211" t="n">
        <v>6.57</v>
      </c>
      <c r="DF211" t="n">
        <v>6</v>
      </c>
      <c r="DG211" t="n">
        <v>0</v>
      </c>
      <c r="DH211" t="n">
        <v>20</v>
      </c>
      <c r="DI211" t="n">
        <v>15</v>
      </c>
      <c r="DK211" t="n">
        <v>0</v>
      </c>
      <c r="DL211" t="n">
        <v>9</v>
      </c>
      <c r="DM211" t="n">
        <v>12</v>
      </c>
      <c r="DN211" t="n">
        <v>14</v>
      </c>
      <c r="DO211" t="n">
        <v>0.2</v>
      </c>
      <c r="DP211" t="n">
        <v>53.82</v>
      </c>
      <c r="DQ211" t="n">
        <v>27.03</v>
      </c>
      <c r="DR211" t="n">
        <v>54.06</v>
      </c>
      <c r="DS211" t="n">
        <v>-0.24</v>
      </c>
      <c r="DT211" t="n">
        <v>1082</v>
      </c>
      <c r="DU211" t="n">
        <v>28.48</v>
      </c>
      <c r="DV211" t="inlineStr">
        <is>
          <t>flat</t>
        </is>
      </c>
      <c r="DW211" t="n">
        <v>87.81</v>
      </c>
      <c r="DX211" t="n">
        <v>97</v>
      </c>
      <c r="DY211" t="n">
        <v>18.95</v>
      </c>
      <c r="DZ211" t="n">
        <v>53.33</v>
      </c>
      <c r="EA211" t="n">
        <v>114.67</v>
      </c>
      <c r="EB211" t="n">
        <v>18</v>
      </c>
      <c r="EC211" t="n">
        <v>8.699999999999999</v>
      </c>
      <c r="ED211" t="n">
        <v>14.3</v>
      </c>
      <c r="EE211" t="n">
        <v>95</v>
      </c>
      <c r="EF211" t="n">
        <v>74.3</v>
      </c>
      <c r="EG211" t="n">
        <v>29</v>
      </c>
      <c r="EH211" t="n">
        <v>90</v>
      </c>
      <c r="EI211" t="n">
        <v>678.1</v>
      </c>
      <c r="EJ211" t="n">
        <v>1319.9</v>
      </c>
      <c r="EK211" t="n">
        <v>448</v>
      </c>
      <c r="EL211" t="n">
        <v>26.3</v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n">
        <v>5</v>
      </c>
      <c r="F212" t="b">
        <v>1</v>
      </c>
      <c r="G212" t="b">
        <v>1</v>
      </c>
      <c r="H212" t="n">
        <v>25.7</v>
      </c>
      <c r="I212" t="inlineStr">
        <is>
          <t>s</t>
        </is>
      </c>
      <c r="J212" t="inlineStr">
        <is>
          <t>Suspended until 6 Sep</t>
        </is>
      </c>
      <c r="K212" t="n">
        <v>0</v>
      </c>
      <c r="L212" t="inlineStr">
        <is>
          <t>p444463</t>
        </is>
      </c>
      <c r="M212" t="n">
        <v>145</v>
      </c>
      <c r="Q212" t="n">
        <v>1718</v>
      </c>
      <c r="R212" t="n">
        <v>25</v>
      </c>
      <c r="S212" t="n">
        <v>20</v>
      </c>
      <c r="T212" t="n">
        <v>19.089</v>
      </c>
      <c r="U212" t="n">
        <v>68.7</v>
      </c>
      <c r="V212" t="n">
        <v>65</v>
      </c>
      <c r="W212" t="n">
        <v>3.405</v>
      </c>
      <c r="X212" t="n">
        <v>0</v>
      </c>
      <c r="Y212" t="n">
        <v>2</v>
      </c>
      <c r="Z212" t="n">
        <v>1</v>
      </c>
      <c r="AA212" t="n">
        <v>4</v>
      </c>
      <c r="AB212" t="n">
        <v>25</v>
      </c>
      <c r="AC212" t="n">
        <v>3</v>
      </c>
      <c r="AD212" t="n">
        <v>2</v>
      </c>
      <c r="AE212" t="n">
        <v>-1</v>
      </c>
      <c r="AF212" t="n">
        <v>288</v>
      </c>
      <c r="AG212" t="n">
        <v>255</v>
      </c>
      <c r="AH212" t="n">
        <v>-33</v>
      </c>
      <c r="AI212" t="n">
        <v>64</v>
      </c>
      <c r="AJ212" t="n">
        <v>0.046</v>
      </c>
      <c r="AK212" t="n">
        <v>0.048</v>
      </c>
      <c r="AL212" t="n">
        <v>206</v>
      </c>
      <c r="AM212" t="n">
        <v>10.792</v>
      </c>
      <c r="AN212" t="n">
        <v>7</v>
      </c>
      <c r="AO212" t="n">
        <v>14</v>
      </c>
      <c r="AP212" t="n">
        <v>0.35</v>
      </c>
      <c r="AQ212" t="n">
        <v>0.35</v>
      </c>
      <c r="AR212" t="n">
        <v>0.3</v>
      </c>
      <c r="AS212" t="n">
        <v>0.526</v>
      </c>
      <c r="AT212" t="n">
        <v>0.72</v>
      </c>
      <c r="AU212" t="n">
        <v>15</v>
      </c>
      <c r="AV212" t="n">
        <v>0</v>
      </c>
      <c r="AW212" t="n">
        <v>2.54</v>
      </c>
      <c r="AX212" t="n">
        <v>9</v>
      </c>
      <c r="AY212" t="n">
        <v>0.72</v>
      </c>
      <c r="AZ212" t="n">
        <v>0.54</v>
      </c>
      <c r="BA212" t="n">
        <v>0.63</v>
      </c>
      <c r="BB212" t="n">
        <v>0.54</v>
      </c>
      <c r="BC212" t="n">
        <v>0.038</v>
      </c>
      <c r="BD212" t="n">
        <v>0.028</v>
      </c>
      <c r="BE212" t="n">
        <v>0.033</v>
      </c>
      <c r="BF212" t="n">
        <v>0.1</v>
      </c>
      <c r="BG212" t="n">
        <v>0.005</v>
      </c>
      <c r="BH212" t="n">
        <v>0.889</v>
      </c>
      <c r="BI212" t="n">
        <v>1.9</v>
      </c>
      <c r="BJ212" t="n">
        <v>0.64</v>
      </c>
      <c r="BK212" t="n">
        <v>0.034</v>
      </c>
      <c r="BL212" t="n">
        <v>-0.63</v>
      </c>
      <c r="BM212" t="n">
        <v>-0.62</v>
      </c>
      <c r="BN212" t="n">
        <v>-0.1</v>
      </c>
      <c r="BO212" t="n">
        <v>0.18</v>
      </c>
      <c r="BP212" t="n">
        <v>8</v>
      </c>
      <c r="BQ212" t="n">
        <v>1</v>
      </c>
      <c r="BS212" t="n">
        <v>16</v>
      </c>
      <c r="BT212" t="n">
        <v>0.838</v>
      </c>
      <c r="BW212" t="n">
        <v>0.6</v>
      </c>
      <c r="BX212" t="n">
        <v>0.659</v>
      </c>
      <c r="BY212" t="n">
        <v>0.629</v>
      </c>
      <c r="BZ212" t="n">
        <v>0.033</v>
      </c>
      <c r="CA212" t="n">
        <v>1.259</v>
      </c>
      <c r="CB212" t="n">
        <v>0.066</v>
      </c>
      <c r="CC212" t="n">
        <v>3</v>
      </c>
      <c r="CD212" t="n">
        <v>1</v>
      </c>
      <c r="CE212" t="n">
        <v>3</v>
      </c>
      <c r="CF212" t="n">
        <v>1</v>
      </c>
      <c r="CI212" t="n">
        <v>8.766</v>
      </c>
      <c r="CJ212" t="n">
        <v>8.734999999999999</v>
      </c>
      <c r="CK212" t="n">
        <v>187</v>
      </c>
      <c r="CL212" t="n">
        <v>81</v>
      </c>
      <c r="CM212" t="n">
        <v>19</v>
      </c>
      <c r="CN212" t="n">
        <v>10</v>
      </c>
      <c r="CO212" t="n">
        <v>40</v>
      </c>
      <c r="CP212" t="n">
        <v>129</v>
      </c>
      <c r="CQ212" t="n">
        <v>19</v>
      </c>
      <c r="CR212" t="n">
        <v>114</v>
      </c>
      <c r="CS212" t="n">
        <v>69</v>
      </c>
      <c r="CT212" t="n">
        <v>0.1</v>
      </c>
      <c r="CV212" t="n">
        <v>1</v>
      </c>
      <c r="CW212" t="n">
        <v>25.81</v>
      </c>
      <c r="CX212" t="n">
        <v>1.352</v>
      </c>
      <c r="CY212" t="n">
        <v>0</v>
      </c>
      <c r="DB212" t="n">
        <v>0</v>
      </c>
      <c r="DE212" t="n">
        <v>6.86</v>
      </c>
      <c r="DF212" t="n">
        <v>5</v>
      </c>
      <c r="DG212" t="n">
        <v>2</v>
      </c>
      <c r="DH212" t="n">
        <v>27</v>
      </c>
      <c r="DI212" t="n">
        <v>17</v>
      </c>
      <c r="DL212" t="n">
        <v>10</v>
      </c>
      <c r="DM212" t="n">
        <v>5</v>
      </c>
      <c r="DN212" t="n">
        <v>1</v>
      </c>
      <c r="DO212" t="n">
        <v>0</v>
      </c>
      <c r="DP212" t="n">
        <v>73.06</v>
      </c>
      <c r="DQ212" t="n">
        <v>34.5</v>
      </c>
      <c r="DR212" t="n">
        <v>69</v>
      </c>
      <c r="DS212" t="n">
        <v>4.06</v>
      </c>
      <c r="DT212" t="n">
        <v>1693</v>
      </c>
      <c r="DU212" t="n">
        <v>44.55</v>
      </c>
      <c r="DV212" t="inlineStr">
        <is>
          <t>flat</t>
        </is>
      </c>
      <c r="DW212" t="n">
        <v>119</v>
      </c>
      <c r="DY212" t="n">
        <v>1.41</v>
      </c>
      <c r="DZ212" t="n">
        <v>118</v>
      </c>
      <c r="EA212" t="n">
        <v>120</v>
      </c>
      <c r="EB212" t="n">
        <v>2</v>
      </c>
      <c r="EC212" t="n">
        <v>1</v>
      </c>
      <c r="ED212" t="n">
        <v>60</v>
      </c>
      <c r="EE212" t="n">
        <v>269</v>
      </c>
      <c r="EF212" t="n">
        <v>214.8</v>
      </c>
      <c r="EG212" t="n">
        <v>107.4</v>
      </c>
      <c r="EH212" t="n">
        <v>572.7</v>
      </c>
      <c r="EI212" t="n">
        <v>2726.6</v>
      </c>
      <c r="EJ212" t="n">
        <v>2730.2</v>
      </c>
      <c r="EK212" t="n">
        <v>1364.2</v>
      </c>
      <c r="EL212" t="n">
        <v>26.4</v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n">
        <v>4.5</v>
      </c>
      <c r="F213" t="b">
        <v>1</v>
      </c>
      <c r="G213" t="b">
        <v>1</v>
      </c>
      <c r="H213" t="n">
        <v>29</v>
      </c>
      <c r="I213" t="inlineStr">
        <is>
          <t>a</t>
        </is>
      </c>
      <c r="L213" t="inlineStr">
        <is>
          <t>p169528</t>
        </is>
      </c>
      <c r="M213" t="n">
        <v>254</v>
      </c>
      <c r="N213" t="n">
        <v>2</v>
      </c>
      <c r="Q213" t="n">
        <v>1487</v>
      </c>
      <c r="R213" t="n">
        <v>22</v>
      </c>
      <c r="S213" t="n">
        <v>17</v>
      </c>
      <c r="T213" t="n">
        <v>16.522</v>
      </c>
      <c r="U213" t="n">
        <v>67.59999999999999</v>
      </c>
      <c r="V213" t="n">
        <v>65</v>
      </c>
      <c r="W213" t="n">
        <v>3.934</v>
      </c>
      <c r="X213" t="n">
        <v>1</v>
      </c>
      <c r="Y213" t="n">
        <v>0</v>
      </c>
      <c r="AA213" t="n">
        <v>4</v>
      </c>
      <c r="AB213" t="n">
        <v>19</v>
      </c>
      <c r="AC213" t="n">
        <v>7</v>
      </c>
      <c r="AD213" t="n">
        <v>7</v>
      </c>
      <c r="AE213" t="n">
        <v>0</v>
      </c>
      <c r="AF213" t="n">
        <v>280</v>
      </c>
      <c r="AG213" t="n">
        <v>264</v>
      </c>
      <c r="AH213" t="n">
        <v>-16</v>
      </c>
      <c r="AI213" t="n">
        <v>65</v>
      </c>
      <c r="AJ213" t="n">
        <v>0.108</v>
      </c>
      <c r="AK213" t="n">
        <v>0.121</v>
      </c>
      <c r="AL213" t="n">
        <v>136</v>
      </c>
      <c r="AM213" t="n">
        <v>8.231</v>
      </c>
      <c r="AN213" t="n">
        <v>4</v>
      </c>
      <c r="AO213" t="n">
        <v>8</v>
      </c>
      <c r="AP213" t="n">
        <v>0.235</v>
      </c>
      <c r="AQ213" t="n">
        <v>0.235</v>
      </c>
      <c r="AR213" t="n">
        <v>0.059</v>
      </c>
      <c r="AS213" t="n">
        <v>0.447</v>
      </c>
      <c r="AT213" t="n">
        <v>0.727</v>
      </c>
      <c r="AU213" t="n">
        <v>15</v>
      </c>
      <c r="AV213" t="n">
        <v>2</v>
      </c>
      <c r="AW213" t="n">
        <v>2.85</v>
      </c>
      <c r="AX213" t="n">
        <v>12</v>
      </c>
      <c r="AY213" t="n">
        <v>1.07</v>
      </c>
      <c r="AZ213" t="n">
        <v>0.977</v>
      </c>
      <c r="BA213" t="n">
        <v>1.024</v>
      </c>
      <c r="BB213" t="n">
        <v>0.216</v>
      </c>
      <c r="BC213" t="n">
        <v>0.065</v>
      </c>
      <c r="BD213" t="n">
        <v>0.059</v>
      </c>
      <c r="BE213" t="n">
        <v>0.062</v>
      </c>
      <c r="BF213" t="n">
        <v>0.8</v>
      </c>
      <c r="BG213" t="n">
        <v>0.048</v>
      </c>
      <c r="BH213" t="n">
        <v>1.008</v>
      </c>
      <c r="BI213" t="n">
        <v>2.52</v>
      </c>
      <c r="BJ213" t="n">
        <v>1.078</v>
      </c>
      <c r="BK213" t="n">
        <v>0.065</v>
      </c>
      <c r="BL213" t="n">
        <v>-0.024</v>
      </c>
      <c r="BM213" t="n">
        <v>-0.27</v>
      </c>
      <c r="BN213" t="n">
        <v>0.2</v>
      </c>
      <c r="BO213" t="n">
        <v>0.093</v>
      </c>
      <c r="BP213" t="n">
        <v>6</v>
      </c>
      <c r="BQ213" t="n">
        <v>1</v>
      </c>
      <c r="BS213" t="n">
        <v>28</v>
      </c>
      <c r="BT213" t="n">
        <v>1.695</v>
      </c>
      <c r="BU213" t="n">
        <v>1</v>
      </c>
      <c r="BW213" t="n">
        <v>1.58</v>
      </c>
      <c r="BX213" t="n">
        <v>1.09</v>
      </c>
      <c r="BY213" t="n">
        <v>1.335</v>
      </c>
      <c r="BZ213" t="n">
        <v>0.081</v>
      </c>
      <c r="CA213" t="n">
        <v>2.359</v>
      </c>
      <c r="CB213" t="n">
        <v>0.143</v>
      </c>
      <c r="CC213" t="n">
        <v>21</v>
      </c>
      <c r="CD213" t="n">
        <v>1</v>
      </c>
      <c r="CE213" t="n">
        <v>22</v>
      </c>
      <c r="CF213" t="n">
        <v>14</v>
      </c>
      <c r="CG213" t="n">
        <v>1</v>
      </c>
      <c r="CI213" t="n">
        <v>4.561</v>
      </c>
      <c r="CJ213" t="n">
        <v>3.849</v>
      </c>
      <c r="CK213" t="n">
        <v>88</v>
      </c>
      <c r="CL213" t="n">
        <v>98</v>
      </c>
      <c r="CM213" t="n">
        <v>48</v>
      </c>
      <c r="CN213" t="n">
        <v>30</v>
      </c>
      <c r="CO213" t="n">
        <v>29</v>
      </c>
      <c r="CP213" t="n">
        <v>55</v>
      </c>
      <c r="CQ213" t="n">
        <v>3</v>
      </c>
      <c r="CR213" t="n">
        <v>87</v>
      </c>
      <c r="CS213" t="n">
        <v>18</v>
      </c>
      <c r="CT213" t="n">
        <v>0.1</v>
      </c>
      <c r="CV213" t="n">
        <v>1</v>
      </c>
      <c r="CW213" t="n">
        <v>24.12</v>
      </c>
      <c r="CX213" t="n">
        <v>1.46</v>
      </c>
      <c r="CY213" t="n">
        <v>0</v>
      </c>
      <c r="DB213" t="n">
        <v>0</v>
      </c>
      <c r="DE213" t="n">
        <v>7.16</v>
      </c>
      <c r="DF213" t="n">
        <v>5</v>
      </c>
      <c r="DG213" t="n">
        <v>0</v>
      </c>
      <c r="DH213" t="n">
        <v>15</v>
      </c>
      <c r="DI213" t="n">
        <v>9</v>
      </c>
      <c r="DL213" t="n">
        <v>12</v>
      </c>
      <c r="DM213" t="n">
        <v>7</v>
      </c>
      <c r="DN213" t="n">
        <v>2</v>
      </c>
      <c r="DO213" t="n">
        <v>2.4</v>
      </c>
      <c r="DP213" t="n">
        <v>81.69</v>
      </c>
      <c r="DQ213" t="n">
        <v>40.85</v>
      </c>
      <c r="DR213" t="n">
        <v>81.7</v>
      </c>
      <c r="DS213" t="n">
        <v>-0.01</v>
      </c>
      <c r="DT213" t="n">
        <v>1887</v>
      </c>
      <c r="DU213" t="n">
        <v>49.65</v>
      </c>
      <c r="DV213" t="inlineStr">
        <is>
          <t>flat</t>
        </is>
      </c>
      <c r="DW213" t="n">
        <v>90.39</v>
      </c>
      <c r="DX213" t="n">
        <v>61</v>
      </c>
      <c r="DY213" t="n">
        <v>18.64</v>
      </c>
      <c r="DZ213" t="n">
        <v>33.6</v>
      </c>
      <c r="EA213" t="n">
        <v>117.33</v>
      </c>
      <c r="EB213" t="n">
        <v>40</v>
      </c>
      <c r="EC213" t="n">
        <v>19.2</v>
      </c>
      <c r="ED213" t="n">
        <v>7</v>
      </c>
      <c r="EE213" t="n">
        <v>417</v>
      </c>
      <c r="EF213" t="n">
        <v>247.8</v>
      </c>
      <c r="EG213" t="n">
        <v>53.1</v>
      </c>
      <c r="EH213" t="n">
        <v>67.59999999999999</v>
      </c>
      <c r="EI213" t="n">
        <v>1452.7</v>
      </c>
      <c r="EJ213" t="n">
        <v>1113.8</v>
      </c>
      <c r="EK213" t="n">
        <v>630.4</v>
      </c>
      <c r="EL213" t="n">
        <v>22.9</v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n">
        <v>4.5</v>
      </c>
      <c r="F214" t="b">
        <v>1</v>
      </c>
      <c r="G214" t="b">
        <v>1</v>
      </c>
      <c r="H214" t="n">
        <v>29.6</v>
      </c>
      <c r="I214" t="inlineStr">
        <is>
          <t>a</t>
        </is>
      </c>
      <c r="L214" t="inlineStr">
        <is>
          <t>p244954</t>
        </is>
      </c>
      <c r="M214" t="n">
        <v>34</v>
      </c>
      <c r="Q214" t="n">
        <v>1673</v>
      </c>
      <c r="R214" t="n">
        <v>21</v>
      </c>
      <c r="S214" t="n">
        <v>18</v>
      </c>
      <c r="T214" t="n">
        <v>18.589</v>
      </c>
      <c r="U214" t="n">
        <v>79.7</v>
      </c>
      <c r="V214" t="n">
        <v>64</v>
      </c>
      <c r="W214" t="n">
        <v>3.443</v>
      </c>
      <c r="X214" t="n">
        <v>0</v>
      </c>
      <c r="Y214" t="n">
        <v>2</v>
      </c>
      <c r="AA214" t="n">
        <v>5</v>
      </c>
      <c r="AB214" t="n">
        <v>19</v>
      </c>
      <c r="AC214" t="n">
        <v>2</v>
      </c>
      <c r="AD214" t="n">
        <v>2</v>
      </c>
      <c r="AE214" t="n">
        <v>0</v>
      </c>
      <c r="AF214" t="n">
        <v>280</v>
      </c>
      <c r="AG214" t="n">
        <v>265</v>
      </c>
      <c r="AH214" t="n">
        <v>-15</v>
      </c>
      <c r="AI214" t="n">
        <v>64</v>
      </c>
      <c r="AJ214" t="n">
        <v>0.031</v>
      </c>
      <c r="AK214" t="n">
        <v>0.032</v>
      </c>
      <c r="AL214" t="n">
        <v>112</v>
      </c>
      <c r="AM214" t="n">
        <v>6.025</v>
      </c>
      <c r="AN214" t="n">
        <v>2</v>
      </c>
      <c r="AO214" t="n">
        <v>4</v>
      </c>
      <c r="AP214" t="n">
        <v>0.111</v>
      </c>
      <c r="AQ214" t="n">
        <v>0.111</v>
      </c>
      <c r="AR214" t="n">
        <v>0.056</v>
      </c>
      <c r="AS214" t="n">
        <v>0.474</v>
      </c>
      <c r="AT214" t="n">
        <v>0.857</v>
      </c>
      <c r="AU214" t="n">
        <v>12</v>
      </c>
      <c r="AV214" t="n">
        <v>0</v>
      </c>
      <c r="AW214" t="n">
        <v>2.33</v>
      </c>
      <c r="AX214" t="n">
        <v>8</v>
      </c>
      <c r="AY214" t="n">
        <v>1.33</v>
      </c>
      <c r="AZ214" t="n">
        <v>1.583</v>
      </c>
      <c r="BA214" t="n">
        <v>1.456</v>
      </c>
      <c r="BB214" t="n">
        <v>1.583</v>
      </c>
      <c r="BC214" t="n">
        <v>0.07199999999999999</v>
      </c>
      <c r="BD214" t="n">
        <v>0.08500000000000001</v>
      </c>
      <c r="BE214" t="n">
        <v>0.078</v>
      </c>
      <c r="BF214" t="n">
        <v>0.5</v>
      </c>
      <c r="BG214" t="n">
        <v>0.027</v>
      </c>
      <c r="BH214" t="n">
        <v>0.9350000000000001</v>
      </c>
      <c r="BI214" t="n">
        <v>2.8</v>
      </c>
      <c r="BJ214" t="n">
        <v>1.244</v>
      </c>
      <c r="BK214" t="n">
        <v>0.067</v>
      </c>
      <c r="BL214" t="n">
        <v>-1.456</v>
      </c>
      <c r="BM214" t="n">
        <v>-0.83</v>
      </c>
      <c r="BN214" t="n">
        <v>-0.5</v>
      </c>
      <c r="BO214" t="n">
        <v>-0.253</v>
      </c>
      <c r="BP214" t="n">
        <v>9</v>
      </c>
      <c r="BQ214" t="n">
        <v>1</v>
      </c>
      <c r="BR214" t="n">
        <v>2</v>
      </c>
      <c r="BS214" t="n">
        <v>16</v>
      </c>
      <c r="BT214" t="n">
        <v>0.861</v>
      </c>
      <c r="BW214" t="n">
        <v>0.39</v>
      </c>
      <c r="BX214" t="n">
        <v>0.007</v>
      </c>
      <c r="BY214" t="n">
        <v>0.198</v>
      </c>
      <c r="BZ214" t="n">
        <v>0.011</v>
      </c>
      <c r="CA214" t="n">
        <v>1.655</v>
      </c>
      <c r="CB214" t="n">
        <v>0.089</v>
      </c>
      <c r="CC214" t="n">
        <v>1</v>
      </c>
      <c r="CE214" t="n">
        <v>1</v>
      </c>
      <c r="CI214" t="n">
        <v>4.504</v>
      </c>
      <c r="CJ214" t="n">
        <v>4.429</v>
      </c>
      <c r="CK214" t="n">
        <v>90</v>
      </c>
      <c r="CL214" t="n">
        <v>79</v>
      </c>
      <c r="CM214" t="n">
        <v>22</v>
      </c>
      <c r="CN214" t="n">
        <v>14</v>
      </c>
      <c r="CO214" t="n">
        <v>11</v>
      </c>
      <c r="CP214" t="n">
        <v>61</v>
      </c>
      <c r="CQ214" t="n">
        <v>18</v>
      </c>
      <c r="CR214" t="n">
        <v>59</v>
      </c>
      <c r="CS214" t="n">
        <v>25</v>
      </c>
      <c r="CT214" t="n">
        <v>0.2</v>
      </c>
      <c r="CU214" t="n">
        <v>2</v>
      </c>
      <c r="CV214" t="n">
        <v>2</v>
      </c>
      <c r="CW214" t="n">
        <v>22.81</v>
      </c>
      <c r="CX214" t="n">
        <v>1.227</v>
      </c>
      <c r="CY214" t="n">
        <v>0</v>
      </c>
      <c r="DB214" t="n">
        <v>0</v>
      </c>
      <c r="DE214" t="n">
        <v>6.75</v>
      </c>
      <c r="DF214" t="n">
        <v>1</v>
      </c>
      <c r="DG214" t="n">
        <v>0</v>
      </c>
      <c r="DH214" t="n">
        <v>7</v>
      </c>
      <c r="DI214" t="n">
        <v>5</v>
      </c>
      <c r="DL214" t="n">
        <v>7</v>
      </c>
      <c r="DM214" t="n">
        <v>4</v>
      </c>
      <c r="DO214" t="n">
        <v>0.3</v>
      </c>
      <c r="DP214" t="n">
        <v>71.34</v>
      </c>
      <c r="DQ214" t="n">
        <v>35.7</v>
      </c>
      <c r="DR214" t="n">
        <v>71.40000000000001</v>
      </c>
      <c r="DS214" t="n">
        <v>-0.06</v>
      </c>
      <c r="DT214" t="n">
        <v>1955</v>
      </c>
      <c r="DU214" t="n">
        <v>51.45</v>
      </c>
      <c r="DV214" t="inlineStr">
        <is>
          <t>flat</t>
        </is>
      </c>
      <c r="DW214" t="n">
        <v>108.33</v>
      </c>
      <c r="DX214" t="n">
        <v>104</v>
      </c>
      <c r="DY214" t="n">
        <v>11.69</v>
      </c>
      <c r="DZ214" t="n">
        <v>90</v>
      </c>
      <c r="EA214" t="n">
        <v>119</v>
      </c>
      <c r="EB214" t="n">
        <v>5</v>
      </c>
      <c r="EC214" t="n">
        <v>2.4</v>
      </c>
      <c r="ED214" t="n">
        <v>16.7</v>
      </c>
      <c r="EE214" t="n">
        <v>418</v>
      </c>
      <c r="EF214" t="n">
        <v>185.9</v>
      </c>
      <c r="EG214" t="n">
        <v>104.6</v>
      </c>
      <c r="EH214" t="n">
        <v>1673</v>
      </c>
      <c r="EI214" t="n">
        <v>1148.8</v>
      </c>
      <c r="EJ214" t="n">
        <v>8430.5</v>
      </c>
      <c r="EK214" t="n">
        <v>1011</v>
      </c>
      <c r="EL214" t="n">
        <v>26.1</v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n">
        <v>5.5</v>
      </c>
      <c r="F215" t="b">
        <v>1</v>
      </c>
      <c r="G215" t="b">
        <v>1</v>
      </c>
      <c r="H215" t="n">
        <v>24.6</v>
      </c>
      <c r="I215" t="inlineStr">
        <is>
          <t>a</t>
        </is>
      </c>
      <c r="L215" t="inlineStr">
        <is>
          <t>p465694</t>
        </is>
      </c>
      <c r="M215" t="n">
        <v>405</v>
      </c>
      <c r="Q215" t="n">
        <v>1561</v>
      </c>
      <c r="R215" t="n">
        <v>25</v>
      </c>
      <c r="S215" t="n">
        <v>17</v>
      </c>
      <c r="T215" t="n">
        <v>17.344</v>
      </c>
      <c r="U215" t="n">
        <v>62.4</v>
      </c>
      <c r="V215" t="n">
        <v>63</v>
      </c>
      <c r="W215" t="n">
        <v>3.632</v>
      </c>
      <c r="X215" t="n">
        <v>1</v>
      </c>
      <c r="Y215" t="n">
        <v>0</v>
      </c>
      <c r="AA215" t="n">
        <v>7</v>
      </c>
      <c r="AB215" t="n">
        <v>18</v>
      </c>
      <c r="AC215" t="n">
        <v>1</v>
      </c>
      <c r="AD215" t="n">
        <v>1</v>
      </c>
      <c r="AE215" t="n">
        <v>0</v>
      </c>
      <c r="AF215" t="n">
        <v>337</v>
      </c>
      <c r="AG215" t="n">
        <v>322</v>
      </c>
      <c r="AH215" t="n">
        <v>-15</v>
      </c>
      <c r="AI215" t="n">
        <v>63</v>
      </c>
      <c r="AJ215" t="n">
        <v>0.016</v>
      </c>
      <c r="AK215" t="n">
        <v>0.016</v>
      </c>
      <c r="AL215" t="n">
        <v>206</v>
      </c>
      <c r="AM215" t="n">
        <v>11.877</v>
      </c>
      <c r="AN215" t="n">
        <v>7</v>
      </c>
      <c r="AO215" t="n">
        <v>14</v>
      </c>
      <c r="AP215" t="n">
        <v>0.412</v>
      </c>
      <c r="AQ215" t="n">
        <v>0.647</v>
      </c>
      <c r="AR215" t="n">
        <v>0.412</v>
      </c>
      <c r="AS215" t="n">
        <v>0.447</v>
      </c>
      <c r="AT215" t="n">
        <v>0.68</v>
      </c>
      <c r="AU215" t="n">
        <v>14</v>
      </c>
      <c r="AV215" t="n">
        <v>0</v>
      </c>
      <c r="AW215" t="n">
        <v>1.96</v>
      </c>
      <c r="AX215" t="n">
        <v>8</v>
      </c>
      <c r="AY215" t="n">
        <v>0.68</v>
      </c>
      <c r="AZ215" t="n">
        <v>0.609</v>
      </c>
      <c r="BA215" t="n">
        <v>0.644</v>
      </c>
      <c r="BB215" t="n">
        <v>0.609</v>
      </c>
      <c r="BC215" t="n">
        <v>0.039</v>
      </c>
      <c r="BD215" t="n">
        <v>0.035</v>
      </c>
      <c r="BE215" t="n">
        <v>0.037</v>
      </c>
      <c r="BF215" t="n">
        <v>0.3</v>
      </c>
      <c r="BG215" t="n">
        <v>0.017</v>
      </c>
      <c r="BH215" t="n">
        <v>0.975</v>
      </c>
      <c r="BI215" t="n">
        <v>1.13</v>
      </c>
      <c r="BJ215" t="n">
        <v>0.663</v>
      </c>
      <c r="BK215" t="n">
        <v>0.038</v>
      </c>
      <c r="BL215" t="n">
        <v>0.356</v>
      </c>
      <c r="BM215" t="n">
        <v>-0.38</v>
      </c>
      <c r="BN215" t="n">
        <v>0.7</v>
      </c>
      <c r="BO215" t="n">
        <v>0.07099999999999999</v>
      </c>
      <c r="BP215" t="n">
        <v>14</v>
      </c>
      <c r="BQ215" t="n">
        <v>2</v>
      </c>
      <c r="BS215" t="n">
        <v>17</v>
      </c>
      <c r="BT215" t="n">
        <v>0.98</v>
      </c>
      <c r="BW215" t="n">
        <v>1.12</v>
      </c>
      <c r="BX215" t="n">
        <v>0.889</v>
      </c>
      <c r="BY215" t="n">
        <v>1.004</v>
      </c>
      <c r="BZ215" t="n">
        <v>0.058</v>
      </c>
      <c r="CA215" t="n">
        <v>1.649</v>
      </c>
      <c r="CB215" t="n">
        <v>0.095</v>
      </c>
      <c r="CC215" t="n">
        <v>11</v>
      </c>
      <c r="CD215" t="n">
        <v>1</v>
      </c>
      <c r="CE215" t="n">
        <v>11</v>
      </c>
      <c r="CF215" t="n">
        <v>1</v>
      </c>
      <c r="CI215" t="n">
        <v>14.795</v>
      </c>
      <c r="CJ215" t="n">
        <v>14.173</v>
      </c>
      <c r="CK215" t="n">
        <v>74</v>
      </c>
      <c r="CL215" t="n">
        <v>90</v>
      </c>
      <c r="CM215" t="n">
        <v>42</v>
      </c>
      <c r="CN215" t="n">
        <v>30</v>
      </c>
      <c r="CO215" t="n">
        <v>24</v>
      </c>
      <c r="CP215" t="n">
        <v>44</v>
      </c>
      <c r="CQ215" t="n">
        <v>6</v>
      </c>
      <c r="CR215" t="n">
        <v>105</v>
      </c>
      <c r="CS215" t="n">
        <v>33</v>
      </c>
      <c r="CT215" t="n">
        <v>0.7</v>
      </c>
      <c r="CV215" t="n">
        <v>2</v>
      </c>
      <c r="CW215" t="n">
        <v>20.35</v>
      </c>
      <c r="CX215" t="n">
        <v>1.173</v>
      </c>
      <c r="CY215" t="n">
        <v>0</v>
      </c>
      <c r="DB215" t="n">
        <v>0</v>
      </c>
      <c r="DE215" t="n">
        <v>7.13</v>
      </c>
      <c r="DF215" t="n">
        <v>6</v>
      </c>
      <c r="DG215" t="n">
        <v>0</v>
      </c>
      <c r="DH215" t="n">
        <v>30</v>
      </c>
      <c r="DI215" t="n">
        <v>18</v>
      </c>
      <c r="DL215" t="n">
        <v>12</v>
      </c>
      <c r="DM215" t="n">
        <v>15</v>
      </c>
      <c r="DO215" t="n">
        <v>0.1</v>
      </c>
      <c r="DP215" t="n">
        <v>38.29</v>
      </c>
      <c r="DQ215" t="n">
        <v>22.46</v>
      </c>
      <c r="DR215" t="n">
        <v>44.92</v>
      </c>
      <c r="DS215" t="n">
        <v>-6.63</v>
      </c>
      <c r="DT215" t="n">
        <v>722</v>
      </c>
      <c r="DU215" t="n">
        <v>19</v>
      </c>
      <c r="DV215" t="inlineStr">
        <is>
          <t>fade (losing his place)</t>
        </is>
      </c>
      <c r="EF215" t="n">
        <v>111.5</v>
      </c>
      <c r="EG215" t="n">
        <v>91.8</v>
      </c>
      <c r="EH215" t="n">
        <v>141.9</v>
      </c>
      <c r="EI215" t="n">
        <v>2422.4</v>
      </c>
      <c r="EJ215" t="n">
        <v>1554.4</v>
      </c>
      <c r="EK215" t="n">
        <v>946.8</v>
      </c>
      <c r="EL215" t="n">
        <v>24.8</v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n">
        <v>5.5</v>
      </c>
      <c r="F216" t="b">
        <v>1</v>
      </c>
      <c r="G216" t="b">
        <v>1</v>
      </c>
      <c r="H216" t="n">
        <v>25.7</v>
      </c>
      <c r="I216" t="inlineStr">
        <is>
          <t>a</t>
        </is>
      </c>
      <c r="L216" t="inlineStr">
        <is>
          <t>p216094</t>
        </is>
      </c>
      <c r="M216" t="n">
        <v>357</v>
      </c>
      <c r="Q216" t="n">
        <v>1032</v>
      </c>
      <c r="R216" t="n">
        <v>21</v>
      </c>
      <c r="S216" t="n">
        <v>12</v>
      </c>
      <c r="T216" t="n">
        <v>11.467</v>
      </c>
      <c r="U216" t="n">
        <v>49.1</v>
      </c>
      <c r="V216" t="n">
        <v>63</v>
      </c>
      <c r="W216" t="n">
        <v>5.494</v>
      </c>
      <c r="X216" t="n">
        <v>0</v>
      </c>
      <c r="Y216" t="n">
        <v>5</v>
      </c>
      <c r="Z216" t="n">
        <v>1</v>
      </c>
      <c r="AA216" t="n">
        <v>5</v>
      </c>
      <c r="AB216" t="n">
        <v>13</v>
      </c>
      <c r="AC216" t="n">
        <v>1</v>
      </c>
      <c r="AD216" t="n">
        <v>1</v>
      </c>
      <c r="AE216" t="n">
        <v>0</v>
      </c>
      <c r="AF216" t="n">
        <v>237</v>
      </c>
      <c r="AG216" t="n">
        <v>234</v>
      </c>
      <c r="AH216" t="n">
        <v>-3</v>
      </c>
      <c r="AI216" t="n">
        <v>63</v>
      </c>
      <c r="AJ216" t="n">
        <v>0.016</v>
      </c>
      <c r="AK216" t="n">
        <v>0.016</v>
      </c>
      <c r="AL216" t="n">
        <v>30</v>
      </c>
      <c r="AM216" t="n">
        <v>2.616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0.316</v>
      </c>
      <c r="AT216" t="n">
        <v>0.476</v>
      </c>
      <c r="AU216" t="n">
        <v>11</v>
      </c>
      <c r="AV216" t="n">
        <v>0</v>
      </c>
      <c r="AW216" t="n">
        <v>2.28</v>
      </c>
      <c r="AX216" t="n">
        <v>7</v>
      </c>
      <c r="AY216" t="n">
        <v>0.5</v>
      </c>
      <c r="AZ216" t="n">
        <v>0.514</v>
      </c>
      <c r="BA216" t="n">
        <v>0.507</v>
      </c>
      <c r="BB216" t="n">
        <v>0.514</v>
      </c>
      <c r="BC216" t="n">
        <v>0.044</v>
      </c>
      <c r="BD216" t="n">
        <v>0.045</v>
      </c>
      <c r="BE216" t="n">
        <v>0.044</v>
      </c>
      <c r="BF216" t="n">
        <v>0.2</v>
      </c>
      <c r="BG216" t="n">
        <v>0.017</v>
      </c>
      <c r="BH216" t="n">
        <v>0.965</v>
      </c>
      <c r="BI216" t="n">
        <v>0.5</v>
      </c>
      <c r="BJ216" t="n">
        <v>0.482</v>
      </c>
      <c r="BK216" t="n">
        <v>0.042</v>
      </c>
      <c r="BL216" t="n">
        <v>-0.507</v>
      </c>
      <c r="BM216" t="n">
        <v>-0.3</v>
      </c>
      <c r="BN216" t="n">
        <v>-0.2</v>
      </c>
      <c r="BO216" t="n">
        <v>-0.014</v>
      </c>
      <c r="BP216" t="n">
        <v>10</v>
      </c>
      <c r="BQ216" t="n">
        <v>2</v>
      </c>
      <c r="BS216" t="n">
        <v>69</v>
      </c>
      <c r="BT216" t="n">
        <v>6.017</v>
      </c>
      <c r="BW216" t="n">
        <v>1.55</v>
      </c>
      <c r="BX216" t="n">
        <v>2.691</v>
      </c>
      <c r="BY216" t="n">
        <v>2.121</v>
      </c>
      <c r="BZ216" t="n">
        <v>0.185</v>
      </c>
      <c r="CA216" t="n">
        <v>2.628</v>
      </c>
      <c r="CB216" t="n">
        <v>0.229</v>
      </c>
      <c r="CC216" t="n">
        <v>15</v>
      </c>
      <c r="CD216" t="n">
        <v>5</v>
      </c>
      <c r="CE216" t="n">
        <v>15</v>
      </c>
      <c r="CF216" t="n">
        <v>11</v>
      </c>
      <c r="CI216" t="n">
        <v>5.955</v>
      </c>
      <c r="CJ216" t="n">
        <v>4.064</v>
      </c>
      <c r="CK216" t="n">
        <v>19</v>
      </c>
      <c r="CL216" t="n">
        <v>52</v>
      </c>
      <c r="CM216" t="n">
        <v>11</v>
      </c>
      <c r="CN216" t="n">
        <v>10</v>
      </c>
      <c r="CO216" t="n">
        <v>6</v>
      </c>
      <c r="CP216" t="n">
        <v>13</v>
      </c>
      <c r="CR216" t="n">
        <v>57</v>
      </c>
      <c r="CS216" t="n">
        <v>7</v>
      </c>
      <c r="CT216" t="n">
        <v>0.8</v>
      </c>
      <c r="CW216" t="n">
        <v>12.97</v>
      </c>
      <c r="CX216" t="n">
        <v>1.131</v>
      </c>
      <c r="CY216" t="n">
        <v>0</v>
      </c>
      <c r="DB216" t="n">
        <v>0</v>
      </c>
      <c r="DF216" t="n">
        <v>1</v>
      </c>
      <c r="DG216" t="n">
        <v>0</v>
      </c>
      <c r="DH216" t="n">
        <v>8</v>
      </c>
      <c r="DI216" t="n">
        <v>21</v>
      </c>
      <c r="DL216" t="n">
        <v>18</v>
      </c>
      <c r="DM216" t="n">
        <v>17</v>
      </c>
      <c r="DN216" t="n">
        <v>4</v>
      </c>
      <c r="DO216" t="n">
        <v>3</v>
      </c>
      <c r="DP216" t="n">
        <v>101.08</v>
      </c>
      <c r="DQ216" t="n">
        <v>53.15</v>
      </c>
      <c r="DR216" t="n">
        <v>106.3</v>
      </c>
      <c r="DS216" t="n">
        <v>-5.22</v>
      </c>
      <c r="DT216" t="n">
        <v>1699</v>
      </c>
      <c r="DU216" t="n">
        <v>44.7</v>
      </c>
      <c r="DV216" t="inlineStr">
        <is>
          <t>flat</t>
        </is>
      </c>
      <c r="DW216" t="n">
        <v>75.92</v>
      </c>
      <c r="DX216" t="n">
        <v>79.86</v>
      </c>
      <c r="DY216" t="n">
        <v>19.73</v>
      </c>
      <c r="DZ216" t="n">
        <v>31.2</v>
      </c>
      <c r="EA216" t="n">
        <v>117.71</v>
      </c>
      <c r="EB216" t="n">
        <v>157</v>
      </c>
      <c r="EC216" t="n">
        <v>75.5</v>
      </c>
      <c r="ED216" t="n">
        <v>17.4</v>
      </c>
      <c r="EE216" t="n">
        <v>162</v>
      </c>
      <c r="EF216" t="n">
        <v>103.2</v>
      </c>
      <c r="EG216" t="n">
        <v>15</v>
      </c>
      <c r="EH216" t="n">
        <v>68.8</v>
      </c>
      <c r="EI216" t="n">
        <v>2035.4</v>
      </c>
      <c r="EJ216" t="n">
        <v>486.6</v>
      </c>
      <c r="EK216" t="n">
        <v>392.7</v>
      </c>
      <c r="EL216" t="n">
        <v>16.4</v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n">
        <v>5</v>
      </c>
      <c r="F217" t="b">
        <v>1</v>
      </c>
      <c r="G217" t="b">
        <v>1</v>
      </c>
      <c r="H217" t="n">
        <v>27.9</v>
      </c>
      <c r="I217" t="inlineStr">
        <is>
          <t>a</t>
        </is>
      </c>
      <c r="L217" t="inlineStr">
        <is>
          <t>p135720</t>
        </is>
      </c>
      <c r="M217" t="n">
        <v>501</v>
      </c>
      <c r="Q217" t="n">
        <v>1489</v>
      </c>
      <c r="R217" t="n">
        <v>24</v>
      </c>
      <c r="S217" t="n">
        <v>17</v>
      </c>
      <c r="T217" t="n">
        <v>16.544</v>
      </c>
      <c r="U217" t="n">
        <v>62</v>
      </c>
      <c r="V217" t="n">
        <v>63</v>
      </c>
      <c r="W217" t="n">
        <v>3.808</v>
      </c>
      <c r="X217" t="n">
        <v>0</v>
      </c>
      <c r="Y217" t="n">
        <v>0</v>
      </c>
      <c r="AA217" t="n">
        <v>4</v>
      </c>
      <c r="AB217" t="n">
        <v>25</v>
      </c>
      <c r="AC217" t="n">
        <v>1</v>
      </c>
      <c r="AD217" t="n">
        <v>1</v>
      </c>
      <c r="AE217" t="n">
        <v>0</v>
      </c>
      <c r="AF217" t="n">
        <v>219</v>
      </c>
      <c r="AG217" t="n">
        <v>188</v>
      </c>
      <c r="AH217" t="n">
        <v>-31</v>
      </c>
      <c r="AI217" t="n">
        <v>63</v>
      </c>
      <c r="AJ217" t="n">
        <v>0.016</v>
      </c>
      <c r="AK217" t="n">
        <v>0.016</v>
      </c>
      <c r="AL217" t="n">
        <v>192</v>
      </c>
      <c r="AM217" t="n">
        <v>11.605</v>
      </c>
      <c r="AN217" t="n">
        <v>12</v>
      </c>
      <c r="AO217" t="n">
        <v>24</v>
      </c>
      <c r="AP217" t="n">
        <v>0.706</v>
      </c>
      <c r="AQ217" t="n">
        <v>0.706</v>
      </c>
      <c r="AR217" t="n">
        <v>0.294</v>
      </c>
      <c r="AS217" t="n">
        <v>0.447</v>
      </c>
      <c r="AT217" t="n">
        <v>0.625</v>
      </c>
      <c r="AU217" t="n">
        <v>12</v>
      </c>
      <c r="AV217" t="n">
        <v>0</v>
      </c>
      <c r="AW217" t="n">
        <v>2.35</v>
      </c>
      <c r="AX217" t="n">
        <v>9</v>
      </c>
      <c r="AY217" t="n">
        <v>0.62</v>
      </c>
      <c r="AZ217" t="n">
        <v>0.524</v>
      </c>
      <c r="BA217" t="n">
        <v>0.572</v>
      </c>
      <c r="BB217" t="n">
        <v>0.524</v>
      </c>
      <c r="BC217" t="n">
        <v>0.037</v>
      </c>
      <c r="BD217" t="n">
        <v>0.032</v>
      </c>
      <c r="BE217" t="n">
        <v>0.035</v>
      </c>
      <c r="BF217" t="n">
        <v>0</v>
      </c>
      <c r="BG217" t="n">
        <v>0</v>
      </c>
      <c r="BH217" t="n">
        <v>0.898</v>
      </c>
      <c r="BI217" t="n">
        <v>1.02</v>
      </c>
      <c r="BJ217" t="n">
        <v>0.5570000000000001</v>
      </c>
      <c r="BK217" t="n">
        <v>0.034</v>
      </c>
      <c r="BL217" t="n">
        <v>-0.572</v>
      </c>
      <c r="BM217" t="n">
        <v>-0.62</v>
      </c>
      <c r="BN217" t="n">
        <v>0</v>
      </c>
      <c r="BO217" t="n">
        <v>0.096</v>
      </c>
      <c r="BP217" t="n">
        <v>11</v>
      </c>
      <c r="BQ217" t="n">
        <v>2</v>
      </c>
      <c r="BS217" t="n">
        <v>21</v>
      </c>
      <c r="BT217" t="n">
        <v>1.269</v>
      </c>
      <c r="BW217" t="n">
        <v>0.28</v>
      </c>
      <c r="BX217" t="n">
        <v>0.159</v>
      </c>
      <c r="BY217" t="n">
        <v>0.219</v>
      </c>
      <c r="BZ217" t="n">
        <v>0.013</v>
      </c>
      <c r="CA217" t="n">
        <v>0.791</v>
      </c>
      <c r="CB217" t="n">
        <v>0.048</v>
      </c>
      <c r="CC217" t="n">
        <v>2</v>
      </c>
      <c r="CD217" t="n">
        <v>1</v>
      </c>
      <c r="CE217" t="n">
        <v>3</v>
      </c>
      <c r="CI217" t="n">
        <v>1.651</v>
      </c>
      <c r="CJ217" t="n">
        <v>1.596</v>
      </c>
      <c r="CK217" t="n">
        <v>165</v>
      </c>
      <c r="CL217" t="n">
        <v>45</v>
      </c>
      <c r="CM217" t="n">
        <v>27</v>
      </c>
      <c r="CN217" t="n">
        <v>12</v>
      </c>
      <c r="CO217" t="n">
        <v>25</v>
      </c>
      <c r="CP217" t="n">
        <v>135</v>
      </c>
      <c r="CQ217" t="n">
        <v>11</v>
      </c>
      <c r="CR217" t="n">
        <v>120</v>
      </c>
      <c r="CS217" t="n">
        <v>79</v>
      </c>
      <c r="CU217" t="n">
        <v>1</v>
      </c>
      <c r="CV217" t="n">
        <v>1</v>
      </c>
      <c r="CW217" t="n">
        <v>20.15</v>
      </c>
      <c r="CX217" t="n">
        <v>1.218</v>
      </c>
      <c r="CY217" t="n">
        <v>0</v>
      </c>
      <c r="DB217" t="n">
        <v>0</v>
      </c>
      <c r="DE217" t="n">
        <v>6.9</v>
      </c>
      <c r="DF217" t="n">
        <v>8</v>
      </c>
      <c r="DG217" t="n">
        <v>0</v>
      </c>
      <c r="DH217" t="n">
        <v>21</v>
      </c>
      <c r="DI217" t="n">
        <v>13</v>
      </c>
      <c r="DL217" t="n">
        <v>2</v>
      </c>
      <c r="DM217" t="n">
        <v>4</v>
      </c>
      <c r="DO217" t="n">
        <v>0.2</v>
      </c>
      <c r="DP217" t="n">
        <v>25.66</v>
      </c>
      <c r="DQ217" t="n">
        <v>12.83</v>
      </c>
      <c r="DR217" t="n">
        <v>25.66</v>
      </c>
      <c r="DS217" t="n">
        <v>0</v>
      </c>
      <c r="DT217" t="n">
        <v>304</v>
      </c>
      <c r="DU217" t="n">
        <v>8</v>
      </c>
      <c r="DV217" t="inlineStr">
        <is>
          <t>flat</t>
        </is>
      </c>
      <c r="DW217" t="n">
        <v>97.39</v>
      </c>
      <c r="DY217" t="n">
        <v>9.76</v>
      </c>
      <c r="DZ217" t="n">
        <v>90.18000000000001</v>
      </c>
      <c r="EA217" t="n">
        <v>108.5</v>
      </c>
      <c r="EB217" t="n">
        <v>3</v>
      </c>
      <c r="EC217" t="n">
        <v>1.4</v>
      </c>
      <c r="ED217" t="n">
        <v>25</v>
      </c>
      <c r="EE217" t="n">
        <v>270</v>
      </c>
      <c r="EF217" t="n">
        <v>135.4</v>
      </c>
      <c r="EG217" t="n">
        <v>70.90000000000001</v>
      </c>
      <c r="EH217" t="n">
        <v>496.3</v>
      </c>
      <c r="EI217" t="n">
        <v>2602.6</v>
      </c>
      <c r="EJ217" t="n">
        <v>6788.7</v>
      </c>
      <c r="EK217" t="n">
        <v>1881.4</v>
      </c>
      <c r="EL217" t="n">
        <v>23.6</v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n">
        <v>5.5</v>
      </c>
      <c r="F218" t="b">
        <v>1</v>
      </c>
      <c r="G218" t="b">
        <v>1</v>
      </c>
      <c r="H218" t="n">
        <v>19.6</v>
      </c>
      <c r="I218" t="inlineStr">
        <is>
          <t>a</t>
        </is>
      </c>
      <c r="L218" t="inlineStr">
        <is>
          <t>p577725</t>
        </is>
      </c>
      <c r="M218" t="n">
        <v>268</v>
      </c>
      <c r="Q218" t="n">
        <v>1290</v>
      </c>
      <c r="R218" t="n">
        <v>32</v>
      </c>
      <c r="S218" t="n">
        <v>15</v>
      </c>
      <c r="T218" t="n">
        <v>14.333</v>
      </c>
      <c r="U218" t="n">
        <v>40.3</v>
      </c>
      <c r="V218" t="n">
        <v>63</v>
      </c>
      <c r="W218" t="n">
        <v>4.395</v>
      </c>
      <c r="X218" t="n">
        <v>1</v>
      </c>
      <c r="Y218" t="n">
        <v>3</v>
      </c>
      <c r="Z218" t="n">
        <v>2</v>
      </c>
      <c r="AA218" t="n">
        <v>5</v>
      </c>
      <c r="AB218" t="n">
        <v>18</v>
      </c>
      <c r="AC218" t="n">
        <v>3</v>
      </c>
      <c r="AD218" t="n">
        <v>3</v>
      </c>
      <c r="AE218" t="n">
        <v>0</v>
      </c>
      <c r="AF218" t="n">
        <v>225</v>
      </c>
      <c r="AG218" t="n">
        <v>217</v>
      </c>
      <c r="AH218" t="n">
        <v>-8</v>
      </c>
      <c r="AI218" t="n">
        <v>63</v>
      </c>
      <c r="AJ218" t="n">
        <v>0.048</v>
      </c>
      <c r="AK218" t="n">
        <v>0.05</v>
      </c>
      <c r="AL218" t="n">
        <v>107</v>
      </c>
      <c r="AM218" t="n">
        <v>7.465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0.395</v>
      </c>
      <c r="AT218" t="n">
        <v>0.406</v>
      </c>
      <c r="AU218" t="n">
        <v>24</v>
      </c>
      <c r="AV218" t="n">
        <v>1</v>
      </c>
      <c r="AW218" t="n">
        <v>2.23</v>
      </c>
      <c r="AX218" t="n">
        <v>13</v>
      </c>
      <c r="AY218" t="n">
        <v>2.47</v>
      </c>
      <c r="AZ218" t="n">
        <v>3.8</v>
      </c>
      <c r="BA218" t="n">
        <v>3.135</v>
      </c>
      <c r="BB218" t="n">
        <v>3.8</v>
      </c>
      <c r="BC218" t="n">
        <v>0.172</v>
      </c>
      <c r="BD218" t="n">
        <v>0.265</v>
      </c>
      <c r="BE218" t="n">
        <v>0.219</v>
      </c>
      <c r="BF218" t="n">
        <v>2.7</v>
      </c>
      <c r="BG218" t="n">
        <v>0.188</v>
      </c>
      <c r="BH218" t="n">
        <v>0.995</v>
      </c>
      <c r="BI218" t="n">
        <v>2.75</v>
      </c>
      <c r="BJ218" t="n">
        <v>2.459</v>
      </c>
      <c r="BK218" t="n">
        <v>0.172</v>
      </c>
      <c r="BL218" t="n">
        <v>-2.135</v>
      </c>
      <c r="BM218" t="n">
        <v>0.23</v>
      </c>
      <c r="BN218" t="n">
        <v>-1.7</v>
      </c>
      <c r="BO218" t="n">
        <v>-1.33</v>
      </c>
      <c r="BP218" t="n">
        <v>26</v>
      </c>
      <c r="BQ218" t="n">
        <v>11</v>
      </c>
      <c r="BR218" t="n">
        <v>3</v>
      </c>
      <c r="BS218" t="n">
        <v>70</v>
      </c>
      <c r="BT218" t="n">
        <v>4.884</v>
      </c>
      <c r="BW218" t="n">
        <v>0.66</v>
      </c>
      <c r="BX218" t="n">
        <v>1.04</v>
      </c>
      <c r="BY218" t="n">
        <v>0.85</v>
      </c>
      <c r="BZ218" t="n">
        <v>0.059</v>
      </c>
      <c r="CA218" t="n">
        <v>3.985</v>
      </c>
      <c r="CB218" t="n">
        <v>0.278</v>
      </c>
      <c r="CC218" t="n">
        <v>15</v>
      </c>
      <c r="CE218" t="n">
        <v>15</v>
      </c>
      <c r="CF218" t="n">
        <v>0</v>
      </c>
      <c r="CG218" t="n">
        <v>1</v>
      </c>
      <c r="CI218" t="n">
        <v>6.187</v>
      </c>
      <c r="CJ218" t="n">
        <v>2.601</v>
      </c>
      <c r="CK218" t="n">
        <v>22</v>
      </c>
      <c r="CL218" t="n">
        <v>59</v>
      </c>
      <c r="CM218" t="n">
        <v>26</v>
      </c>
      <c r="CN218" t="n">
        <v>14</v>
      </c>
      <c r="CO218" t="n">
        <v>3</v>
      </c>
      <c r="CP218" t="n">
        <v>14</v>
      </c>
      <c r="CQ218" t="n">
        <v>5</v>
      </c>
      <c r="CR218" t="n">
        <v>76</v>
      </c>
      <c r="CS218" t="n">
        <v>3</v>
      </c>
      <c r="CT218" t="n">
        <v>0.3</v>
      </c>
      <c r="CU218" t="n">
        <v>1</v>
      </c>
      <c r="CW218" t="n">
        <v>18.97</v>
      </c>
      <c r="CX218" t="n">
        <v>1.323</v>
      </c>
      <c r="CY218" t="n">
        <v>0</v>
      </c>
      <c r="DB218" t="n">
        <v>0</v>
      </c>
      <c r="DE218" t="n">
        <v>6.5</v>
      </c>
      <c r="DF218" t="n">
        <v>4</v>
      </c>
      <c r="DG218" t="n">
        <v>0</v>
      </c>
      <c r="DH218" t="n">
        <v>13</v>
      </c>
      <c r="DI218" t="n">
        <v>30</v>
      </c>
      <c r="DL218" t="n">
        <v>16</v>
      </c>
      <c r="DM218" t="n">
        <v>19</v>
      </c>
      <c r="DN218" t="n">
        <v>3</v>
      </c>
      <c r="DO218" t="n">
        <v>0.2</v>
      </c>
      <c r="DP218" t="n">
        <v>78.79000000000001</v>
      </c>
      <c r="DQ218" t="n">
        <v>39.41</v>
      </c>
      <c r="DR218" t="n">
        <v>78.81999999999999</v>
      </c>
      <c r="DS218" t="n">
        <v>-0.03</v>
      </c>
      <c r="DT218" t="n">
        <v>1693</v>
      </c>
      <c r="DU218" t="n">
        <v>44.55</v>
      </c>
      <c r="DV218" t="inlineStr">
        <is>
          <t>flat</t>
        </is>
      </c>
      <c r="DW218" t="n">
        <v>102</v>
      </c>
      <c r="DY218" t="n">
        <v>2.83</v>
      </c>
      <c r="DZ218" t="n">
        <v>100</v>
      </c>
      <c r="EA218" t="n">
        <v>104</v>
      </c>
      <c r="EB218" t="n">
        <v>2</v>
      </c>
      <c r="EC218" t="n">
        <v>1</v>
      </c>
      <c r="ED218" t="n">
        <v>33.3</v>
      </c>
      <c r="EE218" t="n">
        <v>161</v>
      </c>
      <c r="EF218" t="n">
        <v>49.6</v>
      </c>
      <c r="EG218" t="n">
        <v>18.4</v>
      </c>
      <c r="EH218" t="n">
        <v>86</v>
      </c>
      <c r="EI218" t="n">
        <v>411.5</v>
      </c>
      <c r="EJ218" t="n">
        <v>1518</v>
      </c>
      <c r="EK218" t="n">
        <v>323.7</v>
      </c>
      <c r="EL218" t="n">
        <v>20.5</v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n">
        <v>6</v>
      </c>
      <c r="F219" t="b">
        <v>1</v>
      </c>
      <c r="G219" t="b">
        <v>1</v>
      </c>
      <c r="H219" t="n">
        <v>29.3</v>
      </c>
      <c r="I219" t="inlineStr">
        <is>
          <t>i</t>
        </is>
      </c>
      <c r="J219" t="inlineStr">
        <is>
          <t>Hamstring injury - Unknown return date</t>
        </is>
      </c>
      <c r="K219" t="n">
        <v>0</v>
      </c>
      <c r="L219" t="inlineStr">
        <is>
          <t>p451340</t>
        </is>
      </c>
      <c r="M219" t="n">
        <v>121</v>
      </c>
      <c r="Q219" t="n">
        <v>1714</v>
      </c>
      <c r="R219" t="n">
        <v>25</v>
      </c>
      <c r="S219" t="n">
        <v>19</v>
      </c>
      <c r="T219" t="n">
        <v>19.044</v>
      </c>
      <c r="U219" t="n">
        <v>68.59999999999999</v>
      </c>
      <c r="V219" t="n">
        <v>62</v>
      </c>
      <c r="W219" t="n">
        <v>3.256</v>
      </c>
      <c r="X219" t="n">
        <v>3</v>
      </c>
      <c r="Y219" t="n">
        <v>1</v>
      </c>
      <c r="Z219" t="n">
        <v>1</v>
      </c>
      <c r="AA219" t="n">
        <v>5</v>
      </c>
      <c r="AB219" t="n">
        <v>20</v>
      </c>
      <c r="AC219" t="n">
        <v>2</v>
      </c>
      <c r="AD219" t="n">
        <v>2</v>
      </c>
      <c r="AE219" t="n">
        <v>0</v>
      </c>
      <c r="AF219" t="n">
        <v>247</v>
      </c>
      <c r="AG219" t="n">
        <v>242</v>
      </c>
      <c r="AH219" t="n">
        <v>-5</v>
      </c>
      <c r="AI219" t="n">
        <v>62</v>
      </c>
      <c r="AJ219" t="n">
        <v>0.032</v>
      </c>
      <c r="AK219" t="n">
        <v>0.033</v>
      </c>
      <c r="AL219" t="n">
        <v>107</v>
      </c>
      <c r="AM219" t="n">
        <v>5.618</v>
      </c>
      <c r="AN219" t="n">
        <v>0</v>
      </c>
      <c r="AO219" t="n">
        <v>0</v>
      </c>
      <c r="AP219" t="n">
        <v>0</v>
      </c>
      <c r="AQ219" t="n">
        <v>0.105</v>
      </c>
      <c r="AR219" t="n">
        <v>0</v>
      </c>
      <c r="AS219" t="n">
        <v>0.5</v>
      </c>
      <c r="AT219" t="n">
        <v>0.68</v>
      </c>
      <c r="AU219" t="n">
        <v>17</v>
      </c>
      <c r="AV219" t="n">
        <v>0</v>
      </c>
      <c r="AW219" t="n">
        <v>2.01</v>
      </c>
      <c r="AX219" t="n">
        <v>8</v>
      </c>
      <c r="AY219" t="n">
        <v>4.04</v>
      </c>
      <c r="AZ219" t="n">
        <v>4.789</v>
      </c>
      <c r="BA219" t="n">
        <v>4.415</v>
      </c>
      <c r="BB219" t="n">
        <v>4.789</v>
      </c>
      <c r="BC219" t="n">
        <v>0.212</v>
      </c>
      <c r="BD219" t="n">
        <v>0.251</v>
      </c>
      <c r="BE219" t="n">
        <v>0.232</v>
      </c>
      <c r="BF219" t="n">
        <v>3.6</v>
      </c>
      <c r="BG219" t="n">
        <v>0.189</v>
      </c>
      <c r="BH219" t="n">
        <v>1.036</v>
      </c>
      <c r="BI219" t="n">
        <v>25.01</v>
      </c>
      <c r="BJ219" t="n">
        <v>4.186</v>
      </c>
      <c r="BK219" t="n">
        <v>0.22</v>
      </c>
      <c r="BL219" t="n">
        <v>-1.415</v>
      </c>
      <c r="BM219" t="n">
        <v>-0.44</v>
      </c>
      <c r="BN219" t="n">
        <v>-0.6</v>
      </c>
      <c r="BO219" t="n">
        <v>-0.749</v>
      </c>
      <c r="BP219" t="n">
        <v>32</v>
      </c>
      <c r="BQ219" t="n">
        <v>13</v>
      </c>
      <c r="BR219" t="n">
        <v>8</v>
      </c>
      <c r="BS219" t="n">
        <v>91</v>
      </c>
      <c r="BT219" t="n">
        <v>4.778</v>
      </c>
      <c r="BV219" t="n">
        <v>1</v>
      </c>
      <c r="BW219" t="n">
        <v>2.74</v>
      </c>
      <c r="BX219" t="n">
        <v>3.543</v>
      </c>
      <c r="BY219" t="n">
        <v>3.142</v>
      </c>
      <c r="BZ219" t="n">
        <v>0.165</v>
      </c>
      <c r="CA219" t="n">
        <v>7.556</v>
      </c>
      <c r="CB219" t="n">
        <v>0.397</v>
      </c>
      <c r="CC219" t="n">
        <v>30</v>
      </c>
      <c r="CD219" t="n">
        <v>4</v>
      </c>
      <c r="CE219" t="n">
        <v>30</v>
      </c>
      <c r="CF219" t="n">
        <v>8</v>
      </c>
      <c r="CG219" t="n">
        <v>0</v>
      </c>
      <c r="CI219" t="n">
        <v>11.287</v>
      </c>
      <c r="CJ219" t="n">
        <v>4.618</v>
      </c>
      <c r="CK219" t="n">
        <v>27</v>
      </c>
      <c r="CL219" t="n">
        <v>62</v>
      </c>
      <c r="CM219" t="n">
        <v>18</v>
      </c>
      <c r="CN219" t="n">
        <v>12</v>
      </c>
      <c r="CO219" t="n">
        <v>9</v>
      </c>
      <c r="CP219" t="n">
        <v>17</v>
      </c>
      <c r="CQ219" t="n">
        <v>1</v>
      </c>
      <c r="CR219" t="n">
        <v>82</v>
      </c>
      <c r="CS219" t="n">
        <v>15</v>
      </c>
      <c r="CT219" t="n">
        <v>0.6</v>
      </c>
      <c r="CV219" t="n">
        <v>2</v>
      </c>
      <c r="CW219" t="n">
        <v>23.76</v>
      </c>
      <c r="CX219" t="n">
        <v>1.248</v>
      </c>
      <c r="CY219" t="n">
        <v>0</v>
      </c>
      <c r="DB219" t="n">
        <v>0</v>
      </c>
      <c r="DE219" t="n">
        <v>6.86</v>
      </c>
      <c r="DF219" t="n">
        <v>5</v>
      </c>
      <c r="DG219" t="n">
        <v>0</v>
      </c>
      <c r="DH219" t="n">
        <v>31</v>
      </c>
      <c r="DI219" t="n">
        <v>21</v>
      </c>
      <c r="DL219" t="n">
        <v>28</v>
      </c>
      <c r="DM219" t="n">
        <v>23</v>
      </c>
      <c r="DN219" t="n">
        <v>4</v>
      </c>
      <c r="DO219" t="n">
        <v>0.1</v>
      </c>
      <c r="DP219" t="n">
        <v>73.83</v>
      </c>
      <c r="DQ219" t="n">
        <v>39.12</v>
      </c>
      <c r="DR219" t="n">
        <v>78.23999999999999</v>
      </c>
      <c r="DS219" t="n">
        <v>-4.41</v>
      </c>
      <c r="DT219" t="n">
        <v>1353</v>
      </c>
      <c r="DU219" t="n">
        <v>35.6</v>
      </c>
      <c r="DV219" t="inlineStr">
        <is>
          <t>fade (losing his place)</t>
        </is>
      </c>
      <c r="DW219" t="n">
        <v>57.6</v>
      </c>
      <c r="DZ219" t="n">
        <v>57.6</v>
      </c>
      <c r="EA219" t="n">
        <v>57.6</v>
      </c>
      <c r="EB219" t="n">
        <v>1</v>
      </c>
      <c r="EC219" t="n">
        <v>0.5</v>
      </c>
      <c r="ED219" t="n">
        <v>0</v>
      </c>
      <c r="EE219" t="n">
        <v>96</v>
      </c>
      <c r="EF219" t="n">
        <v>53.6</v>
      </c>
      <c r="EG219" t="n">
        <v>18.8</v>
      </c>
      <c r="EH219" t="n">
        <v>57.1</v>
      </c>
      <c r="EI219" t="n">
        <v>388.3</v>
      </c>
      <c r="EJ219" t="n">
        <v>545.6</v>
      </c>
      <c r="EK219" t="n">
        <v>226.8</v>
      </c>
      <c r="EL219" t="n">
        <v>27.6</v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n">
        <v>5</v>
      </c>
      <c r="F220" t="b">
        <v>1</v>
      </c>
      <c r="G220" t="b">
        <v>1</v>
      </c>
      <c r="H220" t="n">
        <v>25.2</v>
      </c>
      <c r="I220" t="inlineStr">
        <is>
          <t>a</t>
        </is>
      </c>
      <c r="L220" t="inlineStr">
        <is>
          <t>p232653</t>
        </is>
      </c>
      <c r="M220" t="n">
        <v>456</v>
      </c>
      <c r="Q220" t="n">
        <v>1441</v>
      </c>
      <c r="R220" t="n">
        <v>28</v>
      </c>
      <c r="S220" t="n">
        <v>15</v>
      </c>
      <c r="T220" t="n">
        <v>16.011</v>
      </c>
      <c r="U220" t="n">
        <v>51.5</v>
      </c>
      <c r="V220" t="n">
        <v>62</v>
      </c>
      <c r="W220" t="n">
        <v>3.872</v>
      </c>
      <c r="X220" t="n">
        <v>2</v>
      </c>
      <c r="Y220" t="n">
        <v>3</v>
      </c>
      <c r="Z220" t="n">
        <v>3</v>
      </c>
      <c r="AA220" t="n">
        <v>1</v>
      </c>
      <c r="AB220" t="n">
        <v>31</v>
      </c>
      <c r="AC220" t="n">
        <v>3</v>
      </c>
      <c r="AD220" t="n">
        <v>3</v>
      </c>
      <c r="AE220" t="n">
        <v>0</v>
      </c>
      <c r="AF220" t="n">
        <v>303</v>
      </c>
      <c r="AG220" t="n">
        <v>299</v>
      </c>
      <c r="AH220" t="n">
        <v>-4</v>
      </c>
      <c r="AI220" t="n">
        <v>62</v>
      </c>
      <c r="AJ220" t="n">
        <v>0.048</v>
      </c>
      <c r="AK220" t="n">
        <v>0.051</v>
      </c>
      <c r="AL220" t="n">
        <v>149</v>
      </c>
      <c r="AM220" t="n">
        <v>9.305999999999999</v>
      </c>
      <c r="AN220" t="n">
        <v>2</v>
      </c>
      <c r="AO220" t="n">
        <v>4</v>
      </c>
      <c r="AP220" t="n">
        <v>0.133</v>
      </c>
      <c r="AQ220" t="n">
        <v>0.333</v>
      </c>
      <c r="AR220" t="n">
        <v>0.133</v>
      </c>
      <c r="AS220" t="n">
        <v>0.395</v>
      </c>
      <c r="AT220" t="n">
        <v>0.464</v>
      </c>
      <c r="AU220" t="n">
        <v>21</v>
      </c>
      <c r="AV220" t="n">
        <v>0</v>
      </c>
      <c r="AW220" t="n">
        <v>2.22</v>
      </c>
      <c r="AX220" t="n">
        <v>9</v>
      </c>
      <c r="AY220" t="n">
        <v>1.2</v>
      </c>
      <c r="AZ220" t="n">
        <v>1.211</v>
      </c>
      <c r="BA220" t="n">
        <v>1.206</v>
      </c>
      <c r="BB220" t="n">
        <v>1.211</v>
      </c>
      <c r="BC220" t="n">
        <v>0.075</v>
      </c>
      <c r="BD220" t="n">
        <v>0.076</v>
      </c>
      <c r="BE220" t="n">
        <v>0.075</v>
      </c>
      <c r="BF220" t="n">
        <v>1.2</v>
      </c>
      <c r="BG220" t="n">
        <v>0.075</v>
      </c>
      <c r="BH220" t="n">
        <v>0.869</v>
      </c>
      <c r="BI220" t="n">
        <v>9.949999999999999</v>
      </c>
      <c r="BJ220" t="n">
        <v>1.043</v>
      </c>
      <c r="BK220" t="n">
        <v>0.065</v>
      </c>
      <c r="BL220" t="n">
        <v>0.794</v>
      </c>
      <c r="BM220" t="n">
        <v>0</v>
      </c>
      <c r="BN220" t="n">
        <v>0.8</v>
      </c>
      <c r="BO220" t="n">
        <v>-0.011</v>
      </c>
      <c r="BP220" t="n">
        <v>16</v>
      </c>
      <c r="BQ220" t="n">
        <v>4</v>
      </c>
      <c r="BR220" t="n">
        <v>1</v>
      </c>
      <c r="BS220" t="n">
        <v>48</v>
      </c>
      <c r="BT220" t="n">
        <v>2.998</v>
      </c>
      <c r="BW220" t="n">
        <v>1.45</v>
      </c>
      <c r="BX220" t="n">
        <v>1.566</v>
      </c>
      <c r="BY220" t="n">
        <v>1.508</v>
      </c>
      <c r="BZ220" t="n">
        <v>0.094</v>
      </c>
      <c r="CA220" t="n">
        <v>2.714</v>
      </c>
      <c r="CB220" t="n">
        <v>0.169</v>
      </c>
      <c r="CC220" t="n">
        <v>22</v>
      </c>
      <c r="CD220" t="n">
        <v>2</v>
      </c>
      <c r="CE220" t="n">
        <v>22</v>
      </c>
      <c r="CF220" t="n">
        <v>4</v>
      </c>
      <c r="CG220" t="n">
        <v>3</v>
      </c>
      <c r="CI220" t="n">
        <v>5.488</v>
      </c>
      <c r="CJ220" t="n">
        <v>4.252</v>
      </c>
      <c r="CK220" t="n">
        <v>23</v>
      </c>
      <c r="CL220" t="n">
        <v>85</v>
      </c>
      <c r="CM220" t="n">
        <v>41</v>
      </c>
      <c r="CN220" t="n">
        <v>22</v>
      </c>
      <c r="CO220" t="n">
        <v>9</v>
      </c>
      <c r="CP220" t="n">
        <v>10</v>
      </c>
      <c r="CQ220" t="n">
        <v>4</v>
      </c>
      <c r="CR220" t="n">
        <v>79</v>
      </c>
      <c r="CS220" t="n">
        <v>9</v>
      </c>
      <c r="CT220" t="n">
        <v>0.7</v>
      </c>
      <c r="CV220" t="n">
        <v>1</v>
      </c>
      <c r="CW220" t="n">
        <v>27.24</v>
      </c>
      <c r="CX220" t="n">
        <v>1.701</v>
      </c>
      <c r="CY220" t="n">
        <v>0</v>
      </c>
      <c r="DB220" t="n">
        <v>0</v>
      </c>
      <c r="DE220" t="n">
        <v>6.79</v>
      </c>
      <c r="DF220" t="n">
        <v>3</v>
      </c>
      <c r="DG220" t="n">
        <v>1</v>
      </c>
      <c r="DH220" t="n">
        <v>16</v>
      </c>
      <c r="DI220" t="n">
        <v>14</v>
      </c>
      <c r="DK220" t="n">
        <v>1</v>
      </c>
      <c r="DL220" t="n">
        <v>15</v>
      </c>
      <c r="DM220" t="n">
        <v>13</v>
      </c>
      <c r="DN220" t="n">
        <v>2</v>
      </c>
      <c r="DO220" t="n">
        <v>0.4</v>
      </c>
      <c r="DP220" t="n">
        <v>42.72</v>
      </c>
      <c r="DQ220" t="n">
        <v>21.4</v>
      </c>
      <c r="DR220" t="n">
        <v>42.8</v>
      </c>
      <c r="DS220" t="n">
        <v>-0.08</v>
      </c>
      <c r="DT220" t="n">
        <v>889</v>
      </c>
      <c r="DU220" t="n">
        <v>23.4</v>
      </c>
      <c r="DV220" t="inlineStr">
        <is>
          <t>flat</t>
        </is>
      </c>
      <c r="DW220" t="n">
        <v>66.87</v>
      </c>
      <c r="DY220" t="n">
        <v>9</v>
      </c>
      <c r="DZ220" t="n">
        <v>60.5</v>
      </c>
      <c r="EA220" t="n">
        <v>73.23</v>
      </c>
      <c r="EB220" t="n">
        <v>2</v>
      </c>
      <c r="EC220" t="n">
        <v>1</v>
      </c>
      <c r="ED220" t="n">
        <v>0</v>
      </c>
      <c r="EE220" t="n">
        <v>271</v>
      </c>
      <c r="EF220" t="n">
        <v>90.09999999999999</v>
      </c>
      <c r="EG220" t="n">
        <v>30</v>
      </c>
      <c r="EH220" t="n">
        <v>65.5</v>
      </c>
      <c r="EI220" t="n">
        <v>1195.2</v>
      </c>
      <c r="EJ220" t="n">
        <v>955.4</v>
      </c>
      <c r="EK220" t="n">
        <v>531</v>
      </c>
      <c r="EL220" t="n">
        <v>23.2</v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n">
        <v>5</v>
      </c>
      <c r="F221" t="b">
        <v>1</v>
      </c>
      <c r="G221" t="b">
        <v>1</v>
      </c>
      <c r="H221" t="n">
        <v>26.7</v>
      </c>
      <c r="I221" t="inlineStr">
        <is>
          <t>a</t>
        </is>
      </c>
      <c r="K221" t="n">
        <v>100</v>
      </c>
      <c r="L221" t="inlineStr">
        <is>
          <t>p226944</t>
        </is>
      </c>
      <c r="M221" t="n">
        <v>47</v>
      </c>
      <c r="Q221" t="n">
        <v>1410</v>
      </c>
      <c r="R221" t="n">
        <v>18</v>
      </c>
      <c r="S221" t="n">
        <v>17</v>
      </c>
      <c r="T221" t="n">
        <v>15.667</v>
      </c>
      <c r="U221" t="n">
        <v>78.3</v>
      </c>
      <c r="V221" t="n">
        <v>61</v>
      </c>
      <c r="W221" t="n">
        <v>3.894</v>
      </c>
      <c r="X221" t="n">
        <v>1</v>
      </c>
      <c r="Y221" t="n">
        <v>3</v>
      </c>
      <c r="Z221" t="n">
        <v>3</v>
      </c>
      <c r="AA221" t="n">
        <v>5</v>
      </c>
      <c r="AB221" t="n">
        <v>15</v>
      </c>
      <c r="AC221" t="n">
        <v>7</v>
      </c>
      <c r="AD221" t="n">
        <v>7</v>
      </c>
      <c r="AE221" t="n">
        <v>0</v>
      </c>
      <c r="AF221" t="n">
        <v>282</v>
      </c>
      <c r="AG221" t="n">
        <v>268</v>
      </c>
      <c r="AH221" t="n">
        <v>-14</v>
      </c>
      <c r="AI221" t="n">
        <v>61</v>
      </c>
      <c r="AJ221" t="n">
        <v>0.115</v>
      </c>
      <c r="AK221" t="n">
        <v>0.13</v>
      </c>
      <c r="AL221" t="n">
        <v>149</v>
      </c>
      <c r="AM221" t="n">
        <v>9.510999999999999</v>
      </c>
      <c r="AN221" t="n">
        <v>3</v>
      </c>
      <c r="AO221" t="n">
        <v>6</v>
      </c>
      <c r="AP221" t="n">
        <v>0.176</v>
      </c>
      <c r="AQ221" t="n">
        <v>0.412</v>
      </c>
      <c r="AR221" t="n">
        <v>0.176</v>
      </c>
      <c r="AS221" t="n">
        <v>0.447</v>
      </c>
      <c r="AT221" t="n">
        <v>0.889</v>
      </c>
      <c r="AU221" t="n">
        <v>11</v>
      </c>
      <c r="AV221" t="n">
        <v>2</v>
      </c>
      <c r="AW221" t="n">
        <v>2.64</v>
      </c>
      <c r="AX221" t="n">
        <v>11</v>
      </c>
      <c r="AY221" t="n">
        <v>0.53</v>
      </c>
      <c r="AZ221" t="n">
        <v>1.052</v>
      </c>
      <c r="BA221" t="n">
        <v>0.791</v>
      </c>
      <c r="BB221" t="n">
        <v>1.052</v>
      </c>
      <c r="BC221" t="n">
        <v>0.034</v>
      </c>
      <c r="BD221" t="n">
        <v>0.067</v>
      </c>
      <c r="BE221" t="n">
        <v>0.05</v>
      </c>
      <c r="BF221" t="n">
        <v>0.9</v>
      </c>
      <c r="BG221" t="n">
        <v>0.057</v>
      </c>
      <c r="BH221" t="n">
        <v>0.966</v>
      </c>
      <c r="BI221" t="n">
        <v>1.63</v>
      </c>
      <c r="BJ221" t="n">
        <v>0.512</v>
      </c>
      <c r="BK221" t="n">
        <v>0.033</v>
      </c>
      <c r="BL221" t="n">
        <v>0.209</v>
      </c>
      <c r="BM221" t="n">
        <v>0.37</v>
      </c>
      <c r="BN221" t="n">
        <v>0.1</v>
      </c>
      <c r="BO221" t="n">
        <v>-0.522</v>
      </c>
      <c r="BP221" t="n">
        <v>7</v>
      </c>
      <c r="BQ221" t="n">
        <v>4</v>
      </c>
      <c r="BR221" t="n">
        <v>2</v>
      </c>
      <c r="BS221" t="n">
        <v>11</v>
      </c>
      <c r="BT221" t="n">
        <v>0.702</v>
      </c>
      <c r="BW221" t="n">
        <v>0.84</v>
      </c>
      <c r="BX221" t="n">
        <v>0.729</v>
      </c>
      <c r="BY221" t="n">
        <v>0.785</v>
      </c>
      <c r="BZ221" t="n">
        <v>0.05</v>
      </c>
      <c r="CA221" t="n">
        <v>1.576</v>
      </c>
      <c r="CB221" t="n">
        <v>0.101</v>
      </c>
      <c r="CC221" t="n">
        <v>15</v>
      </c>
      <c r="CE221" t="n">
        <v>15</v>
      </c>
      <c r="CG221" t="n">
        <v>1</v>
      </c>
      <c r="CH221" t="n">
        <v>2</v>
      </c>
      <c r="CI221" t="n">
        <v>5.698</v>
      </c>
      <c r="CJ221" t="n">
        <v>4.27</v>
      </c>
      <c r="CK221" t="n">
        <v>46</v>
      </c>
      <c r="CL221" t="n">
        <v>65</v>
      </c>
      <c r="CM221" t="n">
        <v>38</v>
      </c>
      <c r="CN221" t="n">
        <v>17</v>
      </c>
      <c r="CO221" t="n">
        <v>18</v>
      </c>
      <c r="CP221" t="n">
        <v>20</v>
      </c>
      <c r="CQ221" t="n">
        <v>8</v>
      </c>
      <c r="CR221" t="n">
        <v>116</v>
      </c>
      <c r="CS221" t="n">
        <v>36</v>
      </c>
      <c r="CV221" t="n">
        <v>3</v>
      </c>
      <c r="CW221" t="n">
        <v>20.8</v>
      </c>
      <c r="CX221" t="n">
        <v>1.328</v>
      </c>
      <c r="CY221" t="n">
        <v>0</v>
      </c>
      <c r="DB221" t="n">
        <v>0</v>
      </c>
      <c r="DF221" t="n">
        <v>5</v>
      </c>
      <c r="DG221" t="n">
        <v>0</v>
      </c>
      <c r="DH221" t="n">
        <v>17</v>
      </c>
      <c r="DI221" t="n">
        <v>30</v>
      </c>
      <c r="DL221" t="n">
        <v>14</v>
      </c>
      <c r="DM221" t="n">
        <v>15</v>
      </c>
      <c r="DO221" t="n">
        <v>0.2</v>
      </c>
      <c r="DP221" t="n">
        <v>74.37</v>
      </c>
      <c r="DQ221" t="n">
        <v>40.55</v>
      </c>
      <c r="DR221" t="n">
        <v>81.09999999999999</v>
      </c>
      <c r="DS221" t="n">
        <v>-6.73</v>
      </c>
      <c r="DT221" t="n">
        <v>1761</v>
      </c>
      <c r="DU221" t="n">
        <v>46.35</v>
      </c>
      <c r="DV221" t="inlineStr">
        <is>
          <t>fade (losing his place)</t>
        </is>
      </c>
      <c r="DW221" t="n">
        <v>53.71</v>
      </c>
      <c r="DZ221" t="n">
        <v>53.71</v>
      </c>
      <c r="EA221" t="n">
        <v>53.71</v>
      </c>
      <c r="EB221" t="n">
        <v>1</v>
      </c>
      <c r="EC221" t="n">
        <v>0.5</v>
      </c>
      <c r="ED221" t="n">
        <v>0</v>
      </c>
      <c r="EE221" t="n">
        <v>272</v>
      </c>
      <c r="EF221" t="n">
        <v>201.4</v>
      </c>
      <c r="EG221" t="n">
        <v>128.2</v>
      </c>
      <c r="EH221" t="n">
        <v>94</v>
      </c>
      <c r="EI221" t="n">
        <v>1782.4</v>
      </c>
      <c r="EJ221" t="n">
        <v>1797.3</v>
      </c>
      <c r="EK221" t="n">
        <v>894.9</v>
      </c>
      <c r="EL221" t="n">
        <v>23.1</v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n">
        <v>4.5</v>
      </c>
      <c r="F222" t="b">
        <v>1</v>
      </c>
      <c r="G222" t="b">
        <v>1</v>
      </c>
      <c r="H222" t="n">
        <v>30.7</v>
      </c>
      <c r="I222" t="inlineStr">
        <is>
          <t>a</t>
        </is>
      </c>
      <c r="L222" t="inlineStr">
        <is>
          <t>p166477</t>
        </is>
      </c>
      <c r="M222" t="n">
        <v>258</v>
      </c>
      <c r="Q222" t="n">
        <v>1838</v>
      </c>
      <c r="R222" t="n">
        <v>30</v>
      </c>
      <c r="S222" t="n">
        <v>20</v>
      </c>
      <c r="T222" t="n">
        <v>20.422</v>
      </c>
      <c r="U222" t="n">
        <v>61.3</v>
      </c>
      <c r="V222" t="n">
        <v>61</v>
      </c>
      <c r="W222" t="n">
        <v>2.987</v>
      </c>
      <c r="X222" t="n">
        <v>0</v>
      </c>
      <c r="Y222" t="n">
        <v>2</v>
      </c>
      <c r="AA222" t="n">
        <v>3</v>
      </c>
      <c r="AB222" t="n">
        <v>31</v>
      </c>
      <c r="AC222" t="n">
        <v>3</v>
      </c>
      <c r="AD222" t="n">
        <v>4</v>
      </c>
      <c r="AE222" t="n">
        <v>1</v>
      </c>
      <c r="AF222" t="n">
        <v>294</v>
      </c>
      <c r="AG222" t="n">
        <v>271</v>
      </c>
      <c r="AH222" t="n">
        <v>-23</v>
      </c>
      <c r="AI222" t="n">
        <v>62</v>
      </c>
      <c r="AJ222" t="n">
        <v>0.049</v>
      </c>
      <c r="AK222" t="n">
        <v>0.052</v>
      </c>
      <c r="AL222" t="n">
        <v>146</v>
      </c>
      <c r="AM222" t="n">
        <v>7.149</v>
      </c>
      <c r="AN222" t="n">
        <v>2</v>
      </c>
      <c r="AO222" t="n">
        <v>4</v>
      </c>
      <c r="AP222" t="n">
        <v>0.1</v>
      </c>
      <c r="AQ222" t="n">
        <v>0.1</v>
      </c>
      <c r="AR222" t="n">
        <v>0</v>
      </c>
      <c r="AS222" t="n">
        <v>0.526</v>
      </c>
      <c r="AT222" t="n">
        <v>0.633</v>
      </c>
      <c r="AU222" t="n">
        <v>23</v>
      </c>
      <c r="AV222" t="n">
        <v>0</v>
      </c>
      <c r="AW222" t="n">
        <v>1.91</v>
      </c>
      <c r="AX222" t="n">
        <v>8</v>
      </c>
      <c r="AY222" t="n">
        <v>1.5</v>
      </c>
      <c r="AZ222" t="n">
        <v>1.47</v>
      </c>
      <c r="BA222" t="n">
        <v>1.485</v>
      </c>
      <c r="BB222" t="n">
        <v>1.47</v>
      </c>
      <c r="BC222" t="n">
        <v>0.073</v>
      </c>
      <c r="BD222" t="n">
        <v>0.07199999999999999</v>
      </c>
      <c r="BE222" t="n">
        <v>0.073</v>
      </c>
      <c r="BF222" t="n">
        <v>1.1</v>
      </c>
      <c r="BG222" t="n">
        <v>0.054</v>
      </c>
      <c r="BH222" t="n">
        <v>0.8100000000000001</v>
      </c>
      <c r="BI222" t="n">
        <v>5.33</v>
      </c>
      <c r="BJ222" t="n">
        <v>1.215</v>
      </c>
      <c r="BK222" t="n">
        <v>0.059</v>
      </c>
      <c r="BL222" t="n">
        <v>-1.485</v>
      </c>
      <c r="BM222" t="n">
        <v>-0.4</v>
      </c>
      <c r="BN222" t="n">
        <v>-1.1</v>
      </c>
      <c r="BO222" t="n">
        <v>0.03</v>
      </c>
      <c r="BP222" t="n">
        <v>14</v>
      </c>
      <c r="BQ222" t="n">
        <v>6</v>
      </c>
      <c r="BR222" t="n">
        <v>1</v>
      </c>
      <c r="BS222" t="n">
        <v>41</v>
      </c>
      <c r="BT222" t="n">
        <v>2.008</v>
      </c>
      <c r="BW222" t="n">
        <v>1.47</v>
      </c>
      <c r="BX222" t="n">
        <v>1.746</v>
      </c>
      <c r="BY222" t="n">
        <v>1.608</v>
      </c>
      <c r="BZ222" t="n">
        <v>0.079</v>
      </c>
      <c r="CA222" t="n">
        <v>3.093</v>
      </c>
      <c r="CB222" t="n">
        <v>0.151</v>
      </c>
      <c r="CC222" t="n">
        <v>18</v>
      </c>
      <c r="CD222" t="n">
        <v>3</v>
      </c>
      <c r="CE222" t="n">
        <v>18</v>
      </c>
      <c r="CF222" t="n">
        <v>15</v>
      </c>
      <c r="CI222" t="n">
        <v>6.832</v>
      </c>
      <c r="CJ222" t="n">
        <v>5.6</v>
      </c>
      <c r="CK222" t="n">
        <v>106</v>
      </c>
      <c r="CL222" t="n">
        <v>56</v>
      </c>
      <c r="CM222" t="n">
        <v>40</v>
      </c>
      <c r="CN222" t="n">
        <v>24</v>
      </c>
      <c r="CO222" t="n">
        <v>31</v>
      </c>
      <c r="CP222" t="n">
        <v>65</v>
      </c>
      <c r="CQ222" t="n">
        <v>10</v>
      </c>
      <c r="CR222" t="n">
        <v>81</v>
      </c>
      <c r="CS222" t="n">
        <v>27</v>
      </c>
      <c r="CT222" t="n">
        <v>0.1</v>
      </c>
      <c r="CV222" t="n">
        <v>1</v>
      </c>
      <c r="CW222" t="n">
        <v>32.66</v>
      </c>
      <c r="CX222" t="n">
        <v>1.599</v>
      </c>
      <c r="CY222" t="n">
        <v>0</v>
      </c>
      <c r="DB222" t="n">
        <v>0</v>
      </c>
      <c r="DE222" t="n">
        <v>6.88</v>
      </c>
      <c r="DF222" t="n">
        <v>4</v>
      </c>
      <c r="DG222" t="n">
        <v>0</v>
      </c>
      <c r="DH222" t="n">
        <v>18</v>
      </c>
      <c r="DI222" t="n">
        <v>11</v>
      </c>
      <c r="DJ222" t="n">
        <v>1</v>
      </c>
      <c r="DL222" t="n">
        <v>3</v>
      </c>
      <c r="DM222" t="n">
        <v>2</v>
      </c>
      <c r="DN222" t="n">
        <v>1</v>
      </c>
      <c r="DO222" t="n">
        <v>0.2</v>
      </c>
      <c r="DP222" t="n">
        <v>77.40000000000001</v>
      </c>
      <c r="DQ222" t="n">
        <v>38.7</v>
      </c>
      <c r="DR222" t="n">
        <v>77.40000000000001</v>
      </c>
      <c r="DS222" t="n">
        <v>0</v>
      </c>
      <c r="DT222" t="n">
        <v>2035</v>
      </c>
      <c r="DU222" t="n">
        <v>53.55</v>
      </c>
      <c r="DV222" t="inlineStr">
        <is>
          <t>flat</t>
        </is>
      </c>
      <c r="DW222" t="n">
        <v>91.5</v>
      </c>
      <c r="DZ222" t="n">
        <v>91.5</v>
      </c>
      <c r="EA222" t="n">
        <v>91.5</v>
      </c>
      <c r="EB222" t="n">
        <v>1</v>
      </c>
      <c r="EC222" t="n">
        <v>0.5</v>
      </c>
      <c r="ED222" t="n">
        <v>0</v>
      </c>
      <c r="EE222" t="n">
        <v>419</v>
      </c>
      <c r="EF222" t="n">
        <v>131.3</v>
      </c>
      <c r="EG222" t="n">
        <v>44.8</v>
      </c>
      <c r="EH222" t="n">
        <v>102.1</v>
      </c>
      <c r="EI222" t="n">
        <v>1237.6</v>
      </c>
      <c r="EJ222" t="n">
        <v>1143</v>
      </c>
      <c r="EK222" t="n">
        <v>594.2</v>
      </c>
      <c r="EL222" t="n">
        <v>30.1</v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n">
        <v>5</v>
      </c>
      <c r="F223" t="b">
        <v>1</v>
      </c>
      <c r="G223" t="b">
        <v>1</v>
      </c>
      <c r="H223" t="n">
        <v>20.4</v>
      </c>
      <c r="I223" t="inlineStr">
        <is>
          <t>a</t>
        </is>
      </c>
      <c r="L223" t="inlineStr">
        <is>
          <t>p547701</t>
        </is>
      </c>
      <c r="M223" t="n">
        <v>522</v>
      </c>
      <c r="Q223" t="n">
        <v>1471</v>
      </c>
      <c r="R223" t="n">
        <v>24</v>
      </c>
      <c r="S223" t="n">
        <v>18</v>
      </c>
      <c r="T223" t="n">
        <v>16.344</v>
      </c>
      <c r="U223" t="n">
        <v>61.3</v>
      </c>
      <c r="V223" t="n">
        <v>61</v>
      </c>
      <c r="W223" t="n">
        <v>3.732</v>
      </c>
      <c r="X223" t="n">
        <v>2</v>
      </c>
      <c r="Y223" t="n">
        <v>2</v>
      </c>
      <c r="Z223" t="n">
        <v>2</v>
      </c>
      <c r="AA223" t="n">
        <v>5</v>
      </c>
      <c r="AB223" t="n">
        <v>28</v>
      </c>
      <c r="AC223" t="n">
        <v>6</v>
      </c>
      <c r="AD223" t="n">
        <v>6</v>
      </c>
      <c r="AE223" t="n">
        <v>0</v>
      </c>
      <c r="AF223" t="n">
        <v>237</v>
      </c>
      <c r="AG223" t="n">
        <v>227</v>
      </c>
      <c r="AH223" t="n">
        <v>-10</v>
      </c>
      <c r="AI223" t="n">
        <v>61</v>
      </c>
      <c r="AJ223" t="n">
        <v>0.098</v>
      </c>
      <c r="AK223" t="n">
        <v>0.109</v>
      </c>
      <c r="AL223" t="n">
        <v>132</v>
      </c>
      <c r="AM223" t="n">
        <v>8.076000000000001</v>
      </c>
      <c r="AN223" t="n">
        <v>0</v>
      </c>
      <c r="AO223" t="n">
        <v>0</v>
      </c>
      <c r="AP223" t="n">
        <v>0</v>
      </c>
      <c r="AQ223" t="n">
        <v>0.056</v>
      </c>
      <c r="AR223" t="n">
        <v>0</v>
      </c>
      <c r="AS223" t="n">
        <v>0.474</v>
      </c>
      <c r="AT223" t="n">
        <v>0.625</v>
      </c>
      <c r="AU223" t="n">
        <v>17</v>
      </c>
      <c r="AV223" t="n">
        <v>2</v>
      </c>
      <c r="AW223" t="n">
        <v>2.41</v>
      </c>
      <c r="AX223" t="n">
        <v>10</v>
      </c>
      <c r="AY223" t="n">
        <v>1.5</v>
      </c>
      <c r="AZ223" t="n">
        <v>1.589</v>
      </c>
      <c r="BA223" t="n">
        <v>1.544</v>
      </c>
      <c r="BB223" t="n">
        <v>1.589</v>
      </c>
      <c r="BC223" t="n">
        <v>0.092</v>
      </c>
      <c r="BD223" t="n">
        <v>0.097</v>
      </c>
      <c r="BE223" t="n">
        <v>0.094</v>
      </c>
      <c r="BF223" t="n">
        <v>2.2</v>
      </c>
      <c r="BG223" t="n">
        <v>0.135</v>
      </c>
      <c r="BH223" t="n">
        <v>1.07</v>
      </c>
      <c r="BI223" t="n">
        <v>1.53</v>
      </c>
      <c r="BJ223" t="n">
        <v>1.605</v>
      </c>
      <c r="BK223" t="n">
        <v>0.098</v>
      </c>
      <c r="BL223" t="n">
        <v>0.456</v>
      </c>
      <c r="BM223" t="n">
        <v>0.7</v>
      </c>
      <c r="BN223" t="n">
        <v>-0.2</v>
      </c>
      <c r="BO223" t="n">
        <v>-0.089</v>
      </c>
      <c r="BP223" t="n">
        <v>11</v>
      </c>
      <c r="BQ223" t="n">
        <v>5</v>
      </c>
      <c r="BS223" t="n">
        <v>26</v>
      </c>
      <c r="BT223" t="n">
        <v>1.591</v>
      </c>
      <c r="BV223" t="n">
        <v>1</v>
      </c>
      <c r="BW223" t="n">
        <v>1.29</v>
      </c>
      <c r="BX223" t="n">
        <v>1.658</v>
      </c>
      <c r="BY223" t="n">
        <v>1.474</v>
      </c>
      <c r="BZ223" t="n">
        <v>0.09</v>
      </c>
      <c r="CA223" t="n">
        <v>3.018</v>
      </c>
      <c r="CB223" t="n">
        <v>0.185</v>
      </c>
      <c r="CC223" t="n">
        <v>8</v>
      </c>
      <c r="CD223" t="n">
        <v>3</v>
      </c>
      <c r="CE223" t="n">
        <v>8</v>
      </c>
      <c r="CF223" t="n">
        <v>4</v>
      </c>
      <c r="CI223" t="n">
        <v>3.57</v>
      </c>
      <c r="CJ223" t="n">
        <v>2.168</v>
      </c>
      <c r="CK223" t="n">
        <v>65</v>
      </c>
      <c r="CL223" t="n">
        <v>56</v>
      </c>
      <c r="CM223" t="n">
        <v>11</v>
      </c>
      <c r="CN223" t="n">
        <v>8</v>
      </c>
      <c r="CO223" t="n">
        <v>17</v>
      </c>
      <c r="CP223" t="n">
        <v>44</v>
      </c>
      <c r="CQ223" t="n">
        <v>4</v>
      </c>
      <c r="CR223" t="n">
        <v>29</v>
      </c>
      <c r="CS223" t="n">
        <v>9</v>
      </c>
      <c r="CT223" t="n">
        <v>0.1</v>
      </c>
      <c r="CU223" t="n">
        <v>1</v>
      </c>
      <c r="CW223" t="n">
        <v>24.8</v>
      </c>
      <c r="CX223" t="n">
        <v>1.517</v>
      </c>
      <c r="CY223" t="n">
        <v>0</v>
      </c>
      <c r="DB223" t="n">
        <v>0</v>
      </c>
      <c r="DE223" t="n">
        <v>6.53</v>
      </c>
      <c r="DF223" t="n">
        <v>5</v>
      </c>
      <c r="DG223" t="n">
        <v>0</v>
      </c>
      <c r="DH223" t="n">
        <v>12</v>
      </c>
      <c r="DI223" t="n">
        <v>2</v>
      </c>
      <c r="DL223" t="n">
        <v>7</v>
      </c>
      <c r="DM223" t="n">
        <v>17</v>
      </c>
      <c r="DO223" t="n">
        <v>0.2</v>
      </c>
      <c r="DP223" t="n">
        <v>17.88</v>
      </c>
      <c r="DQ223" t="n">
        <v>9.31</v>
      </c>
      <c r="DR223" t="n">
        <v>18.62</v>
      </c>
      <c r="DS223" t="n">
        <v>-0.74</v>
      </c>
      <c r="DT223" t="n">
        <v>285</v>
      </c>
      <c r="DU223" t="n">
        <v>7.51</v>
      </c>
      <c r="DV223" t="inlineStr">
        <is>
          <t>flat</t>
        </is>
      </c>
      <c r="EF223" t="n">
        <v>133.7</v>
      </c>
      <c r="EG223" t="n">
        <v>56.6</v>
      </c>
      <c r="EH223" t="n">
        <v>183.9</v>
      </c>
      <c r="EI223" t="n">
        <v>952.6</v>
      </c>
      <c r="EJ223" t="n">
        <v>997.8</v>
      </c>
      <c r="EK223" t="n">
        <v>487.3</v>
      </c>
      <c r="EL223" t="n">
        <v>24.1</v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n">
        <v>5.5</v>
      </c>
      <c r="F224" t="b">
        <v>1</v>
      </c>
      <c r="G224" t="b">
        <v>1</v>
      </c>
      <c r="H224" t="n">
        <v>25.2</v>
      </c>
      <c r="I224" t="inlineStr">
        <is>
          <t>a</t>
        </is>
      </c>
      <c r="L224" t="inlineStr">
        <is>
          <t>p448514</t>
        </is>
      </c>
      <c r="M224" t="n">
        <v>392</v>
      </c>
      <c r="Q224" t="n">
        <v>971</v>
      </c>
      <c r="R224" t="n">
        <v>17</v>
      </c>
      <c r="S224" t="n">
        <v>12</v>
      </c>
      <c r="T224" t="n">
        <v>10.789</v>
      </c>
      <c r="U224" t="n">
        <v>57.1</v>
      </c>
      <c r="V224" t="n">
        <v>60</v>
      </c>
      <c r="W224" t="n">
        <v>5.561</v>
      </c>
      <c r="X224" t="n">
        <v>0</v>
      </c>
      <c r="Y224" t="n">
        <v>2</v>
      </c>
      <c r="Z224" t="n">
        <v>2</v>
      </c>
      <c r="AA224" t="n">
        <v>5</v>
      </c>
      <c r="AB224" t="n">
        <v>8</v>
      </c>
      <c r="AC224" t="n">
        <v>9</v>
      </c>
      <c r="AD224" t="n">
        <v>10</v>
      </c>
      <c r="AE224" t="n">
        <v>1</v>
      </c>
      <c r="AF224" t="n">
        <v>237</v>
      </c>
      <c r="AG224" t="n">
        <v>231</v>
      </c>
      <c r="AH224" t="n">
        <v>-6</v>
      </c>
      <c r="AI224" t="n">
        <v>61</v>
      </c>
      <c r="AJ224" t="n">
        <v>0.15</v>
      </c>
      <c r="AK224" t="n">
        <v>0.176</v>
      </c>
      <c r="AL224" t="n">
        <v>67</v>
      </c>
      <c r="AM224" t="n">
        <v>6.21</v>
      </c>
      <c r="AN224" t="n">
        <v>1</v>
      </c>
      <c r="AO224" t="n">
        <v>2</v>
      </c>
      <c r="AP224" t="n">
        <v>0.083</v>
      </c>
      <c r="AQ224" t="n">
        <v>0.083</v>
      </c>
      <c r="AR224" t="n">
        <v>0.083</v>
      </c>
      <c r="AS224" t="n">
        <v>0.316</v>
      </c>
      <c r="AT224" t="n">
        <v>0.588</v>
      </c>
      <c r="AU224" t="n">
        <v>11</v>
      </c>
      <c r="AV224" t="n">
        <v>1</v>
      </c>
      <c r="AW224" t="n">
        <v>2.96</v>
      </c>
      <c r="AX224" t="n">
        <v>11</v>
      </c>
      <c r="AY224" t="n">
        <v>0.53</v>
      </c>
      <c r="AZ224" t="n">
        <v>0.498</v>
      </c>
      <c r="BA224" t="n">
        <v>0.514</v>
      </c>
      <c r="BB224" t="n">
        <v>0.498</v>
      </c>
      <c r="BC224" t="n">
        <v>0.049</v>
      </c>
      <c r="BD224" t="n">
        <v>0.046</v>
      </c>
      <c r="BE224" t="n">
        <v>0.048</v>
      </c>
      <c r="BF224" t="n">
        <v>0.2</v>
      </c>
      <c r="BG224" t="n">
        <v>0.019</v>
      </c>
      <c r="BH224" t="n">
        <v>0.949</v>
      </c>
      <c r="BI224" t="n">
        <v>7.6</v>
      </c>
      <c r="BJ224" t="n">
        <v>0.503</v>
      </c>
      <c r="BK224" t="n">
        <v>0.047</v>
      </c>
      <c r="BL224" t="n">
        <v>-0.514</v>
      </c>
      <c r="BM224" t="n">
        <v>-0.33</v>
      </c>
      <c r="BN224" t="n">
        <v>-0.2</v>
      </c>
      <c r="BO224" t="n">
        <v>0.032</v>
      </c>
      <c r="BP224" t="n">
        <v>10</v>
      </c>
      <c r="BQ224" t="n">
        <v>2</v>
      </c>
      <c r="BR224" t="n">
        <v>1</v>
      </c>
      <c r="BS224" t="n">
        <v>27</v>
      </c>
      <c r="BT224" t="n">
        <v>2.503</v>
      </c>
      <c r="BW224" t="n">
        <v>2.01</v>
      </c>
      <c r="BX224" t="n">
        <v>1.733</v>
      </c>
      <c r="BY224" t="n">
        <v>1.872</v>
      </c>
      <c r="BZ224" t="n">
        <v>0.173</v>
      </c>
      <c r="CA224" t="n">
        <v>2.386</v>
      </c>
      <c r="CB224" t="n">
        <v>0.221</v>
      </c>
      <c r="CC224" t="n">
        <v>12</v>
      </c>
      <c r="CD224" t="n">
        <v>2</v>
      </c>
      <c r="CE224" t="n">
        <v>12</v>
      </c>
      <c r="CF224" t="n">
        <v>6</v>
      </c>
      <c r="CH224" t="n">
        <v>7</v>
      </c>
      <c r="CI224" t="n">
        <v>7.305</v>
      </c>
      <c r="CJ224" t="n">
        <v>6.587</v>
      </c>
      <c r="CK224" t="n">
        <v>32</v>
      </c>
      <c r="CL224" t="n">
        <v>49</v>
      </c>
      <c r="CM224" t="n">
        <v>35</v>
      </c>
      <c r="CN224" t="n">
        <v>22</v>
      </c>
      <c r="CO224" t="n">
        <v>13</v>
      </c>
      <c r="CP224" t="n">
        <v>18</v>
      </c>
      <c r="CQ224" t="n">
        <v>1</v>
      </c>
      <c r="CR224" t="n">
        <v>81</v>
      </c>
      <c r="CS224" t="n">
        <v>14</v>
      </c>
      <c r="CV224" t="n">
        <v>1</v>
      </c>
      <c r="CW224" t="n">
        <v>12.25</v>
      </c>
      <c r="CX224" t="n">
        <v>1.135</v>
      </c>
      <c r="CY224" t="n">
        <v>0</v>
      </c>
      <c r="DB224" t="n">
        <v>0</v>
      </c>
      <c r="DF224" t="n">
        <v>2</v>
      </c>
      <c r="DG224" t="n">
        <v>0</v>
      </c>
      <c r="DH224" t="n">
        <v>17</v>
      </c>
      <c r="DI224" t="n">
        <v>10</v>
      </c>
      <c r="DL224" t="n">
        <v>22</v>
      </c>
      <c r="DM224" t="n">
        <v>12</v>
      </c>
      <c r="DO224" t="n">
        <v>1.2</v>
      </c>
      <c r="DP224" t="n">
        <v>46.83</v>
      </c>
      <c r="DQ224" t="n">
        <v>23.75</v>
      </c>
      <c r="DR224" t="n">
        <v>47.5</v>
      </c>
      <c r="DS224" t="n">
        <v>-0.67</v>
      </c>
      <c r="DT224" t="n">
        <v>975</v>
      </c>
      <c r="DU224" t="n">
        <v>25.65</v>
      </c>
      <c r="DV224" t="inlineStr">
        <is>
          <t>flat</t>
        </is>
      </c>
      <c r="DW224" t="n">
        <v>86.12</v>
      </c>
      <c r="DX224" t="n">
        <v>93.83</v>
      </c>
      <c r="DY224" t="n">
        <v>20.09</v>
      </c>
      <c r="DZ224" t="n">
        <v>41.78</v>
      </c>
      <c r="EA224" t="n">
        <v>120</v>
      </c>
      <c r="EB224" t="n">
        <v>80</v>
      </c>
      <c r="EC224" t="n">
        <v>38.5</v>
      </c>
      <c r="ED224" t="n">
        <v>38</v>
      </c>
      <c r="EE224" t="n">
        <v>164</v>
      </c>
      <c r="EF224" t="n">
        <v>97.09999999999999</v>
      </c>
      <c r="EG224" t="n">
        <v>36</v>
      </c>
      <c r="EH224" t="n">
        <v>80.90000000000001</v>
      </c>
      <c r="EI224" t="n">
        <v>1888.8</v>
      </c>
      <c r="EJ224" t="n">
        <v>518.8</v>
      </c>
      <c r="EK224" t="n">
        <v>407</v>
      </c>
      <c r="EL224" t="n">
        <v>16.2</v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n">
        <v>5.5</v>
      </c>
      <c r="F225" t="b">
        <v>1</v>
      </c>
      <c r="G225" t="b">
        <v>1</v>
      </c>
      <c r="H225" t="n">
        <v>23</v>
      </c>
      <c r="I225" t="inlineStr">
        <is>
          <t>a</t>
        </is>
      </c>
      <c r="L225" t="inlineStr">
        <is>
          <t>p469272</t>
        </is>
      </c>
      <c r="M225" t="n">
        <v>190</v>
      </c>
      <c r="Q225" t="n">
        <v>1259</v>
      </c>
      <c r="R225" t="n">
        <v>29</v>
      </c>
      <c r="S225" t="n">
        <v>14</v>
      </c>
      <c r="T225" t="n">
        <v>13.989</v>
      </c>
      <c r="U225" t="n">
        <v>43.4</v>
      </c>
      <c r="V225" t="n">
        <v>59</v>
      </c>
      <c r="W225" t="n">
        <v>4.218</v>
      </c>
      <c r="X225" t="n">
        <v>2</v>
      </c>
      <c r="Y225" t="n">
        <v>2</v>
      </c>
      <c r="Z225" t="n">
        <v>1</v>
      </c>
      <c r="AA225" t="n">
        <v>2</v>
      </c>
      <c r="AB225" t="n">
        <v>24</v>
      </c>
      <c r="AC225" t="n">
        <v>0</v>
      </c>
      <c r="AD225" t="n">
        <v>0</v>
      </c>
      <c r="AE225" t="n">
        <v>0</v>
      </c>
      <c r="AF225" t="n">
        <v>208</v>
      </c>
      <c r="AG225" t="n">
        <v>207</v>
      </c>
      <c r="AH225" t="n">
        <v>-1</v>
      </c>
      <c r="AI225" t="n">
        <v>59</v>
      </c>
      <c r="AJ225" t="n">
        <v>0</v>
      </c>
      <c r="AK225" t="n">
        <v>0</v>
      </c>
      <c r="AL225" t="n">
        <v>69</v>
      </c>
      <c r="AM225" t="n">
        <v>4.932</v>
      </c>
      <c r="AN225" t="n">
        <v>1</v>
      </c>
      <c r="AO225" t="n">
        <v>2</v>
      </c>
      <c r="AP225" t="n">
        <v>0.07099999999999999</v>
      </c>
      <c r="AQ225" t="n">
        <v>0.07099999999999999</v>
      </c>
      <c r="AR225" t="n">
        <v>0.07099999999999999</v>
      </c>
      <c r="AS225" t="n">
        <v>0.368</v>
      </c>
      <c r="AT225" t="n">
        <v>0.414</v>
      </c>
      <c r="AU225" t="n">
        <v>22</v>
      </c>
      <c r="AV225" t="n">
        <v>0</v>
      </c>
      <c r="AW225" t="n">
        <v>1.57</v>
      </c>
      <c r="AX225" t="n">
        <v>6</v>
      </c>
      <c r="AY225" t="n">
        <v>1.27</v>
      </c>
      <c r="AZ225" t="n">
        <v>1.259</v>
      </c>
      <c r="BA225" t="n">
        <v>1.265</v>
      </c>
      <c r="BB225" t="n">
        <v>1.259</v>
      </c>
      <c r="BC225" t="n">
        <v>0.091</v>
      </c>
      <c r="BD225" t="n">
        <v>0.09</v>
      </c>
      <c r="BE225" t="n">
        <v>0.09</v>
      </c>
      <c r="BF225" t="n">
        <v>1.1</v>
      </c>
      <c r="BG225" t="n">
        <v>0.079</v>
      </c>
      <c r="BH225" t="n">
        <v>0.982</v>
      </c>
      <c r="BI225" t="n">
        <v>1.27</v>
      </c>
      <c r="BJ225" t="n">
        <v>1.247</v>
      </c>
      <c r="BK225" t="n">
        <v>0.089</v>
      </c>
      <c r="BL225" t="n">
        <v>0.735</v>
      </c>
      <c r="BM225" t="n">
        <v>-0.17</v>
      </c>
      <c r="BN225" t="n">
        <v>0.9</v>
      </c>
      <c r="BO225" t="n">
        <v>0.011</v>
      </c>
      <c r="BP225" t="n">
        <v>23</v>
      </c>
      <c r="BQ225" t="n">
        <v>9</v>
      </c>
      <c r="BR225" t="n">
        <v>1</v>
      </c>
      <c r="BS225" t="n">
        <v>29</v>
      </c>
      <c r="BT225" t="n">
        <v>2.073</v>
      </c>
      <c r="BW225" t="n">
        <v>0.91</v>
      </c>
      <c r="BX225" t="n">
        <v>1.2</v>
      </c>
      <c r="BY225" t="n">
        <v>1.055</v>
      </c>
      <c r="BZ225" t="n">
        <v>0.075</v>
      </c>
      <c r="CA225" t="n">
        <v>2.319</v>
      </c>
      <c r="CB225" t="n">
        <v>0.166</v>
      </c>
      <c r="CC225" t="n">
        <v>13</v>
      </c>
      <c r="CD225" t="n">
        <v>1</v>
      </c>
      <c r="CE225" t="n">
        <v>13</v>
      </c>
      <c r="CF225" t="n">
        <v>10</v>
      </c>
      <c r="CH225" t="n">
        <v>1</v>
      </c>
      <c r="CI225" t="n">
        <v>4.214</v>
      </c>
      <c r="CJ225" t="n">
        <v>1.974</v>
      </c>
      <c r="CK225" t="n">
        <v>13</v>
      </c>
      <c r="CL225" t="n">
        <v>38</v>
      </c>
      <c r="CM225" t="n">
        <v>18</v>
      </c>
      <c r="CN225" t="n">
        <v>9</v>
      </c>
      <c r="CO225" t="n">
        <v>2</v>
      </c>
      <c r="CP225" t="n">
        <v>10</v>
      </c>
      <c r="CQ225" t="n">
        <v>1</v>
      </c>
      <c r="CR225" t="n">
        <v>54</v>
      </c>
      <c r="CS225" t="n">
        <v>14</v>
      </c>
      <c r="CT225" t="n">
        <v>0.4</v>
      </c>
      <c r="CV225" t="n">
        <v>2</v>
      </c>
      <c r="CW225" t="n">
        <v>25.04</v>
      </c>
      <c r="CX225" t="n">
        <v>1.79</v>
      </c>
      <c r="CY225" t="n">
        <v>0</v>
      </c>
      <c r="DB225" t="n">
        <v>0</v>
      </c>
      <c r="DE225" t="n">
        <v>6.34</v>
      </c>
      <c r="DF225" t="n">
        <v>2</v>
      </c>
      <c r="DG225" t="n">
        <v>0</v>
      </c>
      <c r="DH225" t="n">
        <v>13</v>
      </c>
      <c r="DI225" t="n">
        <v>16</v>
      </c>
      <c r="DL225" t="n">
        <v>7</v>
      </c>
      <c r="DM225" t="n">
        <v>17</v>
      </c>
      <c r="DN225" t="n">
        <v>1</v>
      </c>
      <c r="DO225" t="n">
        <v>0.1</v>
      </c>
      <c r="DP225" t="n">
        <v>85.12</v>
      </c>
      <c r="DQ225" t="n">
        <v>42.67</v>
      </c>
      <c r="DR225" t="n">
        <v>85.34</v>
      </c>
      <c r="DS225" t="n">
        <v>-0.22</v>
      </c>
      <c r="DT225" t="n">
        <v>2212</v>
      </c>
      <c r="DU225" t="n">
        <v>58.2</v>
      </c>
      <c r="DV225" t="inlineStr">
        <is>
          <t>flat</t>
        </is>
      </c>
      <c r="EF225" t="n">
        <v>54.7</v>
      </c>
      <c r="EG225" t="n">
        <v>43.4</v>
      </c>
      <c r="EH225" t="n">
        <v>96.8</v>
      </c>
      <c r="EI225" t="n">
        <v>995.6</v>
      </c>
      <c r="EJ225" t="n">
        <v>1193.6</v>
      </c>
      <c r="EK225" t="n">
        <v>542.8</v>
      </c>
      <c r="EL225" t="n">
        <v>21.3</v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n">
        <v>5</v>
      </c>
      <c r="F226" t="b">
        <v>1</v>
      </c>
      <c r="G226" t="b">
        <v>1</v>
      </c>
      <c r="H226" t="n">
        <v>23.8</v>
      </c>
      <c r="I226" t="inlineStr">
        <is>
          <t>d</t>
        </is>
      </c>
      <c r="J226" t="inlineStr">
        <is>
          <t>Calf injury - 75% chance of playing</t>
        </is>
      </c>
      <c r="K226" t="n">
        <v>75</v>
      </c>
      <c r="L226" t="inlineStr">
        <is>
          <t>p441191</t>
        </is>
      </c>
      <c r="M226" t="n">
        <v>450</v>
      </c>
      <c r="Q226" t="n">
        <v>1326</v>
      </c>
      <c r="R226" t="n">
        <v>17</v>
      </c>
      <c r="S226" t="n">
        <v>14</v>
      </c>
      <c r="T226" t="n">
        <v>14.733</v>
      </c>
      <c r="U226" t="n">
        <v>78</v>
      </c>
      <c r="V226" t="n">
        <v>59</v>
      </c>
      <c r="W226" t="n">
        <v>4.005</v>
      </c>
      <c r="X226" t="n">
        <v>0</v>
      </c>
      <c r="Y226" t="n">
        <v>1</v>
      </c>
      <c r="Z226" t="n">
        <v>1</v>
      </c>
      <c r="AA226" t="n">
        <v>6</v>
      </c>
      <c r="AB226" t="n">
        <v>14</v>
      </c>
      <c r="AC226" t="n">
        <v>3</v>
      </c>
      <c r="AD226" t="n">
        <v>3</v>
      </c>
      <c r="AE226" t="n">
        <v>0</v>
      </c>
      <c r="AF226" t="n">
        <v>252</v>
      </c>
      <c r="AG226" t="n">
        <v>247</v>
      </c>
      <c r="AH226" t="n">
        <v>-5</v>
      </c>
      <c r="AI226" t="n">
        <v>59</v>
      </c>
      <c r="AJ226" t="n">
        <v>0.051</v>
      </c>
      <c r="AK226" t="n">
        <v>0.054</v>
      </c>
      <c r="AL226" t="n">
        <v>68</v>
      </c>
      <c r="AM226" t="n">
        <v>4.615</v>
      </c>
      <c r="AN226" t="n">
        <v>1</v>
      </c>
      <c r="AO226" t="n">
        <v>2</v>
      </c>
      <c r="AP226" t="n">
        <v>0.07099999999999999</v>
      </c>
      <c r="AQ226" t="n">
        <v>0.07099999999999999</v>
      </c>
      <c r="AR226" t="n">
        <v>0.07099999999999999</v>
      </c>
      <c r="AS226" t="n">
        <v>0.368</v>
      </c>
      <c r="AT226" t="n">
        <v>0.824</v>
      </c>
      <c r="AU226" t="n">
        <v>9</v>
      </c>
      <c r="AV226" t="n">
        <v>0</v>
      </c>
      <c r="AW226" t="n">
        <v>2.41</v>
      </c>
      <c r="AX226" t="n">
        <v>9</v>
      </c>
      <c r="AY226" t="n">
        <v>0.13</v>
      </c>
      <c r="AZ226" t="n">
        <v>0.152</v>
      </c>
      <c r="BA226" t="n">
        <v>0.141</v>
      </c>
      <c r="BB226" t="n">
        <v>0.152</v>
      </c>
      <c r="BC226" t="n">
        <v>0.008999999999999999</v>
      </c>
      <c r="BD226" t="n">
        <v>0.01</v>
      </c>
      <c r="BE226" t="n">
        <v>0.01</v>
      </c>
      <c r="BH226" t="n">
        <v>1.052</v>
      </c>
      <c r="BI226" t="n">
        <v>0.84</v>
      </c>
      <c r="BJ226" t="n">
        <v>0.137</v>
      </c>
      <c r="BK226" t="n">
        <v>0.008999999999999999</v>
      </c>
      <c r="BL226" t="n">
        <v>-0.141</v>
      </c>
      <c r="BO226" t="n">
        <v>-0.022</v>
      </c>
      <c r="BP226" t="n">
        <v>3</v>
      </c>
      <c r="BS226" t="n">
        <v>18</v>
      </c>
      <c r="BT226" t="n">
        <v>1.222</v>
      </c>
      <c r="BW226" t="n">
        <v>0.89</v>
      </c>
      <c r="BX226" t="n">
        <v>0.616</v>
      </c>
      <c r="BY226" t="n">
        <v>0.753</v>
      </c>
      <c r="BZ226" t="n">
        <v>0.051</v>
      </c>
      <c r="CA226" t="n">
        <v>0.894</v>
      </c>
      <c r="CB226" t="n">
        <v>0.061</v>
      </c>
      <c r="CC226" t="n">
        <v>10</v>
      </c>
      <c r="CD226" t="n">
        <v>1</v>
      </c>
      <c r="CE226" t="n">
        <v>10</v>
      </c>
      <c r="CF226" t="n">
        <v>9</v>
      </c>
      <c r="CG226" t="n">
        <v>1</v>
      </c>
      <c r="CI226" t="n">
        <v>6.228</v>
      </c>
      <c r="CJ226" t="n">
        <v>5.612</v>
      </c>
      <c r="CK226" t="n">
        <v>46</v>
      </c>
      <c r="CL226" t="n">
        <v>81</v>
      </c>
      <c r="CM226" t="n">
        <v>22</v>
      </c>
      <c r="CN226" t="n">
        <v>15</v>
      </c>
      <c r="CO226" t="n">
        <v>6</v>
      </c>
      <c r="CP226" t="n">
        <v>39</v>
      </c>
      <c r="CQ226" t="n">
        <v>2</v>
      </c>
      <c r="CR226" t="n">
        <v>61</v>
      </c>
      <c r="CS226" t="n">
        <v>9</v>
      </c>
      <c r="CU226" t="n">
        <v>0</v>
      </c>
      <c r="CV226" t="n">
        <v>0</v>
      </c>
      <c r="CW226" t="n">
        <v>18.62</v>
      </c>
      <c r="CX226" t="n">
        <v>1.264</v>
      </c>
      <c r="CY226" t="n">
        <v>0</v>
      </c>
      <c r="DB226" t="n">
        <v>0</v>
      </c>
      <c r="DF226" t="n">
        <v>1</v>
      </c>
      <c r="DG226" t="n">
        <v>0</v>
      </c>
      <c r="DH226" t="n">
        <v>7</v>
      </c>
      <c r="DI226" t="n">
        <v>16</v>
      </c>
      <c r="DL226" t="n">
        <v>14</v>
      </c>
      <c r="DM226" t="n">
        <v>9</v>
      </c>
      <c r="DN226" t="n">
        <v>2</v>
      </c>
      <c r="DO226" t="n">
        <v>0.1</v>
      </c>
      <c r="DP226" t="n">
        <v>114.47</v>
      </c>
      <c r="DQ226" t="n">
        <v>56.9</v>
      </c>
      <c r="DR226" t="n">
        <v>113.8</v>
      </c>
      <c r="DS226" t="n">
        <v>0.67</v>
      </c>
      <c r="DT226" t="n">
        <v>3215</v>
      </c>
      <c r="DU226" t="n">
        <v>84.59999999999999</v>
      </c>
      <c r="DV226" t="inlineStr">
        <is>
          <t>flat</t>
        </is>
      </c>
      <c r="DW226" t="n">
        <v>94.58</v>
      </c>
      <c r="DX226" t="n">
        <v>95.83</v>
      </c>
      <c r="DY226" t="n">
        <v>18.78</v>
      </c>
      <c r="DZ226" t="n">
        <v>52.67</v>
      </c>
      <c r="EA226" t="n">
        <v>116</v>
      </c>
      <c r="EB226" t="n">
        <v>35</v>
      </c>
      <c r="EC226" t="n">
        <v>16.8</v>
      </c>
      <c r="ED226" t="n">
        <v>10.3</v>
      </c>
      <c r="EE226" t="n">
        <v>275</v>
      </c>
      <c r="EF226" t="n">
        <v>442</v>
      </c>
      <c r="EG226" t="n">
        <v>73.7</v>
      </c>
      <c r="EH226" t="n">
        <v>132.6</v>
      </c>
      <c r="EI226" t="n">
        <v>9394.700000000001</v>
      </c>
      <c r="EJ226" t="n">
        <v>1760.6</v>
      </c>
      <c r="EK226" t="n">
        <v>1482.8</v>
      </c>
      <c r="EL226" t="n">
        <v>22.5</v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n">
        <v>5</v>
      </c>
      <c r="F227" t="b">
        <v>1</v>
      </c>
      <c r="G227" t="b">
        <v>1</v>
      </c>
      <c r="H227" t="n">
        <v>29.1</v>
      </c>
      <c r="I227" t="inlineStr">
        <is>
          <t>a</t>
        </is>
      </c>
      <c r="L227" t="inlineStr">
        <is>
          <t>p111317</t>
        </is>
      </c>
      <c r="M227" t="n">
        <v>74</v>
      </c>
      <c r="O227" t="n">
        <v>4</v>
      </c>
      <c r="P227" t="n">
        <v>3</v>
      </c>
      <c r="Q227" t="n">
        <v>1188</v>
      </c>
      <c r="R227" t="n">
        <v>31</v>
      </c>
      <c r="S227" t="n">
        <v>13</v>
      </c>
      <c r="T227" t="n">
        <v>13.2</v>
      </c>
      <c r="U227" t="n">
        <v>38.3</v>
      </c>
      <c r="V227" t="n">
        <v>59</v>
      </c>
      <c r="W227" t="n">
        <v>4.47</v>
      </c>
      <c r="X227" t="n">
        <v>1</v>
      </c>
      <c r="Y227" t="n">
        <v>3</v>
      </c>
      <c r="Z227" t="n">
        <v>3</v>
      </c>
      <c r="AA227" t="n">
        <v>5</v>
      </c>
      <c r="AB227" t="n">
        <v>20</v>
      </c>
      <c r="AC227" t="n">
        <v>4</v>
      </c>
      <c r="AD227" t="n">
        <v>4</v>
      </c>
      <c r="AE227" t="n">
        <v>0</v>
      </c>
      <c r="AF227" t="n">
        <v>215</v>
      </c>
      <c r="AG227" t="n">
        <v>211</v>
      </c>
      <c r="AH227" t="n">
        <v>-4</v>
      </c>
      <c r="AI227" t="n">
        <v>59</v>
      </c>
      <c r="AJ227" t="n">
        <v>0.068</v>
      </c>
      <c r="AK227" t="n">
        <v>0.073</v>
      </c>
      <c r="AL227" t="n">
        <v>94</v>
      </c>
      <c r="AM227" t="n">
        <v>7.121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0.342</v>
      </c>
      <c r="AT227" t="n">
        <v>0.387</v>
      </c>
      <c r="AU227" t="n">
        <v>23</v>
      </c>
      <c r="AV227" t="n">
        <v>1</v>
      </c>
      <c r="AW227" t="n">
        <v>1.88</v>
      </c>
      <c r="AX227" t="n">
        <v>10</v>
      </c>
      <c r="AY227" t="n">
        <v>5.81</v>
      </c>
      <c r="AZ227" t="n">
        <v>6.54</v>
      </c>
      <c r="BA227" t="n">
        <v>6.175</v>
      </c>
      <c r="BB227" t="n">
        <v>6.54</v>
      </c>
      <c r="BC227" t="n">
        <v>0.44</v>
      </c>
      <c r="BD227" t="n">
        <v>0.495</v>
      </c>
      <c r="BE227" t="n">
        <v>0.468</v>
      </c>
      <c r="BF227" t="n">
        <v>3.2</v>
      </c>
      <c r="BG227" t="n">
        <v>0.242</v>
      </c>
      <c r="BH227" t="n">
        <v>0.887</v>
      </c>
      <c r="BI227" t="n">
        <v>11.17</v>
      </c>
      <c r="BJ227" t="n">
        <v>5.152</v>
      </c>
      <c r="BK227" t="n">
        <v>0.39</v>
      </c>
      <c r="BL227" t="n">
        <v>-5.175</v>
      </c>
      <c r="BM227" t="n">
        <v>-2.61</v>
      </c>
      <c r="BN227" t="n">
        <v>-2.2</v>
      </c>
      <c r="BO227" t="n">
        <v>-0.73</v>
      </c>
      <c r="BP227" t="n">
        <v>48</v>
      </c>
      <c r="BQ227" t="n">
        <v>13</v>
      </c>
      <c r="BR227" t="n">
        <v>11</v>
      </c>
      <c r="BS227" t="n">
        <v>73</v>
      </c>
      <c r="BT227" t="n">
        <v>5.53</v>
      </c>
      <c r="BW227" t="n">
        <v>3.4</v>
      </c>
      <c r="BX227" t="n">
        <v>4.197</v>
      </c>
      <c r="BY227" t="n">
        <v>3.798</v>
      </c>
      <c r="BZ227" t="n">
        <v>0.288</v>
      </c>
      <c r="CA227" t="n">
        <v>9.973000000000001</v>
      </c>
      <c r="CB227" t="n">
        <v>0.756</v>
      </c>
      <c r="CC227" t="n">
        <v>25</v>
      </c>
      <c r="CD227" t="n">
        <v>8</v>
      </c>
      <c r="CE227" t="n">
        <v>26</v>
      </c>
      <c r="CF227" t="n">
        <v>11</v>
      </c>
      <c r="CG227" t="n">
        <v>3</v>
      </c>
      <c r="CH227" t="n">
        <v>22</v>
      </c>
      <c r="CI227" t="n">
        <v>12.195</v>
      </c>
      <c r="CJ227" t="n">
        <v>2.666</v>
      </c>
      <c r="CK227" t="n">
        <v>19</v>
      </c>
      <c r="CL227" t="n">
        <v>56</v>
      </c>
      <c r="CM227" t="n">
        <v>19</v>
      </c>
      <c r="CN227" t="n">
        <v>13</v>
      </c>
      <c r="CO227" t="n">
        <v>4</v>
      </c>
      <c r="CP227" t="n">
        <v>15</v>
      </c>
      <c r="CR227" t="n">
        <v>55</v>
      </c>
      <c r="CS227" t="n">
        <v>6</v>
      </c>
      <c r="CT227" t="n">
        <v>0.5</v>
      </c>
      <c r="CW227" t="n">
        <v>20.25</v>
      </c>
      <c r="CX227" t="n">
        <v>1.534</v>
      </c>
      <c r="CY227" t="n">
        <v>0</v>
      </c>
      <c r="DB227" t="n">
        <v>0</v>
      </c>
      <c r="DE227" t="n">
        <v>6.63</v>
      </c>
      <c r="DF227" t="n">
        <v>7</v>
      </c>
      <c r="DG227" t="n">
        <v>0</v>
      </c>
      <c r="DH227" t="n">
        <v>11</v>
      </c>
      <c r="DI227" t="n">
        <v>13</v>
      </c>
      <c r="DL227" t="n">
        <v>17</v>
      </c>
      <c r="DM227" t="n">
        <v>10</v>
      </c>
      <c r="DN227" t="n">
        <v>2</v>
      </c>
      <c r="DO227" t="n">
        <v>0.2</v>
      </c>
      <c r="DP227" t="n">
        <v>42.65</v>
      </c>
      <c r="DQ227" t="n">
        <v>23.23</v>
      </c>
      <c r="DR227" t="n">
        <v>46.46</v>
      </c>
      <c r="DS227" t="n">
        <v>-3.81</v>
      </c>
      <c r="DT227" t="n">
        <v>484</v>
      </c>
      <c r="DU227" t="n">
        <v>12.74</v>
      </c>
      <c r="DV227" t="inlineStr">
        <is>
          <t>flat</t>
        </is>
      </c>
      <c r="EF227" t="n">
        <v>24.8</v>
      </c>
      <c r="EG227" t="n">
        <v>16.3</v>
      </c>
      <c r="EH227" t="n">
        <v>45.7</v>
      </c>
      <c r="EI227" t="n">
        <v>192.4</v>
      </c>
      <c r="EJ227" t="n">
        <v>312.8</v>
      </c>
      <c r="EK227" t="n">
        <v>119.1</v>
      </c>
      <c r="EL227" t="n">
        <v>20.1</v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n">
        <v>4.5</v>
      </c>
      <c r="F228" t="b">
        <v>1</v>
      </c>
      <c r="G228" t="b">
        <v>1</v>
      </c>
      <c r="H228" t="n">
        <v>35.3</v>
      </c>
      <c r="I228" t="inlineStr">
        <is>
          <t>a</t>
        </is>
      </c>
      <c r="L228" t="inlineStr">
        <is>
          <t>p54469</t>
        </is>
      </c>
      <c r="M228" t="n">
        <v>64</v>
      </c>
      <c r="Q228" t="n">
        <v>1073</v>
      </c>
      <c r="R228" t="n">
        <v>22</v>
      </c>
      <c r="S228" t="n">
        <v>14</v>
      </c>
      <c r="T228" t="n">
        <v>11.922</v>
      </c>
      <c r="U228" t="n">
        <v>48.8</v>
      </c>
      <c r="V228" t="n">
        <v>58</v>
      </c>
      <c r="W228" t="n">
        <v>4.865</v>
      </c>
      <c r="X228" t="n">
        <v>0</v>
      </c>
      <c r="Y228" t="n">
        <v>2</v>
      </c>
      <c r="Z228" t="n">
        <v>2</v>
      </c>
      <c r="AA228" t="n">
        <v>6</v>
      </c>
      <c r="AB228" t="n">
        <v>16</v>
      </c>
      <c r="AC228" t="n">
        <v>4</v>
      </c>
      <c r="AD228" t="n">
        <v>4</v>
      </c>
      <c r="AE228" t="n">
        <v>0</v>
      </c>
      <c r="AF228" t="n">
        <v>185</v>
      </c>
      <c r="AG228" t="n">
        <v>171</v>
      </c>
      <c r="AH228" t="n">
        <v>-14</v>
      </c>
      <c r="AI228" t="n">
        <v>58</v>
      </c>
      <c r="AJ228" t="n">
        <v>0.06900000000000001</v>
      </c>
      <c r="AK228" t="n">
        <v>0.074</v>
      </c>
      <c r="AL228" t="n">
        <v>70</v>
      </c>
      <c r="AM228" t="n">
        <v>5.871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0.368</v>
      </c>
      <c r="AT228" t="n">
        <v>0.5</v>
      </c>
      <c r="AU228" t="n">
        <v>16</v>
      </c>
      <c r="AV228" t="n">
        <v>1</v>
      </c>
      <c r="AW228" t="n">
        <v>2.65</v>
      </c>
      <c r="AX228" t="n">
        <v>11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H228" t="n">
        <v>0.9350000000000001</v>
      </c>
      <c r="BI228" t="n">
        <v>1.2</v>
      </c>
      <c r="BJ228" t="n">
        <v>0</v>
      </c>
      <c r="BK228" t="n">
        <v>0</v>
      </c>
      <c r="BL228" t="n">
        <v>0</v>
      </c>
      <c r="BO228" t="n">
        <v>0</v>
      </c>
      <c r="BS228" t="n">
        <v>9</v>
      </c>
      <c r="BT228" t="n">
        <v>0.755</v>
      </c>
      <c r="BW228" t="n">
        <v>0.23</v>
      </c>
      <c r="BX228" t="n">
        <v>0.498</v>
      </c>
      <c r="BY228" t="n">
        <v>0.364</v>
      </c>
      <c r="BZ228" t="n">
        <v>0.031</v>
      </c>
      <c r="CA228" t="n">
        <v>0.364</v>
      </c>
      <c r="CB228" t="n">
        <v>0.031</v>
      </c>
      <c r="CC228" t="n">
        <v>6</v>
      </c>
      <c r="CD228" t="n">
        <v>1</v>
      </c>
      <c r="CE228" t="n">
        <v>5</v>
      </c>
      <c r="CF228" t="n">
        <v>1</v>
      </c>
      <c r="CI228" t="n">
        <v>4.537</v>
      </c>
      <c r="CJ228" t="n">
        <v>4.063</v>
      </c>
      <c r="CK228" t="n">
        <v>55</v>
      </c>
      <c r="CL228" t="n">
        <v>29</v>
      </c>
      <c r="CM228" t="n">
        <v>15</v>
      </c>
      <c r="CN228" t="n">
        <v>12</v>
      </c>
      <c r="CO228" t="n">
        <v>8</v>
      </c>
      <c r="CP228" t="n">
        <v>38</v>
      </c>
      <c r="CQ228" t="n">
        <v>9</v>
      </c>
      <c r="CR228" t="n">
        <v>40</v>
      </c>
      <c r="CS228" t="n">
        <v>14</v>
      </c>
      <c r="CW228" t="n">
        <v>18.18</v>
      </c>
      <c r="CX228" t="n">
        <v>1.525</v>
      </c>
      <c r="CY228" t="n">
        <v>0</v>
      </c>
      <c r="DB228" t="n">
        <v>0</v>
      </c>
      <c r="DF228" t="n">
        <v>3</v>
      </c>
      <c r="DG228" t="n">
        <v>0</v>
      </c>
      <c r="DH228" t="n">
        <v>19</v>
      </c>
      <c r="DI228" t="n">
        <v>11</v>
      </c>
      <c r="DL228" t="n">
        <v>1</v>
      </c>
      <c r="DM228" t="n">
        <v>2</v>
      </c>
      <c r="DO228" t="n">
        <v>0.1</v>
      </c>
      <c r="DP228" t="n">
        <v>18.89</v>
      </c>
      <c r="DQ228" t="n">
        <v>9.49</v>
      </c>
      <c r="DR228" t="n">
        <v>18.98</v>
      </c>
      <c r="DS228" t="n">
        <v>-0.09</v>
      </c>
      <c r="DT228" t="n">
        <v>379</v>
      </c>
      <c r="DU228" t="n">
        <v>9.970000000000001</v>
      </c>
      <c r="DV228" t="inlineStr">
        <is>
          <t>flat</t>
        </is>
      </c>
      <c r="EG228" t="n">
        <v>119.2</v>
      </c>
      <c r="EH228" t="n">
        <v>214.6</v>
      </c>
      <c r="EJ228" t="n">
        <v>2945.9</v>
      </c>
      <c r="EK228" t="n">
        <v>2945.9</v>
      </c>
      <c r="EL228" t="n">
        <v>18.5</v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n">
        <v>5.5</v>
      </c>
      <c r="F229" t="b">
        <v>1</v>
      </c>
      <c r="G229" t="b">
        <v>1</v>
      </c>
      <c r="H229" t="n">
        <v>27.6</v>
      </c>
      <c r="I229" t="inlineStr">
        <is>
          <t>a</t>
        </is>
      </c>
      <c r="L229" t="inlineStr">
        <is>
          <t>p184341</t>
        </is>
      </c>
      <c r="M229" t="n">
        <v>430</v>
      </c>
      <c r="P229" t="n">
        <v>3</v>
      </c>
      <c r="Q229" t="n">
        <v>1010</v>
      </c>
      <c r="R229" t="n">
        <v>23</v>
      </c>
      <c r="S229" t="n">
        <v>12</v>
      </c>
      <c r="T229" t="n">
        <v>11.222</v>
      </c>
      <c r="U229" t="n">
        <v>43.9</v>
      </c>
      <c r="V229" t="n">
        <v>58</v>
      </c>
      <c r="W229" t="n">
        <v>5.168</v>
      </c>
      <c r="X229" t="n">
        <v>3</v>
      </c>
      <c r="Y229" t="n">
        <v>0</v>
      </c>
      <c r="AA229" t="n">
        <v>5</v>
      </c>
      <c r="AB229" t="n">
        <v>15</v>
      </c>
      <c r="AC229" t="n">
        <v>3</v>
      </c>
      <c r="AD229" t="n">
        <v>3</v>
      </c>
      <c r="AE229" t="n">
        <v>0</v>
      </c>
      <c r="AF229" t="n">
        <v>201</v>
      </c>
      <c r="AG229" t="n">
        <v>197</v>
      </c>
      <c r="AH229" t="n">
        <v>-4</v>
      </c>
      <c r="AI229" t="n">
        <v>58</v>
      </c>
      <c r="AJ229" t="n">
        <v>0.052</v>
      </c>
      <c r="AK229" t="n">
        <v>0.055</v>
      </c>
      <c r="AL229" t="n">
        <v>102</v>
      </c>
      <c r="AM229" t="n">
        <v>9.089</v>
      </c>
      <c r="AN229" t="n">
        <v>2</v>
      </c>
      <c r="AO229" t="n">
        <v>4</v>
      </c>
      <c r="AP229" t="n">
        <v>0.167</v>
      </c>
      <c r="AQ229" t="n">
        <v>0.167</v>
      </c>
      <c r="AR229" t="n">
        <v>0.167</v>
      </c>
      <c r="AS229" t="n">
        <v>0.316</v>
      </c>
      <c r="AT229" t="n">
        <v>0.435</v>
      </c>
      <c r="AU229" t="n">
        <v>16</v>
      </c>
      <c r="AV229" t="n">
        <v>1</v>
      </c>
      <c r="AW229" t="n">
        <v>2.37</v>
      </c>
      <c r="AX229" t="n">
        <v>10</v>
      </c>
      <c r="AY229" t="n">
        <v>1.56</v>
      </c>
      <c r="AZ229" t="n">
        <v>1.745</v>
      </c>
      <c r="BA229" t="n">
        <v>1.652</v>
      </c>
      <c r="BB229" t="n">
        <v>1.745</v>
      </c>
      <c r="BC229" t="n">
        <v>0.139</v>
      </c>
      <c r="BD229" t="n">
        <v>0.155</v>
      </c>
      <c r="BE229" t="n">
        <v>0.147</v>
      </c>
      <c r="BF229" t="n">
        <v>1</v>
      </c>
      <c r="BG229" t="n">
        <v>0.089</v>
      </c>
      <c r="BH229" t="n">
        <v>0.878</v>
      </c>
      <c r="BI229" t="n">
        <v>7.27</v>
      </c>
      <c r="BJ229" t="n">
        <v>1.369</v>
      </c>
      <c r="BK229" t="n">
        <v>0.122</v>
      </c>
      <c r="BL229" t="n">
        <v>1.348</v>
      </c>
      <c r="BM229" t="n">
        <v>-0.5600000000000001</v>
      </c>
      <c r="BN229" t="n">
        <v>2</v>
      </c>
      <c r="BO229" t="n">
        <v>-0.185</v>
      </c>
      <c r="BP229" t="n">
        <v>19</v>
      </c>
      <c r="BQ229" t="n">
        <v>5</v>
      </c>
      <c r="BR229" t="n">
        <v>1</v>
      </c>
      <c r="BS229" t="n">
        <v>37</v>
      </c>
      <c r="BT229" t="n">
        <v>3.297</v>
      </c>
      <c r="BW229" t="n">
        <v>1.62</v>
      </c>
      <c r="BX229" t="n">
        <v>1.376</v>
      </c>
      <c r="BY229" t="n">
        <v>1.498</v>
      </c>
      <c r="BZ229" t="n">
        <v>0.134</v>
      </c>
      <c r="CA229" t="n">
        <v>3.151</v>
      </c>
      <c r="CB229" t="n">
        <v>0.281</v>
      </c>
      <c r="CC229" t="n">
        <v>14</v>
      </c>
      <c r="CD229" t="n">
        <v>1</v>
      </c>
      <c r="CE229" t="n">
        <v>13</v>
      </c>
      <c r="CF229" t="n">
        <v>1</v>
      </c>
      <c r="CG229" t="n">
        <v>4</v>
      </c>
      <c r="CH229" t="n">
        <v>10</v>
      </c>
      <c r="CI229" t="n">
        <v>6.608</v>
      </c>
      <c r="CJ229" t="n">
        <v>4.635</v>
      </c>
      <c r="CK229" t="n">
        <v>19</v>
      </c>
      <c r="CL229" t="n">
        <v>59</v>
      </c>
      <c r="CM229" t="n">
        <v>24</v>
      </c>
      <c r="CN229" t="n">
        <v>13</v>
      </c>
      <c r="CO229" t="n">
        <v>9</v>
      </c>
      <c r="CP229" t="n">
        <v>9</v>
      </c>
      <c r="CQ229" t="n">
        <v>1</v>
      </c>
      <c r="CR229" t="n">
        <v>50</v>
      </c>
      <c r="CS229" t="n">
        <v>7</v>
      </c>
      <c r="CT229" t="n">
        <v>0.9</v>
      </c>
      <c r="CW229" t="n">
        <v>12.46</v>
      </c>
      <c r="CX229" t="n">
        <v>1.11</v>
      </c>
      <c r="CY229" t="n">
        <v>0</v>
      </c>
      <c r="DB229" t="n">
        <v>0</v>
      </c>
      <c r="DF229" t="n">
        <v>2</v>
      </c>
      <c r="DG229" t="n">
        <v>0</v>
      </c>
      <c r="DH229" t="n">
        <v>16</v>
      </c>
      <c r="DI229" t="n">
        <v>12</v>
      </c>
      <c r="DJ229" t="n">
        <v>1</v>
      </c>
      <c r="DL229" t="n">
        <v>7</v>
      </c>
      <c r="DM229" t="n">
        <v>15</v>
      </c>
      <c r="DO229" t="n">
        <v>0.1</v>
      </c>
      <c r="DP229" t="n">
        <v>30.23</v>
      </c>
      <c r="DQ229" t="n">
        <v>15.29</v>
      </c>
      <c r="DR229" t="n">
        <v>30.58</v>
      </c>
      <c r="DS229" t="n">
        <v>-0.35</v>
      </c>
      <c r="DT229" t="n">
        <v>412</v>
      </c>
      <c r="DU229" t="n">
        <v>10.84</v>
      </c>
      <c r="DV229" t="inlineStr">
        <is>
          <t>flat</t>
        </is>
      </c>
      <c r="DW229" t="n">
        <v>92.97</v>
      </c>
      <c r="DX229" t="n">
        <v>111</v>
      </c>
      <c r="DY229" t="n">
        <v>14.75</v>
      </c>
      <c r="DZ229" t="n">
        <v>77.33</v>
      </c>
      <c r="EA229" t="n">
        <v>111</v>
      </c>
      <c r="EB229" t="n">
        <v>5</v>
      </c>
      <c r="EC229" t="n">
        <v>2.4</v>
      </c>
      <c r="ED229" t="n">
        <v>0</v>
      </c>
      <c r="EE229" t="n">
        <v>165</v>
      </c>
      <c r="EF229" t="n">
        <v>53.2</v>
      </c>
      <c r="EG229" t="n">
        <v>27.3</v>
      </c>
      <c r="EH229" t="n">
        <v>77.7</v>
      </c>
      <c r="EI229" t="n">
        <v>611.3</v>
      </c>
      <c r="EJ229" t="n">
        <v>674.1</v>
      </c>
      <c r="EK229" t="n">
        <v>320.6</v>
      </c>
      <c r="EL229" t="n">
        <v>17.4</v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n">
        <v>6.5</v>
      </c>
      <c r="F230" t="b">
        <v>1</v>
      </c>
      <c r="G230" t="b">
        <v>1</v>
      </c>
      <c r="H230" t="n">
        <v>19.3</v>
      </c>
      <c r="I230" t="inlineStr">
        <is>
          <t>a</t>
        </is>
      </c>
      <c r="L230" t="inlineStr">
        <is>
          <t>p624773</t>
        </is>
      </c>
      <c r="M230" t="n">
        <v>157</v>
      </c>
      <c r="N230" t="n">
        <v>3</v>
      </c>
      <c r="O230" t="n">
        <v>4</v>
      </c>
      <c r="Q230" t="n">
        <v>839</v>
      </c>
      <c r="R230" t="n">
        <v>22</v>
      </c>
      <c r="S230" t="n">
        <v>12</v>
      </c>
      <c r="T230" t="n">
        <v>9.321999999999999</v>
      </c>
      <c r="U230" t="n">
        <v>38.1</v>
      </c>
      <c r="V230" t="n">
        <v>58</v>
      </c>
      <c r="W230" t="n">
        <v>6.222</v>
      </c>
      <c r="X230" t="n">
        <v>2</v>
      </c>
      <c r="Y230" t="n">
        <v>5</v>
      </c>
      <c r="Z230" t="n">
        <v>2</v>
      </c>
      <c r="AA230" t="n">
        <v>4</v>
      </c>
      <c r="AB230" t="n">
        <v>11</v>
      </c>
      <c r="AC230" t="n">
        <v>4</v>
      </c>
      <c r="AD230" t="n">
        <v>4</v>
      </c>
      <c r="AE230" t="n">
        <v>0</v>
      </c>
      <c r="AF230" t="n">
        <v>172</v>
      </c>
      <c r="AG230" t="n">
        <v>172</v>
      </c>
      <c r="AH230" t="n">
        <v>0</v>
      </c>
      <c r="AI230" t="n">
        <v>58</v>
      </c>
      <c r="AJ230" t="n">
        <v>0.06900000000000001</v>
      </c>
      <c r="AK230" t="n">
        <v>0.074</v>
      </c>
      <c r="AL230" t="n">
        <v>56</v>
      </c>
      <c r="AM230" t="n">
        <v>6.007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0.316</v>
      </c>
      <c r="AT230" t="n">
        <v>0.318</v>
      </c>
      <c r="AU230" t="n">
        <v>13</v>
      </c>
      <c r="AV230" t="n">
        <v>1</v>
      </c>
      <c r="AW230" t="n">
        <v>2.64</v>
      </c>
      <c r="AX230" t="n">
        <v>13</v>
      </c>
      <c r="AY230" t="n">
        <v>2.91</v>
      </c>
      <c r="AZ230" t="n">
        <v>3.874</v>
      </c>
      <c r="BA230" t="n">
        <v>3.392</v>
      </c>
      <c r="BB230" t="n">
        <v>3.874</v>
      </c>
      <c r="BC230" t="n">
        <v>0.312</v>
      </c>
      <c r="BD230" t="n">
        <v>0.416</v>
      </c>
      <c r="BE230" t="n">
        <v>0.364</v>
      </c>
      <c r="BF230" t="n">
        <v>3.8</v>
      </c>
      <c r="BG230" t="n">
        <v>0.408</v>
      </c>
      <c r="BH230" t="n">
        <v>1.082</v>
      </c>
      <c r="BI230" t="n">
        <v>2.91</v>
      </c>
      <c r="BJ230" t="n">
        <v>3.147</v>
      </c>
      <c r="BK230" t="n">
        <v>0.338</v>
      </c>
      <c r="BL230" t="n">
        <v>-1.392</v>
      </c>
      <c r="BM230" t="n">
        <v>0.89</v>
      </c>
      <c r="BN230" t="n">
        <v>-1.8</v>
      </c>
      <c r="BO230" t="n">
        <v>-0.964</v>
      </c>
      <c r="BP230" t="n">
        <v>28</v>
      </c>
      <c r="BQ230" t="n">
        <v>8</v>
      </c>
      <c r="BR230" t="n">
        <v>2</v>
      </c>
      <c r="BS230" t="n">
        <v>74</v>
      </c>
      <c r="BT230" t="n">
        <v>7.938</v>
      </c>
      <c r="BW230" t="n">
        <v>2.14</v>
      </c>
      <c r="BX230" t="n">
        <v>2.816</v>
      </c>
      <c r="BY230" t="n">
        <v>2.478</v>
      </c>
      <c r="BZ230" t="n">
        <v>0.266</v>
      </c>
      <c r="CA230" t="n">
        <v>5.87</v>
      </c>
      <c r="CB230" t="n">
        <v>0.63</v>
      </c>
      <c r="CC230" t="n">
        <v>16</v>
      </c>
      <c r="CD230" t="n">
        <v>4</v>
      </c>
      <c r="CE230" t="n">
        <v>16</v>
      </c>
      <c r="CF230" t="n">
        <v>5</v>
      </c>
      <c r="CH230" t="n">
        <v>14</v>
      </c>
      <c r="CI230" t="n">
        <v>9.268000000000001</v>
      </c>
      <c r="CJ230" t="n">
        <v>3.582</v>
      </c>
      <c r="CK230" t="n">
        <v>9</v>
      </c>
      <c r="CL230" t="n">
        <v>36</v>
      </c>
      <c r="CM230" t="n">
        <v>11</v>
      </c>
      <c r="CN230" t="n">
        <v>5</v>
      </c>
      <c r="CO230" t="n">
        <v>4</v>
      </c>
      <c r="CP230" t="n">
        <v>5</v>
      </c>
      <c r="CR230" t="n">
        <v>52</v>
      </c>
      <c r="CS230" t="n">
        <v>3</v>
      </c>
      <c r="CT230" t="n">
        <v>0.5</v>
      </c>
      <c r="CW230" t="n">
        <v>10.29</v>
      </c>
      <c r="CX230" t="n">
        <v>1.104</v>
      </c>
      <c r="CY230" t="n">
        <v>0</v>
      </c>
      <c r="DB230" t="n">
        <v>0</v>
      </c>
      <c r="DE230" t="n">
        <v>6.65</v>
      </c>
      <c r="DF230" t="n">
        <v>4</v>
      </c>
      <c r="DG230" t="n">
        <v>0</v>
      </c>
      <c r="DH230" t="n">
        <v>12</v>
      </c>
      <c r="DI230" t="n">
        <v>9</v>
      </c>
      <c r="DJ230" t="n">
        <v>1</v>
      </c>
      <c r="DL230" t="n">
        <v>29</v>
      </c>
      <c r="DM230" t="n">
        <v>20</v>
      </c>
      <c r="DN230" t="n">
        <v>6</v>
      </c>
      <c r="DO230" t="n">
        <v>1.6</v>
      </c>
      <c r="DP230" t="n">
        <v>40.27</v>
      </c>
      <c r="DQ230" t="n">
        <v>20.21</v>
      </c>
      <c r="DR230" t="n">
        <v>40.42</v>
      </c>
      <c r="DS230" t="n">
        <v>-0.15</v>
      </c>
      <c r="DT230" t="n">
        <v>684</v>
      </c>
      <c r="DU230" t="n">
        <v>18</v>
      </c>
      <c r="DV230" t="inlineStr">
        <is>
          <t>flat</t>
        </is>
      </c>
      <c r="DW230" t="n">
        <v>61.99</v>
      </c>
      <c r="DX230" t="n">
        <v>65.88</v>
      </c>
      <c r="DY230" t="n">
        <v>23.48</v>
      </c>
      <c r="DZ230" t="n">
        <v>10</v>
      </c>
      <c r="EA230" t="n">
        <v>119.33</v>
      </c>
      <c r="EB230" t="n">
        <v>93</v>
      </c>
      <c r="EC230" t="n">
        <v>44.7</v>
      </c>
      <c r="ED230" t="n">
        <v>18.4</v>
      </c>
      <c r="EE230" t="n">
        <v>48</v>
      </c>
      <c r="EF230" t="n">
        <v>30</v>
      </c>
      <c r="EG230" t="n">
        <v>11.3</v>
      </c>
      <c r="EH230" t="n">
        <v>52.4</v>
      </c>
      <c r="EI230" t="n">
        <v>247.3</v>
      </c>
      <c r="EJ230" t="n">
        <v>338.6</v>
      </c>
      <c r="EK230" t="n">
        <v>142.9</v>
      </c>
      <c r="EL230" t="n">
        <v>14.5</v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n">
        <v>6.5</v>
      </c>
      <c r="F231" t="b">
        <v>1</v>
      </c>
      <c r="G231" t="b">
        <v>1</v>
      </c>
      <c r="H231" t="n">
        <v>25.2</v>
      </c>
      <c r="I231" t="inlineStr">
        <is>
          <t>a</t>
        </is>
      </c>
      <c r="L231" t="inlineStr">
        <is>
          <t>p444145</t>
        </is>
      </c>
      <c r="M231" t="n">
        <v>18</v>
      </c>
      <c r="Q231" t="n">
        <v>1065</v>
      </c>
      <c r="R231" t="n">
        <v>30</v>
      </c>
      <c r="S231" t="n">
        <v>11</v>
      </c>
      <c r="T231" t="n">
        <v>11.833</v>
      </c>
      <c r="U231" t="n">
        <v>35.5</v>
      </c>
      <c r="V231" t="n">
        <v>57</v>
      </c>
      <c r="W231" t="n">
        <v>4.817</v>
      </c>
      <c r="X231" t="n">
        <v>1</v>
      </c>
      <c r="Y231" t="n">
        <v>5</v>
      </c>
      <c r="Z231" t="n">
        <v>4</v>
      </c>
      <c r="AA231" t="n">
        <v>2</v>
      </c>
      <c r="AB231" t="n">
        <v>8</v>
      </c>
      <c r="AC231" t="n">
        <v>3</v>
      </c>
      <c r="AD231" t="n">
        <v>3</v>
      </c>
      <c r="AE231" t="n">
        <v>0</v>
      </c>
      <c r="AF231" t="n">
        <v>195</v>
      </c>
      <c r="AG231" t="n">
        <v>194</v>
      </c>
      <c r="AH231" t="n">
        <v>-1</v>
      </c>
      <c r="AI231" t="n">
        <v>57</v>
      </c>
      <c r="AJ231" t="n">
        <v>0.053</v>
      </c>
      <c r="AK231" t="n">
        <v>0.056</v>
      </c>
      <c r="AL231" t="n">
        <v>77</v>
      </c>
      <c r="AM231" t="n">
        <v>6.507</v>
      </c>
      <c r="AN231" t="n">
        <v>0</v>
      </c>
      <c r="AO231" t="n">
        <v>0</v>
      </c>
      <c r="AP231" t="n">
        <v>0</v>
      </c>
      <c r="AQ231" t="n">
        <v>0.091</v>
      </c>
      <c r="AR231" t="n">
        <v>0</v>
      </c>
      <c r="AS231" t="n">
        <v>0.289</v>
      </c>
      <c r="AT231" t="n">
        <v>0.167</v>
      </c>
      <c r="AU231" t="n">
        <v>22</v>
      </c>
      <c r="AV231" t="n">
        <v>0</v>
      </c>
      <c r="AW231" t="n">
        <v>1.84</v>
      </c>
      <c r="AX231" t="n">
        <v>7</v>
      </c>
      <c r="AY231" t="n">
        <v>4.12</v>
      </c>
      <c r="AZ231" t="n">
        <v>5.357</v>
      </c>
      <c r="BA231" t="n">
        <v>4.739</v>
      </c>
      <c r="BB231" t="n">
        <v>5.357</v>
      </c>
      <c r="BC231" t="n">
        <v>0.348</v>
      </c>
      <c r="BD231" t="n">
        <v>0.453</v>
      </c>
      <c r="BE231" t="n">
        <v>0.4</v>
      </c>
      <c r="BF231" t="n">
        <v>2.7</v>
      </c>
      <c r="BG231" t="n">
        <v>0.228</v>
      </c>
      <c r="BH231" t="n">
        <v>1.03</v>
      </c>
      <c r="BI231" t="n">
        <v>26.76</v>
      </c>
      <c r="BJ231" t="n">
        <v>4.243</v>
      </c>
      <c r="BK231" t="n">
        <v>0.359</v>
      </c>
      <c r="BL231" t="n">
        <v>-3.739</v>
      </c>
      <c r="BM231" t="n">
        <v>-1.42</v>
      </c>
      <c r="BN231" t="n">
        <v>-1.7</v>
      </c>
      <c r="BO231" t="n">
        <v>-1.237</v>
      </c>
      <c r="BP231" t="n">
        <v>29</v>
      </c>
      <c r="BQ231" t="n">
        <v>13</v>
      </c>
      <c r="BR231" t="n">
        <v>7</v>
      </c>
      <c r="BS231" t="n">
        <v>70</v>
      </c>
      <c r="BT231" t="n">
        <v>5.915</v>
      </c>
      <c r="BW231" t="n">
        <v>1.27</v>
      </c>
      <c r="BX231" t="n">
        <v>2.569</v>
      </c>
      <c r="BY231" t="n">
        <v>1.92</v>
      </c>
      <c r="BZ231" t="n">
        <v>0.162</v>
      </c>
      <c r="CA231" t="n">
        <v>6.658</v>
      </c>
      <c r="CB231" t="n">
        <v>0.5629999999999999</v>
      </c>
      <c r="CC231" t="n">
        <v>13</v>
      </c>
      <c r="CD231" t="n">
        <v>4</v>
      </c>
      <c r="CE231" t="n">
        <v>13</v>
      </c>
      <c r="CF231" t="n">
        <v>9</v>
      </c>
      <c r="CH231" t="n">
        <v>5</v>
      </c>
      <c r="CI231" t="n">
        <v>10.023</v>
      </c>
      <c r="CJ231" t="n">
        <v>3.607</v>
      </c>
      <c r="CK231" t="n">
        <v>13</v>
      </c>
      <c r="CL231" t="n">
        <v>52</v>
      </c>
      <c r="CM231" t="n">
        <v>12</v>
      </c>
      <c r="CN231" t="n">
        <v>8</v>
      </c>
      <c r="CO231" t="n">
        <v>1</v>
      </c>
      <c r="CP231" t="n">
        <v>10</v>
      </c>
      <c r="CQ231" t="n">
        <v>1</v>
      </c>
      <c r="CR231" t="n">
        <v>55</v>
      </c>
      <c r="CS231" t="n">
        <v>8</v>
      </c>
      <c r="CT231" t="n">
        <v>1.3</v>
      </c>
      <c r="CV231" t="n">
        <v>2</v>
      </c>
      <c r="CW231" t="n">
        <v>10.51</v>
      </c>
      <c r="CX231" t="n">
        <v>0.888</v>
      </c>
      <c r="CY231" t="n">
        <v>0</v>
      </c>
      <c r="DB231" t="n">
        <v>0</v>
      </c>
      <c r="DE231" t="n">
        <v>6.53</v>
      </c>
      <c r="DF231" t="n">
        <v>3</v>
      </c>
      <c r="DG231" t="n">
        <v>0</v>
      </c>
      <c r="DH231" t="n">
        <v>10</v>
      </c>
      <c r="DI231" t="n">
        <v>14</v>
      </c>
      <c r="DL231" t="n">
        <v>22</v>
      </c>
      <c r="DM231" t="n">
        <v>26</v>
      </c>
      <c r="DN231" t="n">
        <v>5</v>
      </c>
      <c r="DO231" t="n">
        <v>0.3</v>
      </c>
      <c r="DP231" t="n">
        <v>43.69</v>
      </c>
      <c r="DQ231" t="n">
        <v>21.91</v>
      </c>
      <c r="DR231" t="n">
        <v>43.82</v>
      </c>
      <c r="DS231" t="n">
        <v>-0.13</v>
      </c>
      <c r="DT231" t="n">
        <v>507</v>
      </c>
      <c r="DU231" t="n">
        <v>13.35</v>
      </c>
      <c r="DV231" t="inlineStr">
        <is>
          <t>flat</t>
        </is>
      </c>
      <c r="DW231" t="n">
        <v>70.51000000000001</v>
      </c>
      <c r="DX231" t="n">
        <v>67.5</v>
      </c>
      <c r="DY231" t="n">
        <v>24.93</v>
      </c>
      <c r="DZ231" t="n">
        <v>23</v>
      </c>
      <c r="EA231" t="n">
        <v>119.33</v>
      </c>
      <c r="EB231" t="n">
        <v>40</v>
      </c>
      <c r="EC231" t="n">
        <v>19.2</v>
      </c>
      <c r="ED231" t="n">
        <v>20</v>
      </c>
      <c r="EE231" t="n">
        <v>49</v>
      </c>
      <c r="EF231" t="n">
        <v>36.7</v>
      </c>
      <c r="EG231" t="n">
        <v>15.2</v>
      </c>
      <c r="EH231" t="n">
        <v>81.90000000000001</v>
      </c>
      <c r="EI231" t="n">
        <v>224.8</v>
      </c>
      <c r="EJ231" t="n">
        <v>554.8</v>
      </c>
      <c r="EK231" t="n">
        <v>160</v>
      </c>
      <c r="EL231" t="n">
        <v>18.7</v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n">
        <v>5</v>
      </c>
      <c r="F232" t="b">
        <v>1</v>
      </c>
      <c r="G232" t="b">
        <v>1</v>
      </c>
      <c r="H232" t="n">
        <v>20.8</v>
      </c>
      <c r="I232" t="inlineStr">
        <is>
          <t>a</t>
        </is>
      </c>
      <c r="L232" t="inlineStr">
        <is>
          <t>p550864</t>
        </is>
      </c>
      <c r="M232" t="n">
        <v>420</v>
      </c>
      <c r="Q232" t="n">
        <v>1730</v>
      </c>
      <c r="R232" t="n">
        <v>32</v>
      </c>
      <c r="S232" t="n">
        <v>18</v>
      </c>
      <c r="T232" t="n">
        <v>19.222</v>
      </c>
      <c r="U232" t="n">
        <v>54.1</v>
      </c>
      <c r="V232" t="n">
        <v>56</v>
      </c>
      <c r="W232" t="n">
        <v>2.913</v>
      </c>
      <c r="X232" t="n">
        <v>0</v>
      </c>
      <c r="Y232" t="n">
        <v>1</v>
      </c>
      <c r="AA232" t="n">
        <v>2</v>
      </c>
      <c r="AB232" t="n">
        <v>33</v>
      </c>
      <c r="AC232" t="n">
        <v>1</v>
      </c>
      <c r="AD232" t="n">
        <v>1</v>
      </c>
      <c r="AE232" t="n">
        <v>0</v>
      </c>
      <c r="AF232" t="n">
        <v>191</v>
      </c>
      <c r="AG232" t="n">
        <v>168</v>
      </c>
      <c r="AH232" t="n">
        <v>-23</v>
      </c>
      <c r="AI232" t="n">
        <v>56</v>
      </c>
      <c r="AJ232" t="n">
        <v>0.018</v>
      </c>
      <c r="AK232" t="n">
        <v>0.018</v>
      </c>
      <c r="AL232" t="n">
        <v>156</v>
      </c>
      <c r="AM232" t="n">
        <v>8.116</v>
      </c>
      <c r="AN232" t="n">
        <v>3</v>
      </c>
      <c r="AO232" t="n">
        <v>6</v>
      </c>
      <c r="AP232" t="n">
        <v>0.167</v>
      </c>
      <c r="AQ232" t="n">
        <v>0.167</v>
      </c>
      <c r="AR232" t="n">
        <v>0.056</v>
      </c>
      <c r="AS232" t="n">
        <v>0.474</v>
      </c>
      <c r="AT232" t="n">
        <v>0.531</v>
      </c>
      <c r="AU232" t="n">
        <v>26</v>
      </c>
      <c r="AV232" t="n">
        <v>0</v>
      </c>
      <c r="AW232" t="n">
        <v>1.59</v>
      </c>
      <c r="AX232" t="n">
        <v>6</v>
      </c>
      <c r="AY232" t="n">
        <v>1.34</v>
      </c>
      <c r="AZ232" t="n">
        <v>1.247</v>
      </c>
      <c r="BA232" t="n">
        <v>1.294</v>
      </c>
      <c r="BB232" t="n">
        <v>1.247</v>
      </c>
      <c r="BC232" t="n">
        <v>0.07000000000000001</v>
      </c>
      <c r="BD232" t="n">
        <v>0.065</v>
      </c>
      <c r="BE232" t="n">
        <v>0.067</v>
      </c>
      <c r="BF232" t="n">
        <v>1.5</v>
      </c>
      <c r="BG232" t="n">
        <v>0.078</v>
      </c>
      <c r="BH232" t="n">
        <v>0.966</v>
      </c>
      <c r="BI232" t="n">
        <v>2.04</v>
      </c>
      <c r="BJ232" t="n">
        <v>1.295</v>
      </c>
      <c r="BK232" t="n">
        <v>0.067</v>
      </c>
      <c r="BL232" t="n">
        <v>-1.294</v>
      </c>
      <c r="BM232" t="n">
        <v>0.16</v>
      </c>
      <c r="BN232" t="n">
        <v>-1.5</v>
      </c>
      <c r="BO232" t="n">
        <v>0.093</v>
      </c>
      <c r="BP232" t="n">
        <v>9</v>
      </c>
      <c r="BQ232" t="n">
        <v>3</v>
      </c>
      <c r="BR232" t="n">
        <v>2</v>
      </c>
      <c r="BS232" t="n">
        <v>22</v>
      </c>
      <c r="BT232" t="n">
        <v>1.145</v>
      </c>
      <c r="BV232" t="n">
        <v>0</v>
      </c>
      <c r="BW232" t="n">
        <v>0.59</v>
      </c>
      <c r="BX232" t="n">
        <v>0.22</v>
      </c>
      <c r="BY232" t="n">
        <v>0.405</v>
      </c>
      <c r="BZ232" t="n">
        <v>0.021</v>
      </c>
      <c r="CA232" t="n">
        <v>1.699</v>
      </c>
      <c r="CB232" t="n">
        <v>0.08799999999999999</v>
      </c>
      <c r="CC232" t="n">
        <v>4</v>
      </c>
      <c r="CE232" t="n">
        <v>4</v>
      </c>
      <c r="CF232" t="n">
        <v>1</v>
      </c>
      <c r="CG232" t="n">
        <v>1</v>
      </c>
      <c r="CI232" t="n">
        <v>4.67</v>
      </c>
      <c r="CJ232" t="n">
        <v>4.499</v>
      </c>
      <c r="CK232" t="n">
        <v>126</v>
      </c>
      <c r="CL232" t="n">
        <v>73</v>
      </c>
      <c r="CM232" t="n">
        <v>30</v>
      </c>
      <c r="CN232" t="n">
        <v>21</v>
      </c>
      <c r="CO232" t="n">
        <v>31</v>
      </c>
      <c r="CP232" t="n">
        <v>85</v>
      </c>
      <c r="CQ232" t="n">
        <v>11</v>
      </c>
      <c r="CR232" t="n">
        <v>83</v>
      </c>
      <c r="CS232" t="n">
        <v>44</v>
      </c>
      <c r="CT232" t="n">
        <v>0.1</v>
      </c>
      <c r="CV232" t="n">
        <v>3</v>
      </c>
      <c r="CW232" t="n">
        <v>26.83</v>
      </c>
      <c r="CX232" t="n">
        <v>1.396</v>
      </c>
      <c r="CY232" t="n">
        <v>0</v>
      </c>
      <c r="DB232" t="n">
        <v>0</v>
      </c>
      <c r="DE232" t="n">
        <v>6.67</v>
      </c>
      <c r="DF232" t="n">
        <v>1</v>
      </c>
      <c r="DG232" t="n">
        <v>0</v>
      </c>
      <c r="DH232" t="n">
        <v>17</v>
      </c>
      <c r="DI232" t="n">
        <v>5</v>
      </c>
      <c r="DK232" t="n">
        <v>1</v>
      </c>
      <c r="DL232" t="n">
        <v>2</v>
      </c>
      <c r="DM232" t="n">
        <v>5</v>
      </c>
      <c r="DN232" t="n">
        <v>2</v>
      </c>
      <c r="DO232" t="n">
        <v>0.8</v>
      </c>
      <c r="DP232" t="n">
        <v>35.47</v>
      </c>
      <c r="DQ232" t="n">
        <v>18.57</v>
      </c>
      <c r="DR232" t="n">
        <v>37.14</v>
      </c>
      <c r="DS232" t="n">
        <v>-1.67</v>
      </c>
      <c r="DT232" t="n">
        <v>807</v>
      </c>
      <c r="DU232" t="n">
        <v>21.24</v>
      </c>
      <c r="DV232" t="inlineStr">
        <is>
          <t>fade (losing his place)</t>
        </is>
      </c>
      <c r="DW232" t="n">
        <v>102.79</v>
      </c>
      <c r="DY232" t="n">
        <v>16.45</v>
      </c>
      <c r="DZ232" t="n">
        <v>50.67</v>
      </c>
      <c r="EA232" t="n">
        <v>120</v>
      </c>
      <c r="EB232" t="n">
        <v>24</v>
      </c>
      <c r="EC232" t="n">
        <v>11.5</v>
      </c>
      <c r="ED232" t="n">
        <v>4</v>
      </c>
      <c r="EE232" t="n">
        <v>280</v>
      </c>
      <c r="EF232" t="n">
        <v>192.2</v>
      </c>
      <c r="EG232" t="n">
        <v>78.59999999999999</v>
      </c>
      <c r="EH232" t="n">
        <v>432.5</v>
      </c>
      <c r="EI232" t="n">
        <v>1337.3</v>
      </c>
      <c r="EJ232" t="n">
        <v>4272.9</v>
      </c>
      <c r="EK232" t="n">
        <v>1018.5</v>
      </c>
      <c r="EL232" t="n">
        <v>30.9</v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n">
        <v>5</v>
      </c>
      <c r="F233" t="b">
        <v>1</v>
      </c>
      <c r="G233" t="b">
        <v>1</v>
      </c>
      <c r="H233" t="n">
        <v>22.6</v>
      </c>
      <c r="I233" t="inlineStr">
        <is>
          <t>i</t>
        </is>
      </c>
      <c r="J233" t="inlineStr">
        <is>
          <t>Ankle injury - Expected back 23 Aug</t>
        </is>
      </c>
      <c r="K233" t="n">
        <v>0</v>
      </c>
      <c r="L233" t="inlineStr">
        <is>
          <t>p535301</t>
        </is>
      </c>
      <c r="M233" t="n">
        <v>131</v>
      </c>
      <c r="Q233" t="n">
        <v>1646</v>
      </c>
      <c r="R233" t="n">
        <v>31</v>
      </c>
      <c r="S233" t="n">
        <v>23</v>
      </c>
      <c r="T233" t="n">
        <v>18.289</v>
      </c>
      <c r="U233" t="n">
        <v>53.1</v>
      </c>
      <c r="V233" t="n">
        <v>56</v>
      </c>
      <c r="W233" t="n">
        <v>3.062</v>
      </c>
      <c r="X233" t="n">
        <v>0</v>
      </c>
      <c r="Y233" t="n">
        <v>0</v>
      </c>
      <c r="AA233" t="n">
        <v>7</v>
      </c>
      <c r="AB233" t="n">
        <v>19</v>
      </c>
      <c r="AC233" t="n">
        <v>0</v>
      </c>
      <c r="AD233" t="n">
        <v>0</v>
      </c>
      <c r="AE233" t="n">
        <v>0</v>
      </c>
      <c r="AF233" t="n">
        <v>231</v>
      </c>
      <c r="AG233" t="n">
        <v>215</v>
      </c>
      <c r="AH233" t="n">
        <v>-16</v>
      </c>
      <c r="AI233" t="n">
        <v>56</v>
      </c>
      <c r="AJ233" t="n">
        <v>0</v>
      </c>
      <c r="AK233" t="n">
        <v>0</v>
      </c>
      <c r="AL233" t="n">
        <v>209</v>
      </c>
      <c r="AM233" t="n">
        <v>11.428</v>
      </c>
      <c r="AN233" t="n">
        <v>4</v>
      </c>
      <c r="AO233" t="n">
        <v>8</v>
      </c>
      <c r="AP233" t="n">
        <v>0.174</v>
      </c>
      <c r="AQ233" t="n">
        <v>0.435</v>
      </c>
      <c r="AR233" t="n">
        <v>0.174</v>
      </c>
      <c r="AS233" t="n">
        <v>0.605</v>
      </c>
      <c r="AT233" t="n">
        <v>0.484</v>
      </c>
      <c r="AU233" t="n">
        <v>22</v>
      </c>
      <c r="AV233" t="n">
        <v>0</v>
      </c>
      <c r="AW233" t="n">
        <v>1.39</v>
      </c>
      <c r="AX233" t="n">
        <v>5</v>
      </c>
      <c r="AY233" t="n">
        <v>0.78</v>
      </c>
      <c r="AZ233" t="n">
        <v>0.573</v>
      </c>
      <c r="BA233" t="n">
        <v>0.677</v>
      </c>
      <c r="BB233" t="n">
        <v>0.573</v>
      </c>
      <c r="BC233" t="n">
        <v>0.043</v>
      </c>
      <c r="BD233" t="n">
        <v>0.031</v>
      </c>
      <c r="BE233" t="n">
        <v>0.037</v>
      </c>
      <c r="BF233" t="n">
        <v>0.2</v>
      </c>
      <c r="BG233" t="n">
        <v>0.011</v>
      </c>
      <c r="BH233" t="n">
        <v>1.006</v>
      </c>
      <c r="BI233" t="n">
        <v>4.73</v>
      </c>
      <c r="BJ233" t="n">
        <v>0.784</v>
      </c>
      <c r="BK233" t="n">
        <v>0.043</v>
      </c>
      <c r="BL233" t="n">
        <v>-0.677</v>
      </c>
      <c r="BM233" t="n">
        <v>-0.58</v>
      </c>
      <c r="BN233" t="n">
        <v>-0.2</v>
      </c>
      <c r="BO233" t="n">
        <v>0.207</v>
      </c>
      <c r="BP233" t="n">
        <v>20</v>
      </c>
      <c r="BQ233" t="n">
        <v>2</v>
      </c>
      <c r="BR233" t="n">
        <v>1</v>
      </c>
      <c r="BS233" t="n">
        <v>4</v>
      </c>
      <c r="BT233" t="n">
        <v>0.219</v>
      </c>
      <c r="BW233" t="n">
        <v>0.72</v>
      </c>
      <c r="BX233" t="n">
        <v>0.8120000000000001</v>
      </c>
      <c r="BY233" t="n">
        <v>0.766</v>
      </c>
      <c r="BZ233" t="n">
        <v>0.042</v>
      </c>
      <c r="CA233" t="n">
        <v>1.443</v>
      </c>
      <c r="CB233" t="n">
        <v>0.079</v>
      </c>
      <c r="CC233" t="n">
        <v>9</v>
      </c>
      <c r="CD233" t="n">
        <v>1</v>
      </c>
      <c r="CE233" t="n">
        <v>9</v>
      </c>
      <c r="CG233" t="n">
        <v>1</v>
      </c>
      <c r="CI233" t="n">
        <v>5.856</v>
      </c>
      <c r="CJ233" t="n">
        <v>4.608</v>
      </c>
      <c r="CK233" t="n">
        <v>67</v>
      </c>
      <c r="CL233" t="n">
        <v>105</v>
      </c>
      <c r="CM233" t="n">
        <v>37</v>
      </c>
      <c r="CN233" t="n">
        <v>20</v>
      </c>
      <c r="CO233" t="n">
        <v>29</v>
      </c>
      <c r="CP233" t="n">
        <v>32</v>
      </c>
      <c r="CQ233" t="n">
        <v>6</v>
      </c>
      <c r="CR233" t="n">
        <v>102</v>
      </c>
      <c r="CS233" t="n">
        <v>29</v>
      </c>
      <c r="CT233" t="n">
        <v>0.6</v>
      </c>
      <c r="CV233" t="n">
        <v>5</v>
      </c>
      <c r="CW233" t="n">
        <v>20.4</v>
      </c>
      <c r="CX233" t="n">
        <v>1.115</v>
      </c>
      <c r="CY233" t="n">
        <v>0</v>
      </c>
      <c r="DB233" t="n">
        <v>0</v>
      </c>
      <c r="DE233" t="n">
        <v>6.62</v>
      </c>
      <c r="DF233" t="n">
        <v>5</v>
      </c>
      <c r="DG233" t="n">
        <v>0</v>
      </c>
      <c r="DH233" t="n">
        <v>31</v>
      </c>
      <c r="DI233" t="n">
        <v>24</v>
      </c>
      <c r="DK233" t="n">
        <v>1</v>
      </c>
      <c r="DL233" t="n">
        <v>12</v>
      </c>
      <c r="DM233" t="n">
        <v>19</v>
      </c>
      <c r="DO233" t="n">
        <v>0.3</v>
      </c>
      <c r="DP233" t="n">
        <v>78.17</v>
      </c>
      <c r="DQ233" t="n">
        <v>37.36</v>
      </c>
      <c r="DR233" t="n">
        <v>74.72</v>
      </c>
      <c r="DS233" t="n">
        <v>3.45</v>
      </c>
      <c r="DT233" t="n">
        <v>1989</v>
      </c>
      <c r="DU233" t="n">
        <v>52.35</v>
      </c>
      <c r="DV233" t="inlineStr">
        <is>
          <t>flat</t>
        </is>
      </c>
      <c r="EF233" t="n">
        <v>82.3</v>
      </c>
      <c r="EG233" t="n">
        <v>411.5</v>
      </c>
      <c r="EH233" t="n">
        <v>182.9</v>
      </c>
      <c r="EI233" t="n">
        <v>2432.5</v>
      </c>
      <c r="EJ233" t="n">
        <v>2148.1</v>
      </c>
      <c r="EK233" t="n">
        <v>1140.7</v>
      </c>
      <c r="EL233" t="n">
        <v>29.4</v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n">
        <v>5</v>
      </c>
      <c r="F234" t="b">
        <v>1</v>
      </c>
      <c r="G234" t="b">
        <v>1</v>
      </c>
      <c r="H234" t="n">
        <v>28.8</v>
      </c>
      <c r="I234" t="inlineStr">
        <is>
          <t>a</t>
        </is>
      </c>
      <c r="L234" t="inlineStr">
        <is>
          <t>p180135</t>
        </is>
      </c>
      <c r="M234" t="n">
        <v>339</v>
      </c>
      <c r="O234" t="n">
        <v>3</v>
      </c>
      <c r="P234" t="n">
        <v>2</v>
      </c>
      <c r="Q234" t="n">
        <v>1003</v>
      </c>
      <c r="R234" t="n">
        <v>23</v>
      </c>
      <c r="S234" t="n">
        <v>10</v>
      </c>
      <c r="T234" t="n">
        <v>11.144</v>
      </c>
      <c r="U234" t="n">
        <v>43.6</v>
      </c>
      <c r="V234" t="n">
        <v>56</v>
      </c>
      <c r="W234" t="n">
        <v>5.025</v>
      </c>
      <c r="X234" t="n">
        <v>2</v>
      </c>
      <c r="Y234" t="n">
        <v>2</v>
      </c>
      <c r="Z234" t="n">
        <v>2</v>
      </c>
      <c r="AA234" t="n">
        <v>1</v>
      </c>
      <c r="AB234" t="n">
        <v>20</v>
      </c>
      <c r="AC234" t="n">
        <v>5</v>
      </c>
      <c r="AD234" t="n">
        <v>5</v>
      </c>
      <c r="AE234" t="n">
        <v>0</v>
      </c>
      <c r="AF234" t="n">
        <v>273</v>
      </c>
      <c r="AG234" t="n">
        <v>266</v>
      </c>
      <c r="AH234" t="n">
        <v>-7</v>
      </c>
      <c r="AI234" t="n">
        <v>56</v>
      </c>
      <c r="AJ234" t="n">
        <v>0.089</v>
      </c>
      <c r="AK234" t="n">
        <v>0.098</v>
      </c>
      <c r="AL234" t="n">
        <v>110</v>
      </c>
      <c r="AM234" t="n">
        <v>9.869999999999999</v>
      </c>
      <c r="AN234" t="n">
        <v>2</v>
      </c>
      <c r="AO234" t="n">
        <v>4</v>
      </c>
      <c r="AP234" t="n">
        <v>0.2</v>
      </c>
      <c r="AQ234" t="n">
        <v>0.5</v>
      </c>
      <c r="AR234" t="n">
        <v>0.2</v>
      </c>
      <c r="AS234" t="n">
        <v>0.263</v>
      </c>
      <c r="AT234" t="n">
        <v>0.391</v>
      </c>
      <c r="AU234" t="n">
        <v>19</v>
      </c>
      <c r="AV234" t="n">
        <v>1</v>
      </c>
      <c r="AW234" t="n">
        <v>2.78</v>
      </c>
      <c r="AX234" t="n">
        <v>15</v>
      </c>
      <c r="AY234" t="n">
        <v>1.23</v>
      </c>
      <c r="AZ234" t="n">
        <v>1.378</v>
      </c>
      <c r="BA234" t="n">
        <v>1.304</v>
      </c>
      <c r="BB234" t="n">
        <v>1.378</v>
      </c>
      <c r="BC234" t="n">
        <v>0.11</v>
      </c>
      <c r="BD234" t="n">
        <v>0.124</v>
      </c>
      <c r="BE234" t="n">
        <v>0.117</v>
      </c>
      <c r="BF234" t="n">
        <v>2</v>
      </c>
      <c r="BG234" t="n">
        <v>0.179</v>
      </c>
      <c r="BH234" t="n">
        <v>0.9350000000000001</v>
      </c>
      <c r="BI234" t="n">
        <v>11.89</v>
      </c>
      <c r="BJ234" t="n">
        <v>1.15</v>
      </c>
      <c r="BK234" t="n">
        <v>0.103</v>
      </c>
      <c r="BL234" t="n">
        <v>0.696</v>
      </c>
      <c r="BM234" t="n">
        <v>0.77</v>
      </c>
      <c r="BN234" t="n">
        <v>0</v>
      </c>
      <c r="BO234" t="n">
        <v>-0.148</v>
      </c>
      <c r="BP234" t="n">
        <v>16</v>
      </c>
      <c r="BQ234" t="n">
        <v>4</v>
      </c>
      <c r="BR234" t="n">
        <v>1</v>
      </c>
      <c r="BS234" t="n">
        <v>20</v>
      </c>
      <c r="BT234" t="n">
        <v>1.795</v>
      </c>
      <c r="BW234" t="n">
        <v>1.87</v>
      </c>
      <c r="BX234" t="n">
        <v>2.768</v>
      </c>
      <c r="BY234" t="n">
        <v>2.319</v>
      </c>
      <c r="BZ234" t="n">
        <v>0.208</v>
      </c>
      <c r="CA234" t="n">
        <v>3.623</v>
      </c>
      <c r="CB234" t="n">
        <v>0.325</v>
      </c>
      <c r="CC234" t="n">
        <v>25</v>
      </c>
      <c r="CD234" t="n">
        <v>6</v>
      </c>
      <c r="CE234" t="n">
        <v>25</v>
      </c>
      <c r="CF234" t="n">
        <v>27</v>
      </c>
      <c r="CG234" t="n">
        <v>1</v>
      </c>
      <c r="CH234" t="n">
        <v>31</v>
      </c>
      <c r="CI234" t="n">
        <v>3.446</v>
      </c>
      <c r="CJ234" t="n">
        <v>1.818</v>
      </c>
      <c r="CK234" t="n">
        <v>29</v>
      </c>
      <c r="CL234" t="n">
        <v>43</v>
      </c>
      <c r="CM234" t="n">
        <v>38</v>
      </c>
      <c r="CN234" t="n">
        <v>23</v>
      </c>
      <c r="CO234" t="n">
        <v>12</v>
      </c>
      <c r="CP234" t="n">
        <v>11</v>
      </c>
      <c r="CQ234" t="n">
        <v>6</v>
      </c>
      <c r="CR234" t="n">
        <v>67</v>
      </c>
      <c r="CS234" t="n">
        <v>10</v>
      </c>
      <c r="CT234" t="n">
        <v>0.4</v>
      </c>
      <c r="CW234" t="n">
        <v>15.88</v>
      </c>
      <c r="CX234" t="n">
        <v>1.425</v>
      </c>
      <c r="CY234" t="n">
        <v>0</v>
      </c>
      <c r="DB234" t="n">
        <v>0</v>
      </c>
      <c r="DF234" t="n">
        <v>2</v>
      </c>
      <c r="DG234" t="n">
        <v>0</v>
      </c>
      <c r="DH234" t="n">
        <v>13</v>
      </c>
      <c r="DI234" t="n">
        <v>17</v>
      </c>
      <c r="DL234" t="n">
        <v>2</v>
      </c>
      <c r="DM234" t="n">
        <v>12</v>
      </c>
      <c r="DN234" t="n">
        <v>1</v>
      </c>
      <c r="DO234" t="n">
        <v>0.2</v>
      </c>
      <c r="DP234" t="n">
        <v>34.7</v>
      </c>
      <c r="DQ234" t="n">
        <v>17.35</v>
      </c>
      <c r="DR234" t="n">
        <v>34.7</v>
      </c>
      <c r="DS234" t="n">
        <v>0</v>
      </c>
      <c r="DT234" t="n">
        <v>452</v>
      </c>
      <c r="DU234" t="n">
        <v>11.9</v>
      </c>
      <c r="DV234" t="inlineStr">
        <is>
          <t>flat</t>
        </is>
      </c>
      <c r="EF234" t="n">
        <v>62.7</v>
      </c>
      <c r="EG234" t="n">
        <v>50.2</v>
      </c>
      <c r="EH234" t="n">
        <v>40.1</v>
      </c>
      <c r="EI234" t="n">
        <v>769.3</v>
      </c>
      <c r="EJ234" t="n">
        <v>432.5</v>
      </c>
      <c r="EK234" t="n">
        <v>276.8</v>
      </c>
      <c r="EL234" t="n">
        <v>17.9</v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n">
        <v>7</v>
      </c>
      <c r="F235" t="b">
        <v>1</v>
      </c>
      <c r="G235" t="b">
        <v>1</v>
      </c>
      <c r="H235" t="n">
        <v>27.5</v>
      </c>
      <c r="I235" t="inlineStr">
        <is>
          <t>a</t>
        </is>
      </c>
      <c r="L235" t="inlineStr">
        <is>
          <t>p438234</t>
        </is>
      </c>
      <c r="M235" t="n">
        <v>401</v>
      </c>
      <c r="N235" t="n">
        <v>2</v>
      </c>
      <c r="P235" t="n">
        <v>2</v>
      </c>
      <c r="Q235" t="n">
        <v>691</v>
      </c>
      <c r="R235" t="n">
        <v>21</v>
      </c>
      <c r="S235" t="n">
        <v>8</v>
      </c>
      <c r="T235" t="n">
        <v>7.678</v>
      </c>
      <c r="U235" t="n">
        <v>32.9</v>
      </c>
      <c r="V235" t="n">
        <v>56</v>
      </c>
      <c r="W235" t="n">
        <v>7.294</v>
      </c>
      <c r="X235" t="n">
        <v>3</v>
      </c>
      <c r="Y235" t="n">
        <v>3</v>
      </c>
      <c r="Z235" t="n">
        <v>3</v>
      </c>
      <c r="AA235" t="n">
        <v>4</v>
      </c>
      <c r="AB235" t="n">
        <v>5</v>
      </c>
      <c r="AC235" t="n">
        <v>5</v>
      </c>
      <c r="AD235" t="n">
        <v>5</v>
      </c>
      <c r="AE235" t="n">
        <v>0</v>
      </c>
      <c r="AF235" t="n">
        <v>182</v>
      </c>
      <c r="AG235" t="n">
        <v>180</v>
      </c>
      <c r="AH235" t="n">
        <v>-2</v>
      </c>
      <c r="AI235" t="n">
        <v>56</v>
      </c>
      <c r="AJ235" t="n">
        <v>0.089</v>
      </c>
      <c r="AK235" t="n">
        <v>0.098</v>
      </c>
      <c r="AL235" t="n">
        <v>39</v>
      </c>
      <c r="AM235" t="n">
        <v>5.08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0.211</v>
      </c>
      <c r="AT235" t="n">
        <v>0.238</v>
      </c>
      <c r="AU235" t="n">
        <v>14</v>
      </c>
      <c r="AV235" t="n">
        <v>1</v>
      </c>
      <c r="AW235" t="n">
        <v>2.46</v>
      </c>
      <c r="AX235" t="n">
        <v>10</v>
      </c>
      <c r="AY235" t="n">
        <v>2.78</v>
      </c>
      <c r="AZ235" t="n">
        <v>3.765</v>
      </c>
      <c r="BA235" t="n">
        <v>3.273</v>
      </c>
      <c r="BB235" t="n">
        <v>3.765</v>
      </c>
      <c r="BC235" t="n">
        <v>0.362</v>
      </c>
      <c r="BD235" t="n">
        <v>0.49</v>
      </c>
      <c r="BE235" t="n">
        <v>0.426</v>
      </c>
      <c r="BF235" t="n">
        <v>1.8</v>
      </c>
      <c r="BG235" t="n">
        <v>0.234</v>
      </c>
      <c r="BH235" t="n">
        <v>0.964</v>
      </c>
      <c r="BI235" t="n">
        <v>8.19</v>
      </c>
      <c r="BJ235" t="n">
        <v>2.679</v>
      </c>
      <c r="BK235" t="n">
        <v>0.349</v>
      </c>
      <c r="BL235" t="n">
        <v>-0.273</v>
      </c>
      <c r="BM235" t="n">
        <v>-0.98</v>
      </c>
      <c r="BN235" t="n">
        <v>1.2</v>
      </c>
      <c r="BO235" t="n">
        <v>-0.985</v>
      </c>
      <c r="BP235" t="n">
        <v>30</v>
      </c>
      <c r="BQ235" t="n">
        <v>9</v>
      </c>
      <c r="BR235" t="n">
        <v>2</v>
      </c>
      <c r="BS235" t="n">
        <v>53</v>
      </c>
      <c r="BT235" t="n">
        <v>6.903</v>
      </c>
      <c r="BW235" t="n">
        <v>0.77</v>
      </c>
      <c r="BX235" t="n">
        <v>2.127</v>
      </c>
      <c r="BY235" t="n">
        <v>1.448</v>
      </c>
      <c r="BZ235" t="n">
        <v>0.189</v>
      </c>
      <c r="CA235" t="n">
        <v>4.721</v>
      </c>
      <c r="CB235" t="n">
        <v>0.615</v>
      </c>
      <c r="CC235" t="n">
        <v>12</v>
      </c>
      <c r="CD235" t="n">
        <v>3</v>
      </c>
      <c r="CE235" t="n">
        <v>12</v>
      </c>
      <c r="CF235" t="n">
        <v>0</v>
      </c>
      <c r="CG235" t="n">
        <v>2</v>
      </c>
      <c r="CH235" t="n">
        <v>8</v>
      </c>
      <c r="CI235" t="n">
        <v>6.193</v>
      </c>
      <c r="CJ235" t="n">
        <v>0.786</v>
      </c>
      <c r="CK235" t="n">
        <v>6</v>
      </c>
      <c r="CL235" t="n">
        <v>20</v>
      </c>
      <c r="CM235" t="n">
        <v>13</v>
      </c>
      <c r="CN235" t="n">
        <v>7</v>
      </c>
      <c r="CO235" t="n">
        <v>2</v>
      </c>
      <c r="CP235" t="n">
        <v>2</v>
      </c>
      <c r="CQ235" t="n">
        <v>2</v>
      </c>
      <c r="CR235" t="n">
        <v>46</v>
      </c>
      <c r="CS235" t="n">
        <v>3</v>
      </c>
      <c r="CT235" t="n">
        <v>0.6</v>
      </c>
      <c r="CW235" t="n">
        <v>7.92</v>
      </c>
      <c r="CX235" t="n">
        <v>1.032</v>
      </c>
      <c r="CY235" t="n">
        <v>0</v>
      </c>
      <c r="DB235" t="n">
        <v>0</v>
      </c>
      <c r="DF235" t="n">
        <v>3</v>
      </c>
      <c r="DG235" t="n">
        <v>0</v>
      </c>
      <c r="DH235" t="n">
        <v>10</v>
      </c>
      <c r="DI235" t="n">
        <v>21</v>
      </c>
      <c r="DL235" t="n">
        <v>10</v>
      </c>
      <c r="DM235" t="n">
        <v>15</v>
      </c>
      <c r="DN235" t="n">
        <v>6</v>
      </c>
      <c r="DO235" t="n">
        <v>0.8</v>
      </c>
      <c r="DP235" t="n">
        <v>34.92</v>
      </c>
      <c r="DQ235" t="n">
        <v>17.68</v>
      </c>
      <c r="DR235" t="n">
        <v>35.36</v>
      </c>
      <c r="DS235" t="n">
        <v>-0.44</v>
      </c>
      <c r="DT235" t="n">
        <v>349</v>
      </c>
      <c r="DU235" t="n">
        <v>9.18</v>
      </c>
      <c r="DV235" t="inlineStr">
        <is>
          <t>flat</t>
        </is>
      </c>
      <c r="DW235" t="n">
        <v>53.59</v>
      </c>
      <c r="DX235" t="n">
        <v>55</v>
      </c>
      <c r="DY235" t="n">
        <v>30.78</v>
      </c>
      <c r="DZ235" t="n">
        <v>7.43</v>
      </c>
      <c r="EA235" t="n">
        <v>114.67</v>
      </c>
      <c r="EB235" t="n">
        <v>110</v>
      </c>
      <c r="EC235" t="n">
        <v>52.9</v>
      </c>
      <c r="ED235" t="n">
        <v>37.5</v>
      </c>
      <c r="EE235" t="n">
        <v>29</v>
      </c>
      <c r="EF235" t="n">
        <v>23</v>
      </c>
      <c r="EG235" t="n">
        <v>13</v>
      </c>
      <c r="EH235" t="n">
        <v>57.6</v>
      </c>
      <c r="EI235" t="n">
        <v>211.1</v>
      </c>
      <c r="EJ235" t="n">
        <v>477.1</v>
      </c>
      <c r="EK235" t="n">
        <v>146.4</v>
      </c>
      <c r="EL235" t="n">
        <v>12.3</v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n">
        <v>6</v>
      </c>
      <c r="F236" t="b">
        <v>1</v>
      </c>
      <c r="G236" t="b">
        <v>1</v>
      </c>
      <c r="H236" t="n">
        <v>22.1</v>
      </c>
      <c r="I236" t="inlineStr">
        <is>
          <t>a</t>
        </is>
      </c>
      <c r="L236" t="inlineStr">
        <is>
          <t>p493105</t>
        </is>
      </c>
      <c r="M236" t="n">
        <v>160</v>
      </c>
      <c r="Q236" t="n">
        <v>1261</v>
      </c>
      <c r="R236" t="n">
        <v>24</v>
      </c>
      <c r="S236" t="n">
        <v>14</v>
      </c>
      <c r="T236" t="n">
        <v>14.011</v>
      </c>
      <c r="U236" t="n">
        <v>52.5</v>
      </c>
      <c r="V236" t="n">
        <v>56</v>
      </c>
      <c r="W236" t="n">
        <v>3.997</v>
      </c>
      <c r="X236" t="n">
        <v>1</v>
      </c>
      <c r="Y236" t="n">
        <v>4</v>
      </c>
      <c r="Z236" t="n">
        <v>4</v>
      </c>
      <c r="AA236" t="n">
        <v>4</v>
      </c>
      <c r="AB236" t="n">
        <v>20</v>
      </c>
      <c r="AC236" t="n">
        <v>3</v>
      </c>
      <c r="AD236" t="n">
        <v>3</v>
      </c>
      <c r="AE236" t="n">
        <v>0</v>
      </c>
      <c r="AF236" t="n">
        <v>222</v>
      </c>
      <c r="AG236" t="n">
        <v>221</v>
      </c>
      <c r="AH236" t="n">
        <v>-1</v>
      </c>
      <c r="AI236" t="n">
        <v>56</v>
      </c>
      <c r="AJ236" t="n">
        <v>0.054</v>
      </c>
      <c r="AK236" t="n">
        <v>0.057</v>
      </c>
      <c r="AL236" t="n">
        <v>71</v>
      </c>
      <c r="AM236" t="n">
        <v>5.067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0.368</v>
      </c>
      <c r="AT236" t="n">
        <v>0.417</v>
      </c>
      <c r="AU236" t="n">
        <v>17</v>
      </c>
      <c r="AV236" t="n">
        <v>1</v>
      </c>
      <c r="AW236" t="n">
        <v>2.21</v>
      </c>
      <c r="AX236" t="n">
        <v>11</v>
      </c>
      <c r="AY236" t="n">
        <v>3.44</v>
      </c>
      <c r="AZ236" t="n">
        <v>4.112</v>
      </c>
      <c r="BA236" t="n">
        <v>3.776</v>
      </c>
      <c r="BB236" t="n">
        <v>4.112</v>
      </c>
      <c r="BC236" t="n">
        <v>0.246</v>
      </c>
      <c r="BD236" t="n">
        <v>0.293</v>
      </c>
      <c r="BE236" t="n">
        <v>0.269</v>
      </c>
      <c r="BF236" t="n">
        <v>2</v>
      </c>
      <c r="BG236" t="n">
        <v>0.143</v>
      </c>
      <c r="BH236" t="n">
        <v>0.889</v>
      </c>
      <c r="BI236" t="n">
        <v>22.04</v>
      </c>
      <c r="BJ236" t="n">
        <v>3.058</v>
      </c>
      <c r="BK236" t="n">
        <v>0.218</v>
      </c>
      <c r="BL236" t="n">
        <v>-2.776</v>
      </c>
      <c r="BM236" t="n">
        <v>-1.44</v>
      </c>
      <c r="BN236" t="n">
        <v>-1</v>
      </c>
      <c r="BO236" t="n">
        <v>-0.672</v>
      </c>
      <c r="BP236" t="n">
        <v>33</v>
      </c>
      <c r="BQ236" t="n">
        <v>7</v>
      </c>
      <c r="BR236" t="n">
        <v>7</v>
      </c>
      <c r="BS236" t="n">
        <v>112</v>
      </c>
      <c r="BT236" t="n">
        <v>7.994</v>
      </c>
      <c r="BW236" t="n">
        <v>3.68</v>
      </c>
      <c r="BX236" t="n">
        <v>4.219</v>
      </c>
      <c r="BY236" t="n">
        <v>3.949</v>
      </c>
      <c r="BZ236" t="n">
        <v>0.282</v>
      </c>
      <c r="CA236" t="n">
        <v>7.725</v>
      </c>
      <c r="CB236" t="n">
        <v>0.551</v>
      </c>
      <c r="CC236" t="n">
        <v>29</v>
      </c>
      <c r="CD236" t="n">
        <v>6</v>
      </c>
      <c r="CE236" t="n">
        <v>29</v>
      </c>
      <c r="CF236" t="n">
        <v>8</v>
      </c>
      <c r="CH236" t="n">
        <v>0</v>
      </c>
      <c r="CI236" t="n">
        <v>12.953</v>
      </c>
      <c r="CJ236" t="n">
        <v>6.526</v>
      </c>
      <c r="CK236" t="n">
        <v>10</v>
      </c>
      <c r="CL236" t="n">
        <v>45</v>
      </c>
      <c r="CM236" t="n">
        <v>16</v>
      </c>
      <c r="CN236" t="n">
        <v>12</v>
      </c>
      <c r="CO236" t="n">
        <v>4</v>
      </c>
      <c r="CP236" t="n">
        <v>6</v>
      </c>
      <c r="CR236" t="n">
        <v>55</v>
      </c>
      <c r="CS236" t="n">
        <v>3</v>
      </c>
      <c r="CT236" t="n">
        <v>0.6</v>
      </c>
      <c r="CW236" t="n">
        <v>20.52</v>
      </c>
      <c r="CX236" t="n">
        <v>1.465</v>
      </c>
      <c r="CY236" t="n">
        <v>0</v>
      </c>
      <c r="DB236" t="n">
        <v>0</v>
      </c>
      <c r="DE236" t="n">
        <v>6.88</v>
      </c>
      <c r="DF236" t="n">
        <v>2</v>
      </c>
      <c r="DG236" t="n">
        <v>0</v>
      </c>
      <c r="DH236" t="n">
        <v>9</v>
      </c>
      <c r="DI236" t="n">
        <v>23</v>
      </c>
      <c r="DL236" t="n">
        <v>14</v>
      </c>
      <c r="DM236" t="n">
        <v>12</v>
      </c>
      <c r="DN236" t="n">
        <v>2</v>
      </c>
      <c r="DO236" t="n">
        <v>0.8</v>
      </c>
      <c r="DP236" t="n">
        <v>107.74</v>
      </c>
      <c r="DQ236" t="n">
        <v>54.34</v>
      </c>
      <c r="DR236" t="n">
        <v>108.68</v>
      </c>
      <c r="DS236" t="n">
        <v>-0.9399999999999999</v>
      </c>
      <c r="DT236" t="n">
        <v>1949</v>
      </c>
      <c r="DU236" t="n">
        <v>51.3</v>
      </c>
      <c r="DV236" t="inlineStr">
        <is>
          <t>flat</t>
        </is>
      </c>
      <c r="DW236" t="n">
        <v>80.09</v>
      </c>
      <c r="DX236" t="n">
        <v>77.75</v>
      </c>
      <c r="DY236" t="n">
        <v>17.71</v>
      </c>
      <c r="DZ236" t="n">
        <v>41.6</v>
      </c>
      <c r="EA236" t="n">
        <v>112.89</v>
      </c>
      <c r="EB236" t="n">
        <v>37</v>
      </c>
      <c r="EC236" t="n">
        <v>17.8</v>
      </c>
      <c r="ED236" t="n">
        <v>9.800000000000001</v>
      </c>
      <c r="EE236" t="n">
        <v>97</v>
      </c>
      <c r="EF236" t="n">
        <v>38.2</v>
      </c>
      <c r="EG236" t="n">
        <v>11.3</v>
      </c>
      <c r="EH236" t="n">
        <v>43.5</v>
      </c>
      <c r="EI236" t="n">
        <v>334</v>
      </c>
      <c r="EJ236" t="n">
        <v>319.3</v>
      </c>
      <c r="EK236" t="n">
        <v>163.2</v>
      </c>
      <c r="EL236" t="n">
        <v>22.5</v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n">
        <v>5</v>
      </c>
      <c r="F237" t="b">
        <v>1</v>
      </c>
      <c r="G237" t="b">
        <v>1</v>
      </c>
      <c r="H237" t="n">
        <v>32.7</v>
      </c>
      <c r="I237" t="inlineStr">
        <is>
          <t>a</t>
        </is>
      </c>
      <c r="L237" t="inlineStr">
        <is>
          <t>p88894</t>
        </is>
      </c>
      <c r="M237" t="n">
        <v>46</v>
      </c>
      <c r="Q237" t="n">
        <v>844</v>
      </c>
      <c r="R237" t="n">
        <v>21</v>
      </c>
      <c r="S237" t="n">
        <v>7</v>
      </c>
      <c r="T237" t="n">
        <v>9.378</v>
      </c>
      <c r="U237" t="n">
        <v>40.2</v>
      </c>
      <c r="V237" t="n">
        <v>56</v>
      </c>
      <c r="W237" t="n">
        <v>5.972</v>
      </c>
      <c r="X237" t="n">
        <v>3</v>
      </c>
      <c r="Y237" t="n">
        <v>2</v>
      </c>
      <c r="Z237" t="n">
        <v>1</v>
      </c>
      <c r="AA237" t="n">
        <v>1</v>
      </c>
      <c r="AB237" t="n">
        <v>15</v>
      </c>
      <c r="AC237" t="n">
        <v>5</v>
      </c>
      <c r="AD237" t="n">
        <v>5</v>
      </c>
      <c r="AE237" t="n">
        <v>0</v>
      </c>
      <c r="AF237" t="n">
        <v>221</v>
      </c>
      <c r="AG237" t="n">
        <v>219</v>
      </c>
      <c r="AH237" t="n">
        <v>-2</v>
      </c>
      <c r="AI237" t="n">
        <v>56</v>
      </c>
      <c r="AJ237" t="n">
        <v>0.089</v>
      </c>
      <c r="AK237" t="n">
        <v>0.098</v>
      </c>
      <c r="AL237" t="n">
        <v>74</v>
      </c>
      <c r="AM237" t="n">
        <v>7.891</v>
      </c>
      <c r="AN237" t="n">
        <v>1</v>
      </c>
      <c r="AO237" t="n">
        <v>2</v>
      </c>
      <c r="AP237" t="n">
        <v>0.143</v>
      </c>
      <c r="AQ237" t="n">
        <v>0.143</v>
      </c>
      <c r="AR237" t="n">
        <v>0.143</v>
      </c>
      <c r="AS237" t="n">
        <v>0.184</v>
      </c>
      <c r="AT237" t="n">
        <v>0.333</v>
      </c>
      <c r="AU237" t="n">
        <v>15</v>
      </c>
      <c r="AV237" t="n">
        <v>1</v>
      </c>
      <c r="AW237" t="n">
        <v>2.6</v>
      </c>
      <c r="AX237" t="n">
        <v>12</v>
      </c>
      <c r="AY237" t="n">
        <v>1.58</v>
      </c>
      <c r="AZ237" t="n">
        <v>1.913</v>
      </c>
      <c r="BA237" t="n">
        <v>1.746</v>
      </c>
      <c r="BB237" t="n">
        <v>1.913</v>
      </c>
      <c r="BC237" t="n">
        <v>0.168</v>
      </c>
      <c r="BD237" t="n">
        <v>0.204</v>
      </c>
      <c r="BE237" t="n">
        <v>0.186</v>
      </c>
      <c r="BF237" t="n">
        <v>1.9</v>
      </c>
      <c r="BG237" t="n">
        <v>0.203</v>
      </c>
      <c r="BH237" t="n">
        <v>1.086</v>
      </c>
      <c r="BI237" t="n">
        <v>7.28</v>
      </c>
      <c r="BJ237" t="n">
        <v>1.716</v>
      </c>
      <c r="BK237" t="n">
        <v>0.183</v>
      </c>
      <c r="BL237" t="n">
        <v>1.254</v>
      </c>
      <c r="BM237" t="n">
        <v>0.32</v>
      </c>
      <c r="BN237" t="n">
        <v>1.1</v>
      </c>
      <c r="BO237" t="n">
        <v>-0.333</v>
      </c>
      <c r="BP237" t="n">
        <v>18</v>
      </c>
      <c r="BQ237" t="n">
        <v>8</v>
      </c>
      <c r="BR237" t="n">
        <v>2</v>
      </c>
      <c r="BS237" t="n">
        <v>18</v>
      </c>
      <c r="BT237" t="n">
        <v>1.919</v>
      </c>
      <c r="BV237" t="n">
        <v>2</v>
      </c>
      <c r="BW237" t="n">
        <v>1.26</v>
      </c>
      <c r="BX237" t="n">
        <v>2.032</v>
      </c>
      <c r="BY237" t="n">
        <v>1.646</v>
      </c>
      <c r="BZ237" t="n">
        <v>0.176</v>
      </c>
      <c r="CA237" t="n">
        <v>3.393</v>
      </c>
      <c r="CB237" t="n">
        <v>0.362</v>
      </c>
      <c r="CC237" t="n">
        <v>10</v>
      </c>
      <c r="CD237" t="n">
        <v>4</v>
      </c>
      <c r="CE237" t="n">
        <v>10</v>
      </c>
      <c r="CG237" t="n">
        <v>2</v>
      </c>
      <c r="CH237" t="n">
        <v>1</v>
      </c>
      <c r="CI237" t="n">
        <v>6.251</v>
      </c>
      <c r="CJ237" t="n">
        <v>4.002</v>
      </c>
      <c r="CK237" t="n">
        <v>15</v>
      </c>
      <c r="CL237" t="n">
        <v>45</v>
      </c>
      <c r="CM237" t="n">
        <v>14</v>
      </c>
      <c r="CN237" t="n">
        <v>10</v>
      </c>
      <c r="CO237" t="n">
        <v>2</v>
      </c>
      <c r="CP237" t="n">
        <v>10</v>
      </c>
      <c r="CQ237" t="n">
        <v>3</v>
      </c>
      <c r="CR237" t="n">
        <v>50</v>
      </c>
      <c r="CS237" t="n">
        <v>14</v>
      </c>
      <c r="CT237" t="n">
        <v>0.3</v>
      </c>
      <c r="CW237" t="n">
        <v>13.2</v>
      </c>
      <c r="CX237" t="n">
        <v>1.408</v>
      </c>
      <c r="CY237" t="n">
        <v>0</v>
      </c>
      <c r="DB237" t="n">
        <v>0</v>
      </c>
      <c r="DE237" t="n">
        <v>6.68</v>
      </c>
      <c r="DF237" t="n">
        <v>1</v>
      </c>
      <c r="DG237" t="n">
        <v>0</v>
      </c>
      <c r="DH237" t="n">
        <v>9</v>
      </c>
      <c r="DI237" t="n">
        <v>9</v>
      </c>
      <c r="DL237" t="n">
        <v>13</v>
      </c>
      <c r="DM237" t="n">
        <v>16</v>
      </c>
      <c r="DO237" t="n">
        <v>0.2</v>
      </c>
      <c r="DP237" t="n">
        <v>44.53</v>
      </c>
      <c r="DQ237" t="n">
        <v>24.12</v>
      </c>
      <c r="DR237" t="n">
        <v>48.24</v>
      </c>
      <c r="DS237" t="n">
        <v>-3.71</v>
      </c>
      <c r="DT237" t="n">
        <v>670</v>
      </c>
      <c r="DU237" t="n">
        <v>17.62</v>
      </c>
      <c r="DV237" t="inlineStr">
        <is>
          <t>fade (losing his place)</t>
        </is>
      </c>
      <c r="EF237" t="n">
        <v>46.9</v>
      </c>
      <c r="EG237" t="n">
        <v>46.9</v>
      </c>
      <c r="EH237" t="n">
        <v>84.40000000000001</v>
      </c>
      <c r="EI237" t="n">
        <v>483.3</v>
      </c>
      <c r="EJ237" t="n">
        <v>512.7</v>
      </c>
      <c r="EK237" t="n">
        <v>248.8</v>
      </c>
      <c r="EL237" t="n">
        <v>15.1</v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n">
        <v>5</v>
      </c>
      <c r="F238" t="b">
        <v>1</v>
      </c>
      <c r="G238" t="b">
        <v>1</v>
      </c>
      <c r="H238" t="n">
        <v>26.3</v>
      </c>
      <c r="I238" t="inlineStr">
        <is>
          <t>a</t>
        </is>
      </c>
      <c r="L238" t="inlineStr">
        <is>
          <t>p486520</t>
        </is>
      </c>
      <c r="M238" t="n">
        <v>344</v>
      </c>
      <c r="Q238" t="n">
        <v>1318</v>
      </c>
      <c r="R238" t="n">
        <v>23</v>
      </c>
      <c r="S238" t="n">
        <v>15</v>
      </c>
      <c r="T238" t="n">
        <v>14.644</v>
      </c>
      <c r="U238" t="n">
        <v>57.3</v>
      </c>
      <c r="V238" t="n">
        <v>56</v>
      </c>
      <c r="W238" t="n">
        <v>3.824</v>
      </c>
      <c r="X238" t="n">
        <v>0</v>
      </c>
      <c r="Y238" t="n">
        <v>4</v>
      </c>
      <c r="Z238" t="n">
        <v>3</v>
      </c>
      <c r="AA238" t="n">
        <v>5</v>
      </c>
      <c r="AB238" t="n">
        <v>23</v>
      </c>
      <c r="AC238" t="n">
        <v>3</v>
      </c>
      <c r="AD238" t="n">
        <v>3</v>
      </c>
      <c r="AE238" t="n">
        <v>0</v>
      </c>
      <c r="AF238" t="n">
        <v>245</v>
      </c>
      <c r="AG238" t="n">
        <v>236</v>
      </c>
      <c r="AH238" t="n">
        <v>-9</v>
      </c>
      <c r="AI238" t="n">
        <v>56</v>
      </c>
      <c r="AJ238" t="n">
        <v>0.054</v>
      </c>
      <c r="AK238" t="n">
        <v>0.057</v>
      </c>
      <c r="AL238" t="n">
        <v>114</v>
      </c>
      <c r="AM238" t="n">
        <v>7.785</v>
      </c>
      <c r="AN238" t="n">
        <v>1</v>
      </c>
      <c r="AO238" t="n">
        <v>2</v>
      </c>
      <c r="AP238" t="n">
        <v>0.067</v>
      </c>
      <c r="AQ238" t="n">
        <v>0.2</v>
      </c>
      <c r="AR238" t="n">
        <v>0.067</v>
      </c>
      <c r="AS238" t="n">
        <v>0.395</v>
      </c>
      <c r="AT238" t="n">
        <v>0.609</v>
      </c>
      <c r="AU238" t="n">
        <v>16</v>
      </c>
      <c r="AV238" t="n">
        <v>1</v>
      </c>
      <c r="AW238" t="n">
        <v>2.18</v>
      </c>
      <c r="AX238" t="n">
        <v>11</v>
      </c>
      <c r="AY238" t="n">
        <v>0.49</v>
      </c>
      <c r="AZ238" t="n">
        <v>0.734</v>
      </c>
      <c r="BA238" t="n">
        <v>0.612</v>
      </c>
      <c r="BB238" t="n">
        <v>0.734</v>
      </c>
      <c r="BC238" t="n">
        <v>0.033</v>
      </c>
      <c r="BD238" t="n">
        <v>0.05</v>
      </c>
      <c r="BE238" t="n">
        <v>0.042</v>
      </c>
      <c r="BF238" t="n">
        <v>0.2</v>
      </c>
      <c r="BG238" t="n">
        <v>0.014</v>
      </c>
      <c r="BH238" t="n">
        <v>0.966</v>
      </c>
      <c r="BI238" t="n">
        <v>0.49</v>
      </c>
      <c r="BJ238" t="n">
        <v>0.473</v>
      </c>
      <c r="BK238" t="n">
        <v>0.032</v>
      </c>
      <c r="BL238" t="n">
        <v>-0.612</v>
      </c>
      <c r="BM238" t="n">
        <v>-0.29</v>
      </c>
      <c r="BN238" t="n">
        <v>-0.2</v>
      </c>
      <c r="BO238" t="n">
        <v>-0.244</v>
      </c>
      <c r="BP238" t="n">
        <v>7</v>
      </c>
      <c r="BQ238" t="n">
        <v>1</v>
      </c>
      <c r="BR238" t="n">
        <v>1</v>
      </c>
      <c r="BS238" t="n">
        <v>12</v>
      </c>
      <c r="BT238" t="n">
        <v>0.819</v>
      </c>
      <c r="BW238" t="n">
        <v>0.86</v>
      </c>
      <c r="BX238" t="n">
        <v>1.494</v>
      </c>
      <c r="BY238" t="n">
        <v>1.177</v>
      </c>
      <c r="BZ238" t="n">
        <v>0.08</v>
      </c>
      <c r="CA238" t="n">
        <v>1.789</v>
      </c>
      <c r="CB238" t="n">
        <v>0.122</v>
      </c>
      <c r="CC238" t="n">
        <v>11</v>
      </c>
      <c r="CD238" t="n">
        <v>2</v>
      </c>
      <c r="CE238" t="n">
        <v>11</v>
      </c>
      <c r="CF238" t="n">
        <v>4</v>
      </c>
      <c r="CG238" t="n">
        <v>1</v>
      </c>
      <c r="CH238" t="n">
        <v>4</v>
      </c>
      <c r="CI238" t="n">
        <v>3.584</v>
      </c>
      <c r="CJ238" t="n">
        <v>2.23</v>
      </c>
      <c r="CK238" t="n">
        <v>40</v>
      </c>
      <c r="CL238" t="n">
        <v>51</v>
      </c>
      <c r="CM238" t="n">
        <v>23</v>
      </c>
      <c r="CN238" t="n">
        <v>12</v>
      </c>
      <c r="CO238" t="n">
        <v>15</v>
      </c>
      <c r="CP238" t="n">
        <v>19</v>
      </c>
      <c r="CQ238" t="n">
        <v>6</v>
      </c>
      <c r="CR238" t="n">
        <v>52</v>
      </c>
      <c r="CS238" t="n">
        <v>14</v>
      </c>
      <c r="CT238" t="n">
        <v>0.3</v>
      </c>
      <c r="CW238" t="n">
        <v>25.27</v>
      </c>
      <c r="CX238" t="n">
        <v>1.726</v>
      </c>
      <c r="CY238" t="n">
        <v>0</v>
      </c>
      <c r="DB238" t="n">
        <v>0</v>
      </c>
      <c r="DE238" t="n">
        <v>6.61</v>
      </c>
      <c r="DF238" t="n">
        <v>3</v>
      </c>
      <c r="DG238" t="n">
        <v>0</v>
      </c>
      <c r="DH238" t="n">
        <v>16</v>
      </c>
      <c r="DI238" t="n">
        <v>9</v>
      </c>
      <c r="DJ238" t="n">
        <v>0</v>
      </c>
      <c r="DL238" t="n">
        <v>6</v>
      </c>
      <c r="DM238" t="n">
        <v>5</v>
      </c>
      <c r="DO238" t="n">
        <v>0</v>
      </c>
      <c r="DP238" t="n">
        <v>25.56</v>
      </c>
      <c r="DQ238" t="n">
        <v>12.78</v>
      </c>
      <c r="DR238" t="n">
        <v>25.56</v>
      </c>
      <c r="DS238" t="n">
        <v>0</v>
      </c>
      <c r="DT238" t="n">
        <v>502</v>
      </c>
      <c r="DU238" t="n">
        <v>13.22</v>
      </c>
      <c r="DV238" t="inlineStr">
        <is>
          <t>flat</t>
        </is>
      </c>
      <c r="EF238" t="n">
        <v>188.3</v>
      </c>
      <c r="EG238" t="n">
        <v>109.8</v>
      </c>
      <c r="EH238" t="n">
        <v>119.8</v>
      </c>
      <c r="EI238" t="n">
        <v>2154</v>
      </c>
      <c r="EJ238" t="n">
        <v>1120</v>
      </c>
      <c r="EK238" t="n">
        <v>736.9</v>
      </c>
      <c r="EL238" t="n">
        <v>23.5</v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n">
        <v>4.5</v>
      </c>
      <c r="F239" t="b">
        <v>1</v>
      </c>
      <c r="G239" t="b">
        <v>1</v>
      </c>
      <c r="H239" t="n">
        <v>32.4</v>
      </c>
      <c r="I239" t="inlineStr">
        <is>
          <t>a</t>
        </is>
      </c>
      <c r="L239" t="inlineStr">
        <is>
          <t>p122798</t>
        </is>
      </c>
      <c r="M239" t="n">
        <v>502</v>
      </c>
      <c r="Q239" t="n">
        <v>1165</v>
      </c>
      <c r="R239" t="n">
        <v>24</v>
      </c>
      <c r="S239" t="n">
        <v>11</v>
      </c>
      <c r="T239" t="n">
        <v>12.944</v>
      </c>
      <c r="U239" t="n">
        <v>48.5</v>
      </c>
      <c r="V239" t="n">
        <v>55</v>
      </c>
      <c r="W239" t="n">
        <v>4.249</v>
      </c>
      <c r="X239" t="n">
        <v>1</v>
      </c>
      <c r="Y239" t="n">
        <v>0</v>
      </c>
      <c r="AA239" t="n">
        <v>4</v>
      </c>
      <c r="AB239" t="n">
        <v>16</v>
      </c>
      <c r="AC239" t="n">
        <v>4</v>
      </c>
      <c r="AD239" t="n">
        <v>4</v>
      </c>
      <c r="AE239" t="n">
        <v>0</v>
      </c>
      <c r="AF239" t="n">
        <v>216</v>
      </c>
      <c r="AG239" t="n">
        <v>206</v>
      </c>
      <c r="AH239" t="n">
        <v>-10</v>
      </c>
      <c r="AI239" t="n">
        <v>55</v>
      </c>
      <c r="AJ239" t="n">
        <v>0.073</v>
      </c>
      <c r="AK239" t="n">
        <v>0.078</v>
      </c>
      <c r="AL239" t="n">
        <v>55</v>
      </c>
      <c r="AM239" t="n">
        <v>4.249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0.289</v>
      </c>
      <c r="AT239" t="n">
        <v>0.375</v>
      </c>
      <c r="AU239" t="n">
        <v>19</v>
      </c>
      <c r="AV239" t="n">
        <v>0</v>
      </c>
      <c r="AW239" t="n">
        <v>2.39</v>
      </c>
      <c r="AX239" t="n">
        <v>8</v>
      </c>
      <c r="AY239" t="n">
        <v>1.1</v>
      </c>
      <c r="AZ239" t="n">
        <v>1.047</v>
      </c>
      <c r="BA239" t="n">
        <v>1.074</v>
      </c>
      <c r="BB239" t="n">
        <v>1.047</v>
      </c>
      <c r="BC239" t="n">
        <v>0.08500000000000001</v>
      </c>
      <c r="BD239" t="n">
        <v>0.081</v>
      </c>
      <c r="BE239" t="n">
        <v>0.083</v>
      </c>
      <c r="BF239" t="n">
        <v>1.4</v>
      </c>
      <c r="BG239" t="n">
        <v>0.108</v>
      </c>
      <c r="BH239" t="n">
        <v>0.958</v>
      </c>
      <c r="BI239" t="n">
        <v>5.36</v>
      </c>
      <c r="BJ239" t="n">
        <v>1.054</v>
      </c>
      <c r="BK239" t="n">
        <v>0.081</v>
      </c>
      <c r="BL239" t="n">
        <v>-0.074</v>
      </c>
      <c r="BM239" t="n">
        <v>0.3</v>
      </c>
      <c r="BN239" t="n">
        <v>-0.4</v>
      </c>
      <c r="BO239" t="n">
        <v>0.053</v>
      </c>
      <c r="BP239" t="n">
        <v>10</v>
      </c>
      <c r="BQ239" t="n">
        <v>3</v>
      </c>
      <c r="BS239" t="n">
        <v>28</v>
      </c>
      <c r="BT239" t="n">
        <v>2.163</v>
      </c>
      <c r="BW239" t="n">
        <v>1.4</v>
      </c>
      <c r="BX239" t="n">
        <v>1.51</v>
      </c>
      <c r="BY239" t="n">
        <v>1.455</v>
      </c>
      <c r="BZ239" t="n">
        <v>0.112</v>
      </c>
      <c r="CA239" t="n">
        <v>2.528</v>
      </c>
      <c r="CB239" t="n">
        <v>0.195</v>
      </c>
      <c r="CC239" t="n">
        <v>20</v>
      </c>
      <c r="CD239" t="n">
        <v>3</v>
      </c>
      <c r="CE239" t="n">
        <v>20</v>
      </c>
      <c r="CF239" t="n">
        <v>13</v>
      </c>
      <c r="CH239" t="n">
        <v>3</v>
      </c>
      <c r="CI239" t="n">
        <v>5.851</v>
      </c>
      <c r="CJ239" t="n">
        <v>4.472</v>
      </c>
      <c r="CK239" t="n">
        <v>43</v>
      </c>
      <c r="CL239" t="n">
        <v>40</v>
      </c>
      <c r="CM239" t="n">
        <v>12</v>
      </c>
      <c r="CN239" t="n">
        <v>9</v>
      </c>
      <c r="CO239" t="n">
        <v>8</v>
      </c>
      <c r="CP239" t="n">
        <v>32</v>
      </c>
      <c r="CQ239" t="n">
        <v>3</v>
      </c>
      <c r="CR239" t="n">
        <v>30</v>
      </c>
      <c r="CS239" t="n">
        <v>14</v>
      </c>
      <c r="CT239" t="n">
        <v>0.2</v>
      </c>
      <c r="CU239" t="n">
        <v>1</v>
      </c>
      <c r="CW239" t="n">
        <v>17.44</v>
      </c>
      <c r="CX239" t="n">
        <v>1.347</v>
      </c>
      <c r="CY239" t="n">
        <v>0</v>
      </c>
      <c r="DB239" t="n">
        <v>0</v>
      </c>
      <c r="DE239" t="n">
        <v>6.75</v>
      </c>
      <c r="DF239" t="n">
        <v>0</v>
      </c>
      <c r="DG239" t="n">
        <v>0</v>
      </c>
      <c r="DH239" t="n">
        <v>4</v>
      </c>
      <c r="DI239" t="n">
        <v>1</v>
      </c>
      <c r="DL239" t="n">
        <v>3</v>
      </c>
      <c r="DM239" t="n">
        <v>1</v>
      </c>
      <c r="DN239" t="n">
        <v>5</v>
      </c>
      <c r="DO239" t="n">
        <v>2.1</v>
      </c>
      <c r="DP239" t="n">
        <v>34.2</v>
      </c>
      <c r="DQ239" t="n">
        <v>17.24</v>
      </c>
      <c r="DR239" t="n">
        <v>34.48</v>
      </c>
      <c r="DS239" t="n">
        <v>-0.28</v>
      </c>
      <c r="DT239" t="n">
        <v>718</v>
      </c>
      <c r="DU239" t="n">
        <v>18.9</v>
      </c>
      <c r="DV239" t="inlineStr">
        <is>
          <t>flat</t>
        </is>
      </c>
      <c r="DW239" t="n">
        <v>96.28</v>
      </c>
      <c r="DX239" t="n">
        <v>107.75</v>
      </c>
      <c r="DY239" t="n">
        <v>19.06</v>
      </c>
      <c r="DZ239" t="n">
        <v>54.86</v>
      </c>
      <c r="EA239" t="n">
        <v>120</v>
      </c>
      <c r="EB239" t="n">
        <v>38</v>
      </c>
      <c r="EC239" t="n">
        <v>18.3</v>
      </c>
      <c r="ED239" t="n">
        <v>2.6</v>
      </c>
      <c r="EE239" t="n">
        <v>421</v>
      </c>
      <c r="EF239" t="n">
        <v>116.5</v>
      </c>
      <c r="EG239" t="n">
        <v>41.6</v>
      </c>
      <c r="EH239" t="n">
        <v>58.2</v>
      </c>
      <c r="EI239" t="n">
        <v>1085.1</v>
      </c>
      <c r="EJ239" t="n">
        <v>800.8</v>
      </c>
      <c r="EK239" t="n">
        <v>460.8</v>
      </c>
      <c r="EL239" t="n">
        <v>21.2</v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n">
        <v>4.5</v>
      </c>
      <c r="F240" t="b">
        <v>1</v>
      </c>
      <c r="G240" t="b">
        <v>1</v>
      </c>
      <c r="H240" t="n">
        <v>24.4</v>
      </c>
      <c r="I240" t="inlineStr">
        <is>
          <t>a</t>
        </is>
      </c>
      <c r="L240" t="inlineStr">
        <is>
          <t>p441302</t>
        </is>
      </c>
      <c r="M240" t="n">
        <v>36</v>
      </c>
      <c r="Q240" t="n">
        <v>1590</v>
      </c>
      <c r="R240" t="n">
        <v>30</v>
      </c>
      <c r="S240" t="n">
        <v>17</v>
      </c>
      <c r="T240" t="n">
        <v>17.667</v>
      </c>
      <c r="U240" t="n">
        <v>53</v>
      </c>
      <c r="V240" t="n">
        <v>54</v>
      </c>
      <c r="W240" t="n">
        <v>3.057</v>
      </c>
      <c r="X240" t="n">
        <v>0</v>
      </c>
      <c r="Y240" t="n">
        <v>1</v>
      </c>
      <c r="Z240" t="n">
        <v>1</v>
      </c>
      <c r="AA240" t="n">
        <v>2</v>
      </c>
      <c r="AB240" t="n">
        <v>27</v>
      </c>
      <c r="AC240" t="n">
        <v>1</v>
      </c>
      <c r="AD240" t="n">
        <v>1</v>
      </c>
      <c r="AE240" t="n">
        <v>0</v>
      </c>
      <c r="AF240" t="n">
        <v>242</v>
      </c>
      <c r="AG240" t="n">
        <v>226</v>
      </c>
      <c r="AH240" t="n">
        <v>-16</v>
      </c>
      <c r="AI240" t="n">
        <v>54</v>
      </c>
      <c r="AJ240" t="n">
        <v>0.019</v>
      </c>
      <c r="AK240" t="n">
        <v>0.019</v>
      </c>
      <c r="AL240" t="n">
        <v>128</v>
      </c>
      <c r="AM240" t="n">
        <v>7.245</v>
      </c>
      <c r="AN240" t="n">
        <v>2</v>
      </c>
      <c r="AO240" t="n">
        <v>4</v>
      </c>
      <c r="AP240" t="n">
        <v>0.118</v>
      </c>
      <c r="AQ240" t="n">
        <v>0.118</v>
      </c>
      <c r="AR240" t="n">
        <v>0.059</v>
      </c>
      <c r="AS240" t="n">
        <v>0.447</v>
      </c>
      <c r="AT240" t="n">
        <v>0.5669999999999999</v>
      </c>
      <c r="AU240" t="n">
        <v>26</v>
      </c>
      <c r="AV240" t="n">
        <v>0</v>
      </c>
      <c r="AW240" t="n">
        <v>1.7</v>
      </c>
      <c r="AX240" t="n">
        <v>8</v>
      </c>
      <c r="AY240" t="n">
        <v>1.26</v>
      </c>
      <c r="AZ240" t="n">
        <v>1.3</v>
      </c>
      <c r="BA240" t="n">
        <v>1.28</v>
      </c>
      <c r="BB240" t="n">
        <v>1.3</v>
      </c>
      <c r="BC240" t="n">
        <v>0.07099999999999999</v>
      </c>
      <c r="BD240" t="n">
        <v>0.074</v>
      </c>
      <c r="BE240" t="n">
        <v>0.07199999999999999</v>
      </c>
      <c r="BF240" t="n">
        <v>0.9</v>
      </c>
      <c r="BG240" t="n">
        <v>0.051</v>
      </c>
      <c r="BH240" t="n">
        <v>0.902</v>
      </c>
      <c r="BI240" t="n">
        <v>2.87</v>
      </c>
      <c r="BJ240" t="n">
        <v>1.136</v>
      </c>
      <c r="BK240" t="n">
        <v>0.064</v>
      </c>
      <c r="BL240" t="n">
        <v>-1.28</v>
      </c>
      <c r="BM240" t="n">
        <v>-0.36</v>
      </c>
      <c r="BN240" t="n">
        <v>-0.9</v>
      </c>
      <c r="BO240" t="n">
        <v>-0.04</v>
      </c>
      <c r="BP240" t="n">
        <v>20</v>
      </c>
      <c r="BQ240" t="n">
        <v>5</v>
      </c>
      <c r="BR240" t="n">
        <v>1</v>
      </c>
      <c r="BS240" t="n">
        <v>67</v>
      </c>
      <c r="BT240" t="n">
        <v>3.792</v>
      </c>
      <c r="BW240" t="n">
        <v>2.39</v>
      </c>
      <c r="BX240" t="n">
        <v>2.967</v>
      </c>
      <c r="BY240" t="n">
        <v>2.678</v>
      </c>
      <c r="BZ240" t="n">
        <v>0.152</v>
      </c>
      <c r="CA240" t="n">
        <v>3.958</v>
      </c>
      <c r="CB240" t="n">
        <v>0.224</v>
      </c>
      <c r="CC240" t="n">
        <v>25</v>
      </c>
      <c r="CD240" t="n">
        <v>5</v>
      </c>
      <c r="CE240" t="n">
        <v>26</v>
      </c>
      <c r="CF240" t="n">
        <v>12</v>
      </c>
      <c r="CH240" t="n">
        <v>7</v>
      </c>
      <c r="CI240" t="n">
        <v>5.083</v>
      </c>
      <c r="CJ240" t="n">
        <v>3.725</v>
      </c>
      <c r="CK240" t="n">
        <v>85</v>
      </c>
      <c r="CL240" t="n">
        <v>82</v>
      </c>
      <c r="CM240" t="n">
        <v>43</v>
      </c>
      <c r="CN240" t="n">
        <v>32</v>
      </c>
      <c r="CO240" t="n">
        <v>19</v>
      </c>
      <c r="CP240" t="n">
        <v>64</v>
      </c>
      <c r="CQ240" t="n">
        <v>1</v>
      </c>
      <c r="CR240" t="n">
        <v>101</v>
      </c>
      <c r="CS240" t="n">
        <v>18</v>
      </c>
      <c r="CT240" t="n">
        <v>0.2</v>
      </c>
      <c r="CV240" t="n">
        <v>1</v>
      </c>
      <c r="CW240" t="n">
        <v>26.64</v>
      </c>
      <c r="CX240" t="n">
        <v>1.508</v>
      </c>
      <c r="CY240" t="n">
        <v>0</v>
      </c>
      <c r="DB240" t="n">
        <v>0</v>
      </c>
      <c r="DE240" t="n">
        <v>6.79</v>
      </c>
      <c r="DF240" t="n">
        <v>2</v>
      </c>
      <c r="DG240" t="n">
        <v>0</v>
      </c>
      <c r="DH240" t="n">
        <v>17</v>
      </c>
      <c r="DI240" t="n">
        <v>19</v>
      </c>
      <c r="DL240" t="n">
        <v>21</v>
      </c>
      <c r="DM240" t="n">
        <v>23</v>
      </c>
      <c r="DN240" t="n">
        <v>1</v>
      </c>
      <c r="DO240" t="n">
        <v>0.8</v>
      </c>
      <c r="DP240" t="n">
        <v>137.16</v>
      </c>
      <c r="DQ240" t="n">
        <v>68.63</v>
      </c>
      <c r="DR240" t="n">
        <v>137.26</v>
      </c>
      <c r="DS240" t="n">
        <v>-0.1</v>
      </c>
      <c r="DT240" t="n">
        <v>3004</v>
      </c>
      <c r="DU240" t="n">
        <v>79.05</v>
      </c>
      <c r="DV240" t="inlineStr">
        <is>
          <t>flat</t>
        </is>
      </c>
      <c r="DW240" t="n">
        <v>99.3</v>
      </c>
      <c r="DX240" t="n">
        <v>93.33</v>
      </c>
      <c r="DY240" t="n">
        <v>15.74</v>
      </c>
      <c r="DZ240" t="n">
        <v>61</v>
      </c>
      <c r="EA240" t="n">
        <v>120</v>
      </c>
      <c r="EB240" t="n">
        <v>25</v>
      </c>
      <c r="EC240" t="n">
        <v>12</v>
      </c>
      <c r="ED240" t="n">
        <v>3.8</v>
      </c>
      <c r="EE240" t="n">
        <v>422</v>
      </c>
      <c r="EF240" t="n">
        <v>79.5</v>
      </c>
      <c r="EG240" t="n">
        <v>23.7</v>
      </c>
      <c r="EH240" t="n">
        <v>61.2</v>
      </c>
      <c r="EI240" t="n">
        <v>1242.4</v>
      </c>
      <c r="EJ240" t="n">
        <v>593.7</v>
      </c>
      <c r="EK240" t="n">
        <v>401.7</v>
      </c>
      <c r="EL240" t="n">
        <v>29.4</v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n">
        <v>5.5</v>
      </c>
      <c r="F241" t="b">
        <v>1</v>
      </c>
      <c r="G241" t="b">
        <v>1</v>
      </c>
      <c r="H241" t="n">
        <v>26.7</v>
      </c>
      <c r="I241" t="inlineStr">
        <is>
          <t>a</t>
        </is>
      </c>
      <c r="L241" t="inlineStr">
        <is>
          <t>p433154</t>
        </is>
      </c>
      <c r="M241" t="n">
        <v>241</v>
      </c>
      <c r="Q241" t="n">
        <v>1161</v>
      </c>
      <c r="R241" t="n">
        <v>22</v>
      </c>
      <c r="S241" t="n">
        <v>14</v>
      </c>
      <c r="T241" t="n">
        <v>12.9</v>
      </c>
      <c r="U241" t="n">
        <v>52.8</v>
      </c>
      <c r="V241" t="n">
        <v>53</v>
      </c>
      <c r="W241" t="n">
        <v>4.109</v>
      </c>
      <c r="X241" t="n">
        <v>0</v>
      </c>
      <c r="Y241" t="n">
        <v>3</v>
      </c>
      <c r="Z241" t="n">
        <v>1</v>
      </c>
      <c r="AA241" t="n">
        <v>6</v>
      </c>
      <c r="AB241" t="n">
        <v>9</v>
      </c>
      <c r="AC241" t="n">
        <v>1</v>
      </c>
      <c r="AD241" t="n">
        <v>1</v>
      </c>
      <c r="AE241" t="n">
        <v>0</v>
      </c>
      <c r="AF241" t="n">
        <v>186</v>
      </c>
      <c r="AG241" t="n">
        <v>179</v>
      </c>
      <c r="AH241" t="n">
        <v>-7</v>
      </c>
      <c r="AI241" t="n">
        <v>53</v>
      </c>
      <c r="AJ241" t="n">
        <v>0.019</v>
      </c>
      <c r="AK241" t="n">
        <v>0.019</v>
      </c>
      <c r="AL241" t="n">
        <v>111</v>
      </c>
      <c r="AM241" t="n">
        <v>8.605</v>
      </c>
      <c r="AN241" t="n">
        <v>2</v>
      </c>
      <c r="AO241" t="n">
        <v>4</v>
      </c>
      <c r="AP241" t="n">
        <v>0.143</v>
      </c>
      <c r="AQ241" t="n">
        <v>0.214</v>
      </c>
      <c r="AR241" t="n">
        <v>0.143</v>
      </c>
      <c r="AS241" t="n">
        <v>0.368</v>
      </c>
      <c r="AT241" t="n">
        <v>0.545</v>
      </c>
      <c r="AU241" t="n">
        <v>15</v>
      </c>
      <c r="AV241" t="n">
        <v>0</v>
      </c>
      <c r="AW241" t="n">
        <v>1.81</v>
      </c>
      <c r="AX241" t="n">
        <v>6</v>
      </c>
      <c r="AY241" t="n">
        <v>1.37</v>
      </c>
      <c r="AZ241" t="n">
        <v>1.463</v>
      </c>
      <c r="BA241" t="n">
        <v>1.417</v>
      </c>
      <c r="BB241" t="n">
        <v>1.463</v>
      </c>
      <c r="BC241" t="n">
        <v>0.106</v>
      </c>
      <c r="BD241" t="n">
        <v>0.113</v>
      </c>
      <c r="BE241" t="n">
        <v>0.11</v>
      </c>
      <c r="BF241" t="n">
        <v>1.3</v>
      </c>
      <c r="BG241" t="n">
        <v>0.101</v>
      </c>
      <c r="BH241" t="n">
        <v>1.047</v>
      </c>
      <c r="BI241" t="n">
        <v>9.19</v>
      </c>
      <c r="BJ241" t="n">
        <v>1.435</v>
      </c>
      <c r="BK241" t="n">
        <v>0.111</v>
      </c>
      <c r="BL241" t="n">
        <v>-1.417</v>
      </c>
      <c r="BM241" t="n">
        <v>-0.07000000000000001</v>
      </c>
      <c r="BN241" t="n">
        <v>-1.3</v>
      </c>
      <c r="BO241" t="n">
        <v>-0.093</v>
      </c>
      <c r="BP241" t="n">
        <v>24</v>
      </c>
      <c r="BQ241" t="n">
        <v>5</v>
      </c>
      <c r="BR241" t="n">
        <v>1</v>
      </c>
      <c r="BS241" t="n">
        <v>23</v>
      </c>
      <c r="BT241" t="n">
        <v>1.783</v>
      </c>
      <c r="BW241" t="n">
        <v>1.91</v>
      </c>
      <c r="BX241" t="n">
        <v>1.739</v>
      </c>
      <c r="BY241" t="n">
        <v>1.825</v>
      </c>
      <c r="BZ241" t="n">
        <v>0.141</v>
      </c>
      <c r="CA241" t="n">
        <v>3.241</v>
      </c>
      <c r="CB241" t="n">
        <v>0.251</v>
      </c>
      <c r="CC241" t="n">
        <v>15</v>
      </c>
      <c r="CD241" t="n">
        <v>1</v>
      </c>
      <c r="CE241" t="n">
        <v>15</v>
      </c>
      <c r="CF241" t="n">
        <v>10</v>
      </c>
      <c r="CG241" t="n">
        <v>2</v>
      </c>
      <c r="CH241" t="n">
        <v>9</v>
      </c>
      <c r="CI241" t="n">
        <v>4.621</v>
      </c>
      <c r="CJ241" t="n">
        <v>2.529</v>
      </c>
      <c r="CK241" t="n">
        <v>26</v>
      </c>
      <c r="CL241" t="n">
        <v>62</v>
      </c>
      <c r="CM241" t="n">
        <v>23</v>
      </c>
      <c r="CN241" t="n">
        <v>17</v>
      </c>
      <c r="CO241" t="n">
        <v>10</v>
      </c>
      <c r="CP241" t="n">
        <v>13</v>
      </c>
      <c r="CQ241" t="n">
        <v>3</v>
      </c>
      <c r="CR241" t="n">
        <v>44</v>
      </c>
      <c r="CS241" t="n">
        <v>7</v>
      </c>
      <c r="CT241" t="n">
        <v>0.9</v>
      </c>
      <c r="CU241" t="n">
        <v>1</v>
      </c>
      <c r="CV241" t="n">
        <v>1</v>
      </c>
      <c r="CW241" t="n">
        <v>18.8</v>
      </c>
      <c r="CX241" t="n">
        <v>1.457</v>
      </c>
      <c r="CY241" t="n">
        <v>0</v>
      </c>
      <c r="DB241" t="n">
        <v>0</v>
      </c>
      <c r="DE241" t="n">
        <v>6.62</v>
      </c>
      <c r="DF241" t="n">
        <v>1</v>
      </c>
      <c r="DG241" t="n">
        <v>0</v>
      </c>
      <c r="DH241" t="n">
        <v>11</v>
      </c>
      <c r="DI241" t="n">
        <v>7</v>
      </c>
      <c r="DL241" t="n">
        <v>7</v>
      </c>
      <c r="DM241" t="n">
        <v>19</v>
      </c>
      <c r="DN241" t="n">
        <v>2</v>
      </c>
      <c r="DO241" t="n">
        <v>0.2</v>
      </c>
      <c r="DP241" t="n">
        <v>23.52</v>
      </c>
      <c r="DQ241" t="n">
        <v>11.76</v>
      </c>
      <c r="DR241" t="n">
        <v>23.52</v>
      </c>
      <c r="DS241" t="n">
        <v>0</v>
      </c>
      <c r="DT241" t="n">
        <v>445</v>
      </c>
      <c r="DU241" t="n">
        <v>11.7</v>
      </c>
      <c r="DV241" t="inlineStr">
        <is>
          <t>flat</t>
        </is>
      </c>
      <c r="EF241" t="n">
        <v>48.4</v>
      </c>
      <c r="EG241" t="n">
        <v>50.5</v>
      </c>
      <c r="EH241" t="n">
        <v>77.40000000000001</v>
      </c>
      <c r="EI241" t="n">
        <v>819.5</v>
      </c>
      <c r="EJ241" t="n">
        <v>636.3</v>
      </c>
      <c r="EK241" t="n">
        <v>358.2</v>
      </c>
      <c r="EL241" t="n">
        <v>21.9</v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n">
        <v>5</v>
      </c>
      <c r="F242" t="b">
        <v>1</v>
      </c>
      <c r="G242" t="b">
        <v>1</v>
      </c>
      <c r="H242" t="n">
        <v>25.1</v>
      </c>
      <c r="I242" t="inlineStr">
        <is>
          <t>a</t>
        </is>
      </c>
      <c r="L242" t="inlineStr">
        <is>
          <t>p485047</t>
        </is>
      </c>
      <c r="M242" t="n">
        <v>470</v>
      </c>
      <c r="Q242" t="n">
        <v>1340</v>
      </c>
      <c r="R242" t="n">
        <v>21</v>
      </c>
      <c r="S242" t="n">
        <v>14</v>
      </c>
      <c r="T242" t="n">
        <v>14.889</v>
      </c>
      <c r="U242" t="n">
        <v>63.8</v>
      </c>
      <c r="V242" t="n">
        <v>53</v>
      </c>
      <c r="W242" t="n">
        <v>3.56</v>
      </c>
      <c r="X242" t="n">
        <v>1</v>
      </c>
      <c r="Y242" t="n">
        <v>0</v>
      </c>
      <c r="AA242" t="n">
        <v>2</v>
      </c>
      <c r="AB242" t="n">
        <v>23</v>
      </c>
      <c r="AC242" t="n">
        <v>1</v>
      </c>
      <c r="AD242" t="n">
        <v>1</v>
      </c>
      <c r="AE242" t="n">
        <v>0</v>
      </c>
      <c r="AF242" t="n">
        <v>190</v>
      </c>
      <c r="AG242" t="n">
        <v>169</v>
      </c>
      <c r="AH242" t="n">
        <v>-21</v>
      </c>
      <c r="AI242" t="n">
        <v>53</v>
      </c>
      <c r="AJ242" t="n">
        <v>0.019</v>
      </c>
      <c r="AK242" t="n">
        <v>0.019</v>
      </c>
      <c r="AL242" t="n">
        <v>144</v>
      </c>
      <c r="AM242" t="n">
        <v>9.672000000000001</v>
      </c>
      <c r="AN242" t="n">
        <v>7</v>
      </c>
      <c r="AO242" t="n">
        <v>14</v>
      </c>
      <c r="AP242" t="n">
        <v>0.5</v>
      </c>
      <c r="AQ242" t="n">
        <v>0.5</v>
      </c>
      <c r="AR242" t="n">
        <v>0.214</v>
      </c>
      <c r="AS242" t="n">
        <v>0.368</v>
      </c>
      <c r="AT242" t="n">
        <v>0.667</v>
      </c>
      <c r="AU242" t="n">
        <v>14</v>
      </c>
      <c r="AV242" t="n">
        <v>0</v>
      </c>
      <c r="AW242" t="n">
        <v>2.24</v>
      </c>
      <c r="AX242" t="n">
        <v>9</v>
      </c>
      <c r="AY242" t="n">
        <v>1.32</v>
      </c>
      <c r="AZ242" t="n">
        <v>1.885</v>
      </c>
      <c r="BA242" t="n">
        <v>1.603</v>
      </c>
      <c r="BB242" t="n">
        <v>1.885</v>
      </c>
      <c r="BC242" t="n">
        <v>0.089</v>
      </c>
      <c r="BD242" t="n">
        <v>0.127</v>
      </c>
      <c r="BE242" t="n">
        <v>0.108</v>
      </c>
      <c r="BF242" t="n">
        <v>1.3</v>
      </c>
      <c r="BG242" t="n">
        <v>0.08699999999999999</v>
      </c>
      <c r="BH242" t="n">
        <v>1.021</v>
      </c>
      <c r="BI242" t="n">
        <v>1.5</v>
      </c>
      <c r="BJ242" t="n">
        <v>1.348</v>
      </c>
      <c r="BK242" t="n">
        <v>0.091</v>
      </c>
      <c r="BL242" t="n">
        <v>-0.603</v>
      </c>
      <c r="BM242" t="n">
        <v>-0.02</v>
      </c>
      <c r="BN242" t="n">
        <v>-0.3</v>
      </c>
      <c r="BO242" t="n">
        <v>-0.5649999999999999</v>
      </c>
      <c r="BP242" t="n">
        <v>5</v>
      </c>
      <c r="BQ242" t="n">
        <v>2</v>
      </c>
      <c r="BR242" t="n">
        <v>2</v>
      </c>
      <c r="BS242" t="n">
        <v>12</v>
      </c>
      <c r="BT242" t="n">
        <v>0.806</v>
      </c>
      <c r="BV242" t="n">
        <v>1</v>
      </c>
      <c r="BW242" t="n">
        <v>0.15</v>
      </c>
      <c r="BX242" t="n">
        <v>0.094</v>
      </c>
      <c r="BY242" t="n">
        <v>0.122</v>
      </c>
      <c r="BZ242" t="n">
        <v>0.008</v>
      </c>
      <c r="CA242" t="n">
        <v>1.725</v>
      </c>
      <c r="CB242" t="n">
        <v>0.116</v>
      </c>
      <c r="CC242" t="n">
        <v>2</v>
      </c>
      <c r="CE242" t="n">
        <v>2</v>
      </c>
      <c r="CI242" t="n">
        <v>4.478</v>
      </c>
      <c r="CJ242" t="n">
        <v>3.847</v>
      </c>
      <c r="CK242" t="n">
        <v>114</v>
      </c>
      <c r="CL242" t="n">
        <v>52</v>
      </c>
      <c r="CM242" t="n">
        <v>30</v>
      </c>
      <c r="CN242" t="n">
        <v>17</v>
      </c>
      <c r="CO242" t="n">
        <v>11</v>
      </c>
      <c r="CP242" t="n">
        <v>87</v>
      </c>
      <c r="CQ242" t="n">
        <v>15</v>
      </c>
      <c r="CR242" t="n">
        <v>65</v>
      </c>
      <c r="CS242" t="n">
        <v>23</v>
      </c>
      <c r="CT242" t="n">
        <v>0.1</v>
      </c>
      <c r="CU242" t="n">
        <v>1</v>
      </c>
      <c r="CV242" t="n">
        <v>3</v>
      </c>
      <c r="CW242" t="n">
        <v>24.34</v>
      </c>
      <c r="CX242" t="n">
        <v>1.635</v>
      </c>
      <c r="CY242" t="n">
        <v>0</v>
      </c>
      <c r="DB242" t="n">
        <v>0</v>
      </c>
      <c r="DF242" t="n">
        <v>5</v>
      </c>
      <c r="DG242" t="n">
        <v>0</v>
      </c>
      <c r="DH242" t="n">
        <v>16</v>
      </c>
      <c r="DI242" t="n">
        <v>7</v>
      </c>
      <c r="DL242" t="n">
        <v>5</v>
      </c>
      <c r="DN242" t="n">
        <v>1</v>
      </c>
      <c r="DO242" t="n">
        <v>0.1</v>
      </c>
      <c r="DP242" t="n">
        <v>18.81</v>
      </c>
      <c r="DQ242" t="n">
        <v>9.41</v>
      </c>
      <c r="DR242" t="n">
        <v>18.82</v>
      </c>
      <c r="DS242" t="n">
        <v>-0.01</v>
      </c>
      <c r="DT242" t="n">
        <v>386</v>
      </c>
      <c r="DU242" t="n">
        <v>10.16</v>
      </c>
      <c r="DV242" t="inlineStr">
        <is>
          <t>flat</t>
        </is>
      </c>
      <c r="DW242" t="n">
        <v>102.5</v>
      </c>
      <c r="DX242" t="n">
        <v>85</v>
      </c>
      <c r="DY242" t="n">
        <v>24.75</v>
      </c>
      <c r="DZ242" t="n">
        <v>85</v>
      </c>
      <c r="EA242" t="n">
        <v>120</v>
      </c>
      <c r="EB242" t="n">
        <v>2</v>
      </c>
      <c r="EC242" t="n">
        <v>1</v>
      </c>
      <c r="ED242" t="n">
        <v>60</v>
      </c>
      <c r="EE242" t="n">
        <v>281</v>
      </c>
      <c r="EF242" t="n">
        <v>268</v>
      </c>
      <c r="EG242" t="n">
        <v>111.7</v>
      </c>
      <c r="EH242" t="n">
        <v>670</v>
      </c>
      <c r="EI242" t="n">
        <v>836.1</v>
      </c>
      <c r="EJ242" t="n">
        <v>10997.6</v>
      </c>
      <c r="EK242" t="n">
        <v>777</v>
      </c>
      <c r="EL242" t="n">
        <v>25.3</v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n">
        <v>4.5</v>
      </c>
      <c r="F243" t="b">
        <v>1</v>
      </c>
      <c r="G243" t="b">
        <v>1</v>
      </c>
      <c r="H243" t="n">
        <v>28.8</v>
      </c>
      <c r="I243" t="inlineStr">
        <is>
          <t>a</t>
        </is>
      </c>
      <c r="L243" t="inlineStr">
        <is>
          <t>p230001</t>
        </is>
      </c>
      <c r="M243" t="n">
        <v>422</v>
      </c>
      <c r="Q243" t="n">
        <v>977</v>
      </c>
      <c r="R243" t="n">
        <v>20</v>
      </c>
      <c r="S243" t="n">
        <v>11</v>
      </c>
      <c r="T243" t="n">
        <v>10.856</v>
      </c>
      <c r="U243" t="n">
        <v>48.8</v>
      </c>
      <c r="V243" t="n">
        <v>53</v>
      </c>
      <c r="W243" t="n">
        <v>4.882</v>
      </c>
      <c r="X243" t="n">
        <v>0</v>
      </c>
      <c r="Y243" t="n">
        <v>0</v>
      </c>
      <c r="AA243" t="n">
        <v>5</v>
      </c>
      <c r="AB243" t="n">
        <v>10</v>
      </c>
      <c r="AC243" t="n">
        <v>6</v>
      </c>
      <c r="AD243" t="n">
        <v>6</v>
      </c>
      <c r="AE243" t="n">
        <v>0</v>
      </c>
      <c r="AF243" t="n">
        <v>233</v>
      </c>
      <c r="AG243" t="n">
        <v>220</v>
      </c>
      <c r="AH243" t="n">
        <v>-13</v>
      </c>
      <c r="AI243" t="n">
        <v>53</v>
      </c>
      <c r="AJ243" t="n">
        <v>0.113</v>
      </c>
      <c r="AK243" t="n">
        <v>0.128</v>
      </c>
      <c r="AL243" t="n">
        <v>94</v>
      </c>
      <c r="AM243" t="n">
        <v>8.659000000000001</v>
      </c>
      <c r="AN243" t="n">
        <v>1</v>
      </c>
      <c r="AO243" t="n">
        <v>2</v>
      </c>
      <c r="AP243" t="n">
        <v>0.091</v>
      </c>
      <c r="AQ243" t="n">
        <v>0.091</v>
      </c>
      <c r="AR243" t="n">
        <v>0</v>
      </c>
      <c r="AS243" t="n">
        <v>0.289</v>
      </c>
      <c r="AT243" t="n">
        <v>0.5</v>
      </c>
      <c r="AU243" t="n">
        <v>14</v>
      </c>
      <c r="AV243" t="n">
        <v>1</v>
      </c>
      <c r="AW243" t="n">
        <v>2.55</v>
      </c>
      <c r="AX243" t="n">
        <v>11</v>
      </c>
      <c r="AY243" t="n">
        <v>0.19</v>
      </c>
      <c r="AZ243" t="n">
        <v>0.197</v>
      </c>
      <c r="BA243" t="n">
        <v>0.193</v>
      </c>
      <c r="BB243" t="n">
        <v>0.197</v>
      </c>
      <c r="BC243" t="n">
        <v>0.018</v>
      </c>
      <c r="BD243" t="n">
        <v>0.018</v>
      </c>
      <c r="BE243" t="n">
        <v>0.018</v>
      </c>
      <c r="BH243" t="n">
        <v>0.9350000000000001</v>
      </c>
      <c r="BI243" t="n">
        <v>0.88</v>
      </c>
      <c r="BJ243" t="n">
        <v>0.178</v>
      </c>
      <c r="BK243" t="n">
        <v>0.016</v>
      </c>
      <c r="BL243" t="n">
        <v>-0.193</v>
      </c>
      <c r="BO243" t="n">
        <v>-0.007</v>
      </c>
      <c r="BP243" t="n">
        <v>5</v>
      </c>
      <c r="BQ243" t="n">
        <v>0</v>
      </c>
      <c r="BS243" t="n">
        <v>14</v>
      </c>
      <c r="BT243" t="n">
        <v>1.29</v>
      </c>
      <c r="BW243" t="n">
        <v>0.35</v>
      </c>
      <c r="BX243" t="n">
        <v>0.209</v>
      </c>
      <c r="BY243" t="n">
        <v>0.28</v>
      </c>
      <c r="BZ243" t="n">
        <v>0.026</v>
      </c>
      <c r="CA243" t="n">
        <v>0.473</v>
      </c>
      <c r="CB243" t="n">
        <v>0.044</v>
      </c>
      <c r="CC243" t="n">
        <v>6</v>
      </c>
      <c r="CE243" t="n">
        <v>6</v>
      </c>
      <c r="CF243" t="n">
        <v>4</v>
      </c>
      <c r="CI243" t="n">
        <v>5.649</v>
      </c>
      <c r="CJ243" t="n">
        <v>5.4</v>
      </c>
      <c r="CK243" t="n">
        <v>66</v>
      </c>
      <c r="CL243" t="n">
        <v>46</v>
      </c>
      <c r="CM243" t="n">
        <v>28</v>
      </c>
      <c r="CN243" t="n">
        <v>16</v>
      </c>
      <c r="CO243" t="n">
        <v>14</v>
      </c>
      <c r="CP243" t="n">
        <v>54</v>
      </c>
      <c r="CQ243" t="n">
        <v>2</v>
      </c>
      <c r="CR243" t="n">
        <v>68</v>
      </c>
      <c r="CS243" t="n">
        <v>18</v>
      </c>
      <c r="CT243" t="n">
        <v>0.4</v>
      </c>
      <c r="CV243" t="n">
        <v>2</v>
      </c>
      <c r="CW243" t="n">
        <v>12.99</v>
      </c>
      <c r="CX243" t="n">
        <v>1.197</v>
      </c>
      <c r="CY243" t="n">
        <v>0</v>
      </c>
      <c r="DB243" t="n">
        <v>0</v>
      </c>
      <c r="DF243" t="n">
        <v>3</v>
      </c>
      <c r="DG243" t="n">
        <v>0</v>
      </c>
      <c r="DH243" t="n">
        <v>12</v>
      </c>
      <c r="DI243" t="n">
        <v>14</v>
      </c>
      <c r="DL243" t="n">
        <v>8</v>
      </c>
      <c r="DM243" t="n">
        <v>4</v>
      </c>
      <c r="DO243" t="n">
        <v>0.8</v>
      </c>
      <c r="DP243" t="n">
        <v>37.93</v>
      </c>
      <c r="DQ243" t="n">
        <v>18.96</v>
      </c>
      <c r="DR243" t="n">
        <v>37.92</v>
      </c>
      <c r="DS243" t="n">
        <v>0.01</v>
      </c>
      <c r="DT243" t="n">
        <v>808</v>
      </c>
      <c r="DU243" t="n">
        <v>21.26</v>
      </c>
      <c r="DV243" t="inlineStr">
        <is>
          <t>flat</t>
        </is>
      </c>
      <c r="DW243" t="n">
        <v>99.94</v>
      </c>
      <c r="DY243" t="n">
        <v>17.31</v>
      </c>
      <c r="DZ243" t="n">
        <v>74.5</v>
      </c>
      <c r="EA243" t="n">
        <v>116.8</v>
      </c>
      <c r="EB243" t="n">
        <v>8</v>
      </c>
      <c r="EC243" t="n">
        <v>3.8</v>
      </c>
      <c r="ED243" t="n">
        <v>0</v>
      </c>
      <c r="EE243" t="n">
        <v>423</v>
      </c>
      <c r="EF243" t="n">
        <v>195.4</v>
      </c>
      <c r="EG243" t="n">
        <v>69.8</v>
      </c>
      <c r="EH243" t="n">
        <v>162.8</v>
      </c>
      <c r="EI243" t="n">
        <v>5051.6</v>
      </c>
      <c r="EJ243" t="n">
        <v>3492.5</v>
      </c>
      <c r="EK243" t="n">
        <v>2064.9</v>
      </c>
      <c r="EL243" t="n">
        <v>18.4</v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n">
        <v>4.5</v>
      </c>
      <c r="F244" t="b">
        <v>1</v>
      </c>
      <c r="G244" t="b">
        <v>1</v>
      </c>
      <c r="H244" t="n">
        <v>29.1</v>
      </c>
      <c r="I244" t="inlineStr">
        <is>
          <t>a</t>
        </is>
      </c>
      <c r="L244" t="inlineStr">
        <is>
          <t>p194010</t>
        </is>
      </c>
      <c r="M244" t="n">
        <v>89</v>
      </c>
      <c r="Q244" t="n">
        <v>1322</v>
      </c>
      <c r="R244" t="n">
        <v>25</v>
      </c>
      <c r="S244" t="n">
        <v>14</v>
      </c>
      <c r="T244" t="n">
        <v>14.689</v>
      </c>
      <c r="U244" t="n">
        <v>52.9</v>
      </c>
      <c r="V244" t="n">
        <v>52</v>
      </c>
      <c r="W244" t="n">
        <v>3.54</v>
      </c>
      <c r="X244" t="n">
        <v>0</v>
      </c>
      <c r="Y244" t="n">
        <v>2</v>
      </c>
      <c r="Z244" t="n">
        <v>1</v>
      </c>
      <c r="AA244" t="n">
        <v>4</v>
      </c>
      <c r="AB244" t="n">
        <v>22</v>
      </c>
      <c r="AC244" t="n">
        <v>0</v>
      </c>
      <c r="AD244" t="n">
        <v>0</v>
      </c>
      <c r="AE244" t="n">
        <v>0</v>
      </c>
      <c r="AF244" t="n">
        <v>144</v>
      </c>
      <c r="AG244" t="n">
        <v>135</v>
      </c>
      <c r="AH244" t="n">
        <v>-9</v>
      </c>
      <c r="AI244" t="n">
        <v>52</v>
      </c>
      <c r="AJ244" t="n">
        <v>0</v>
      </c>
      <c r="AK244" t="n">
        <v>0</v>
      </c>
      <c r="AL244" t="n">
        <v>68</v>
      </c>
      <c r="AM244" t="n">
        <v>4.629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0.368</v>
      </c>
      <c r="AT244" t="n">
        <v>0.52</v>
      </c>
      <c r="AU244" t="n">
        <v>19</v>
      </c>
      <c r="AV244" t="n">
        <v>0</v>
      </c>
      <c r="AW244" t="n">
        <v>1.84</v>
      </c>
      <c r="AX244" t="n">
        <v>6</v>
      </c>
      <c r="AY244" t="n">
        <v>0.18</v>
      </c>
      <c r="AZ244" t="n">
        <v>0.146</v>
      </c>
      <c r="BA244" t="n">
        <v>0.163</v>
      </c>
      <c r="BB244" t="n">
        <v>0.146</v>
      </c>
      <c r="BC244" t="n">
        <v>0.012</v>
      </c>
      <c r="BD244" t="n">
        <v>0.01</v>
      </c>
      <c r="BE244" t="n">
        <v>0.011</v>
      </c>
      <c r="BH244" t="n">
        <v>0.896</v>
      </c>
      <c r="BI244" t="n">
        <v>2.05</v>
      </c>
      <c r="BJ244" t="n">
        <v>0.161</v>
      </c>
      <c r="BK244" t="n">
        <v>0.011</v>
      </c>
      <c r="BL244" t="n">
        <v>-0.163</v>
      </c>
      <c r="BO244" t="n">
        <v>0.034</v>
      </c>
      <c r="BP244" t="n">
        <v>5</v>
      </c>
      <c r="BQ244" t="n">
        <v>0</v>
      </c>
      <c r="BS244" t="n">
        <v>14</v>
      </c>
      <c r="BT244" t="n">
        <v>0.953</v>
      </c>
      <c r="BW244" t="n">
        <v>0.54</v>
      </c>
      <c r="BX244" t="n">
        <v>0.316</v>
      </c>
      <c r="BY244" t="n">
        <v>0.428</v>
      </c>
      <c r="BZ244" t="n">
        <v>0.029</v>
      </c>
      <c r="CA244" t="n">
        <v>0.591</v>
      </c>
      <c r="CB244" t="n">
        <v>0.04</v>
      </c>
      <c r="CC244" t="n">
        <v>4</v>
      </c>
      <c r="CD244" t="n">
        <v>1</v>
      </c>
      <c r="CE244" t="n">
        <v>4</v>
      </c>
      <c r="CF244" t="n">
        <v>3</v>
      </c>
      <c r="CI244" t="n">
        <v>2.418</v>
      </c>
      <c r="CJ244" t="n">
        <v>2.232</v>
      </c>
      <c r="CK244" t="n">
        <v>53</v>
      </c>
      <c r="CL244" t="n">
        <v>72</v>
      </c>
      <c r="CM244" t="n">
        <v>15</v>
      </c>
      <c r="CN244" t="n">
        <v>11</v>
      </c>
      <c r="CO244" t="n">
        <v>8</v>
      </c>
      <c r="CP244" t="n">
        <v>41</v>
      </c>
      <c r="CQ244" t="n">
        <v>5</v>
      </c>
      <c r="CR244" t="n">
        <v>66</v>
      </c>
      <c r="CS244" t="n">
        <v>19</v>
      </c>
      <c r="CT244" t="n">
        <v>0.2</v>
      </c>
      <c r="CU244" t="n">
        <v>1</v>
      </c>
      <c r="CV244" t="n">
        <v>3</v>
      </c>
      <c r="CW244" t="n">
        <v>23.91</v>
      </c>
      <c r="CX244" t="n">
        <v>1.628</v>
      </c>
      <c r="CY244" t="n">
        <v>0</v>
      </c>
      <c r="DB244" t="n">
        <v>0</v>
      </c>
      <c r="DE244" t="n">
        <v>6.52</v>
      </c>
      <c r="DF244" t="n">
        <v>2</v>
      </c>
      <c r="DG244" t="n">
        <v>0</v>
      </c>
      <c r="DH244" t="n">
        <v>15</v>
      </c>
      <c r="DI244" t="n">
        <v>17</v>
      </c>
      <c r="DK244" t="n">
        <v>1</v>
      </c>
      <c r="DL244" t="n">
        <v>15</v>
      </c>
      <c r="DM244" t="n">
        <v>9</v>
      </c>
      <c r="DN244" t="n">
        <v>2</v>
      </c>
      <c r="DO244" t="n">
        <v>0.2</v>
      </c>
      <c r="DP244" t="n">
        <v>46.7</v>
      </c>
      <c r="DQ244" t="n">
        <v>23.67</v>
      </c>
      <c r="DR244" t="n">
        <v>47.34</v>
      </c>
      <c r="DS244" t="n">
        <v>-0.64</v>
      </c>
      <c r="DT244" t="n">
        <v>1236</v>
      </c>
      <c r="DU244" t="n">
        <v>32.52</v>
      </c>
      <c r="DV244" t="inlineStr">
        <is>
          <t>flat</t>
        </is>
      </c>
      <c r="DW244" t="n">
        <v>115.33</v>
      </c>
      <c r="DZ244" t="n">
        <v>115.33</v>
      </c>
      <c r="EA244" t="n">
        <v>115.33</v>
      </c>
      <c r="EB244" t="n">
        <v>1</v>
      </c>
      <c r="EC244" t="n">
        <v>0.5</v>
      </c>
      <c r="ED244" t="n">
        <v>0</v>
      </c>
      <c r="EE244" t="n">
        <v>424</v>
      </c>
      <c r="EF244" t="n">
        <v>264.4</v>
      </c>
      <c r="EG244" t="n">
        <v>94.40000000000001</v>
      </c>
      <c r="EH244" t="n">
        <v>330.5</v>
      </c>
      <c r="EI244" t="n">
        <v>8118.9</v>
      </c>
      <c r="EJ244" t="n">
        <v>3088.2</v>
      </c>
      <c r="EK244" t="n">
        <v>2237.2</v>
      </c>
      <c r="EL244" t="n">
        <v>25.4</v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n">
        <v>5</v>
      </c>
      <c r="F245" t="b">
        <v>1</v>
      </c>
      <c r="G245" t="b">
        <v>1</v>
      </c>
      <c r="H245" t="n">
        <v>28.6</v>
      </c>
      <c r="I245" t="inlineStr">
        <is>
          <t>d</t>
        </is>
      </c>
      <c r="J245" t="inlineStr">
        <is>
          <t>Thigh injury - 75% chance of playing</t>
        </is>
      </c>
      <c r="K245" t="n">
        <v>75</v>
      </c>
      <c r="L245" t="inlineStr">
        <is>
          <t>p221820</t>
        </is>
      </c>
      <c r="M245" t="n">
        <v>419</v>
      </c>
      <c r="Q245" t="n">
        <v>1229</v>
      </c>
      <c r="R245" t="n">
        <v>18</v>
      </c>
      <c r="S245" t="n">
        <v>13</v>
      </c>
      <c r="T245" t="n">
        <v>13.656</v>
      </c>
      <c r="U245" t="n">
        <v>68.3</v>
      </c>
      <c r="V245" t="n">
        <v>51</v>
      </c>
      <c r="W245" t="n">
        <v>3.735</v>
      </c>
      <c r="X245" t="n">
        <v>0</v>
      </c>
      <c r="Y245" t="n">
        <v>0</v>
      </c>
      <c r="AA245" t="n">
        <v>5</v>
      </c>
      <c r="AB245" t="n">
        <v>15</v>
      </c>
      <c r="AC245" t="n">
        <v>3</v>
      </c>
      <c r="AD245" t="n">
        <v>2</v>
      </c>
      <c r="AE245" t="n">
        <v>-1</v>
      </c>
      <c r="AF245" t="n">
        <v>241</v>
      </c>
      <c r="AG245" t="n">
        <v>226</v>
      </c>
      <c r="AH245" t="n">
        <v>-15</v>
      </c>
      <c r="AI245" t="n">
        <v>50</v>
      </c>
      <c r="AJ245" t="n">
        <v>0.059</v>
      </c>
      <c r="AK245" t="n">
        <v>0.062</v>
      </c>
      <c r="AL245" t="n">
        <v>105</v>
      </c>
      <c r="AM245" t="n">
        <v>7.689</v>
      </c>
      <c r="AN245" t="n">
        <v>4</v>
      </c>
      <c r="AO245" t="n">
        <v>8</v>
      </c>
      <c r="AP245" t="n">
        <v>0.308</v>
      </c>
      <c r="AQ245" t="n">
        <v>0.308</v>
      </c>
      <c r="AR245" t="n">
        <v>0.154</v>
      </c>
      <c r="AS245" t="n">
        <v>0.342</v>
      </c>
      <c r="AT245" t="n">
        <v>0.667</v>
      </c>
      <c r="AU245" t="n">
        <v>11</v>
      </c>
      <c r="AV245" t="n">
        <v>1</v>
      </c>
      <c r="AW245" t="n">
        <v>2.68</v>
      </c>
      <c r="AX245" t="n">
        <v>10</v>
      </c>
      <c r="AY245" t="n">
        <v>0.15</v>
      </c>
      <c r="AZ245" t="n">
        <v>0.113</v>
      </c>
      <c r="BA245" t="n">
        <v>0.132</v>
      </c>
      <c r="BB245" t="n">
        <v>0.113</v>
      </c>
      <c r="BC245" t="n">
        <v>0.011</v>
      </c>
      <c r="BD245" t="n">
        <v>0.008</v>
      </c>
      <c r="BE245" t="n">
        <v>0.01</v>
      </c>
      <c r="BH245" t="n">
        <v>0.916</v>
      </c>
      <c r="BI245" t="n">
        <v>1.94</v>
      </c>
      <c r="BJ245" t="n">
        <v>0.137</v>
      </c>
      <c r="BK245" t="n">
        <v>0.01</v>
      </c>
      <c r="BL245" t="n">
        <v>-0.132</v>
      </c>
      <c r="BO245" t="n">
        <v>0.037</v>
      </c>
      <c r="BP245" t="n">
        <v>5</v>
      </c>
      <c r="BS245" t="n">
        <v>5</v>
      </c>
      <c r="BT245" t="n">
        <v>0.366</v>
      </c>
      <c r="BW245" t="n">
        <v>0.6</v>
      </c>
      <c r="BX245" t="n">
        <v>0.464</v>
      </c>
      <c r="BY245" t="n">
        <v>0.532</v>
      </c>
      <c r="BZ245" t="n">
        <v>0.039</v>
      </c>
      <c r="CA245" t="n">
        <v>0.664</v>
      </c>
      <c r="CB245" t="n">
        <v>0.049</v>
      </c>
      <c r="CC245" t="n">
        <v>5</v>
      </c>
      <c r="CD245" t="n">
        <v>1</v>
      </c>
      <c r="CE245" t="n">
        <v>5</v>
      </c>
      <c r="CF245" t="n">
        <v>1</v>
      </c>
      <c r="CG245" t="n">
        <v>1</v>
      </c>
      <c r="CI245" t="n">
        <v>6.69</v>
      </c>
      <c r="CJ245" t="n">
        <v>6.569</v>
      </c>
      <c r="CK245" t="n">
        <v>86</v>
      </c>
      <c r="CL245" t="n">
        <v>68</v>
      </c>
      <c r="CM245" t="n">
        <v>19</v>
      </c>
      <c r="CN245" t="n">
        <v>12</v>
      </c>
      <c r="CO245" t="n">
        <v>12</v>
      </c>
      <c r="CP245" t="n">
        <v>62</v>
      </c>
      <c r="CQ245" t="n">
        <v>12</v>
      </c>
      <c r="CR245" t="n">
        <v>47</v>
      </c>
      <c r="CS245" t="n">
        <v>12</v>
      </c>
      <c r="CV245" t="n">
        <v>1</v>
      </c>
      <c r="CW245" t="n">
        <v>15.22</v>
      </c>
      <c r="CX245" t="n">
        <v>1.115</v>
      </c>
      <c r="CY245" t="n">
        <v>0</v>
      </c>
      <c r="DB245" t="n">
        <v>0</v>
      </c>
      <c r="DF245" t="n">
        <v>0</v>
      </c>
      <c r="DG245" t="n">
        <v>1</v>
      </c>
      <c r="DH245" t="n">
        <v>9</v>
      </c>
      <c r="DI245" t="n">
        <v>2</v>
      </c>
      <c r="DL245" t="n">
        <v>14</v>
      </c>
      <c r="DM245" t="n">
        <v>2</v>
      </c>
      <c r="DO245" t="n">
        <v>0.4</v>
      </c>
      <c r="DP245" t="n">
        <v>130.12</v>
      </c>
      <c r="DQ245" t="n">
        <v>63.99</v>
      </c>
      <c r="DR245" t="n">
        <v>127.98</v>
      </c>
      <c r="DS245" t="n">
        <v>2.14</v>
      </c>
      <c r="DT245" t="n">
        <v>3089</v>
      </c>
      <c r="DU245" t="n">
        <v>81.3</v>
      </c>
      <c r="DV245" t="inlineStr">
        <is>
          <t>flat</t>
        </is>
      </c>
      <c r="DW245" t="n">
        <v>90.2</v>
      </c>
      <c r="DX245" t="n">
        <v>101.4</v>
      </c>
      <c r="DY245" t="n">
        <v>18.51</v>
      </c>
      <c r="DZ245" t="n">
        <v>34.67</v>
      </c>
      <c r="EA245" t="n">
        <v>114.86</v>
      </c>
      <c r="EB245" t="n">
        <v>23</v>
      </c>
      <c r="EC245" t="n">
        <v>11.1</v>
      </c>
      <c r="ED245" t="n">
        <v>8</v>
      </c>
      <c r="EE245" t="n">
        <v>282</v>
      </c>
      <c r="EF245" t="n">
        <v>245.8</v>
      </c>
      <c r="EG245" t="n">
        <v>245.8</v>
      </c>
      <c r="EH245" t="n">
        <v>245.8</v>
      </c>
      <c r="EI245" t="n">
        <v>9329.5</v>
      </c>
      <c r="EJ245" t="n">
        <v>2309.7</v>
      </c>
      <c r="EK245" t="n">
        <v>1851.4</v>
      </c>
      <c r="EL245" t="n">
        <v>24.1</v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n">
        <v>5</v>
      </c>
      <c r="F246" t="b">
        <v>1</v>
      </c>
      <c r="G246" t="b">
        <v>1</v>
      </c>
      <c r="H246" t="n">
        <v>34.7</v>
      </c>
      <c r="I246" t="inlineStr">
        <is>
          <t>a</t>
        </is>
      </c>
      <c r="K246" t="n">
        <v>100</v>
      </c>
      <c r="L246" t="inlineStr">
        <is>
          <t>p119471</t>
        </is>
      </c>
      <c r="M246" t="n">
        <v>446</v>
      </c>
      <c r="P246" t="n">
        <v>3</v>
      </c>
      <c r="Q246" t="n">
        <v>1089</v>
      </c>
      <c r="R246" t="n">
        <v>16</v>
      </c>
      <c r="S246" t="n">
        <v>11</v>
      </c>
      <c r="T246" t="n">
        <v>12.1</v>
      </c>
      <c r="U246" t="n">
        <v>68.09999999999999</v>
      </c>
      <c r="V246" t="n">
        <v>51</v>
      </c>
      <c r="W246" t="n">
        <v>4.215</v>
      </c>
      <c r="X246" t="n">
        <v>0</v>
      </c>
      <c r="Y246" t="n">
        <v>0</v>
      </c>
      <c r="AA246" t="n">
        <v>4</v>
      </c>
      <c r="AB246" t="n">
        <v>13</v>
      </c>
      <c r="AC246" t="n">
        <v>0</v>
      </c>
      <c r="AD246" t="n">
        <v>0</v>
      </c>
      <c r="AE246" t="n">
        <v>0</v>
      </c>
      <c r="AF246" t="n">
        <v>186</v>
      </c>
      <c r="AG246" t="n">
        <v>169</v>
      </c>
      <c r="AH246" t="n">
        <v>-17</v>
      </c>
      <c r="AI246" t="n">
        <v>51</v>
      </c>
      <c r="AJ246" t="n">
        <v>0</v>
      </c>
      <c r="AK246" t="n">
        <v>0</v>
      </c>
      <c r="AL246" t="n">
        <v>115</v>
      </c>
      <c r="AM246" t="n">
        <v>9.504</v>
      </c>
      <c r="AN246" t="n">
        <v>6</v>
      </c>
      <c r="AO246" t="n">
        <v>12</v>
      </c>
      <c r="AP246" t="n">
        <v>0.545</v>
      </c>
      <c r="AQ246" t="n">
        <v>0.545</v>
      </c>
      <c r="AR246" t="n">
        <v>0.091</v>
      </c>
      <c r="AS246" t="n">
        <v>0.289</v>
      </c>
      <c r="AT246" t="n">
        <v>0.6879999999999999</v>
      </c>
      <c r="AU246" t="n">
        <v>9</v>
      </c>
      <c r="AV246" t="n">
        <v>0</v>
      </c>
      <c r="AW246" t="n">
        <v>2.41</v>
      </c>
      <c r="AX246" t="n">
        <v>8</v>
      </c>
      <c r="AY246" t="n">
        <v>0.97</v>
      </c>
      <c r="AZ246" t="n">
        <v>0.963</v>
      </c>
      <c r="BA246" t="n">
        <v>0.967</v>
      </c>
      <c r="BB246" t="n">
        <v>0.963</v>
      </c>
      <c r="BC246" t="n">
        <v>0.08</v>
      </c>
      <c r="BD246" t="n">
        <v>0.08</v>
      </c>
      <c r="BE246" t="n">
        <v>0.08</v>
      </c>
      <c r="BF246" t="n">
        <v>0.6</v>
      </c>
      <c r="BG246" t="n">
        <v>0.05</v>
      </c>
      <c r="BH246" t="n">
        <v>0.865</v>
      </c>
      <c r="BI246" t="n">
        <v>12.01</v>
      </c>
      <c r="BJ246" t="n">
        <v>0.839</v>
      </c>
      <c r="BK246" t="n">
        <v>0.06900000000000001</v>
      </c>
      <c r="BL246" t="n">
        <v>-0.967</v>
      </c>
      <c r="BM246" t="n">
        <v>-0.37</v>
      </c>
      <c r="BN246" t="n">
        <v>-0.6</v>
      </c>
      <c r="BO246" t="n">
        <v>0.007</v>
      </c>
      <c r="BP246" t="n">
        <v>17</v>
      </c>
      <c r="BQ246" t="n">
        <v>4</v>
      </c>
      <c r="BR246" t="n">
        <v>2</v>
      </c>
      <c r="BS246" t="n">
        <v>19</v>
      </c>
      <c r="BT246" t="n">
        <v>1.57</v>
      </c>
      <c r="BW246" t="n">
        <v>0.6</v>
      </c>
      <c r="BX246" t="n">
        <v>0.163</v>
      </c>
      <c r="BY246" t="n">
        <v>0.381</v>
      </c>
      <c r="BZ246" t="n">
        <v>0.032</v>
      </c>
      <c r="CA246" t="n">
        <v>1.348</v>
      </c>
      <c r="CB246" t="n">
        <v>0.111</v>
      </c>
      <c r="CC246" t="n">
        <v>4</v>
      </c>
      <c r="CE246" t="n">
        <v>4</v>
      </c>
      <c r="CF246" t="n">
        <v>1</v>
      </c>
      <c r="CI246" t="n">
        <v>3.193</v>
      </c>
      <c r="CJ246" t="n">
        <v>3.06</v>
      </c>
      <c r="CK246" t="n">
        <v>101</v>
      </c>
      <c r="CL246" t="n">
        <v>42</v>
      </c>
      <c r="CM246" t="n">
        <v>14</v>
      </c>
      <c r="CN246" t="n">
        <v>10</v>
      </c>
      <c r="CO246" t="n">
        <v>18</v>
      </c>
      <c r="CP246" t="n">
        <v>71</v>
      </c>
      <c r="CQ246" t="n">
        <v>12</v>
      </c>
      <c r="CR246" t="n">
        <v>66</v>
      </c>
      <c r="CS246" t="n">
        <v>46</v>
      </c>
      <c r="CV246" t="n">
        <v>3</v>
      </c>
      <c r="CW246" t="n">
        <v>13.85</v>
      </c>
      <c r="CX246" t="n">
        <v>1.145</v>
      </c>
      <c r="CY246" t="n">
        <v>0</v>
      </c>
      <c r="DB246" t="n">
        <v>0</v>
      </c>
      <c r="DF246" t="n">
        <v>1</v>
      </c>
      <c r="DG246" t="n">
        <v>0</v>
      </c>
      <c r="DH246" t="n">
        <v>15</v>
      </c>
      <c r="DI246" t="n">
        <v>6</v>
      </c>
      <c r="DM246" t="n">
        <v>1</v>
      </c>
      <c r="DN246" t="n">
        <v>1</v>
      </c>
      <c r="DO246" t="n">
        <v>0.2</v>
      </c>
      <c r="DP246" t="n">
        <v>30.96</v>
      </c>
      <c r="DQ246" t="n">
        <v>15.48</v>
      </c>
      <c r="DR246" t="n">
        <v>30.96</v>
      </c>
      <c r="DS246" t="n">
        <v>0</v>
      </c>
      <c r="DT246" t="n">
        <v>317</v>
      </c>
      <c r="DU246" t="n">
        <v>8.34</v>
      </c>
      <c r="DV246" t="inlineStr">
        <is>
          <t>flat</t>
        </is>
      </c>
      <c r="DW246" t="n">
        <v>96.01000000000001</v>
      </c>
      <c r="DX246" t="n">
        <v>99.5</v>
      </c>
      <c r="DY246" t="n">
        <v>17.32</v>
      </c>
      <c r="DZ246" t="n">
        <v>65.33</v>
      </c>
      <c r="EA246" t="n">
        <v>113.6</v>
      </c>
      <c r="EB246" t="n">
        <v>13</v>
      </c>
      <c r="EC246" t="n">
        <v>6.2</v>
      </c>
      <c r="ED246" t="n">
        <v>18.8</v>
      </c>
      <c r="EE246" t="n">
        <v>283</v>
      </c>
      <c r="EF246" t="n">
        <v>64.09999999999999</v>
      </c>
      <c r="EG246" t="n">
        <v>57.3</v>
      </c>
      <c r="EH246" t="n">
        <v>272.2</v>
      </c>
      <c r="EI246" t="n">
        <v>1126.6</v>
      </c>
      <c r="EJ246" t="n">
        <v>2855.7</v>
      </c>
      <c r="EK246" t="n">
        <v>807.9</v>
      </c>
      <c r="EL246" t="n">
        <v>21.4</v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n">
        <v>4.5</v>
      </c>
      <c r="F247" t="b">
        <v>1</v>
      </c>
      <c r="G247" t="b">
        <v>1</v>
      </c>
      <c r="H247" t="n">
        <v>33.4</v>
      </c>
      <c r="I247" t="inlineStr">
        <is>
          <t>a</t>
        </is>
      </c>
      <c r="L247" t="inlineStr">
        <is>
          <t>p149484</t>
        </is>
      </c>
      <c r="M247" t="n">
        <v>33</v>
      </c>
      <c r="Q247" t="n">
        <v>1322</v>
      </c>
      <c r="R247" t="n">
        <v>17</v>
      </c>
      <c r="S247" t="n">
        <v>15</v>
      </c>
      <c r="T247" t="n">
        <v>14.689</v>
      </c>
      <c r="U247" t="n">
        <v>77.8</v>
      </c>
      <c r="V247" t="n">
        <v>50</v>
      </c>
      <c r="W247" t="n">
        <v>3.404</v>
      </c>
      <c r="X247" t="n">
        <v>0</v>
      </c>
      <c r="Y247" t="n">
        <v>1</v>
      </c>
      <c r="AA247" t="n">
        <v>3</v>
      </c>
      <c r="AB247" t="n">
        <v>23</v>
      </c>
      <c r="AC247" t="n">
        <v>4</v>
      </c>
      <c r="AD247" t="n">
        <v>4</v>
      </c>
      <c r="AE247" t="n">
        <v>0</v>
      </c>
      <c r="AF247" t="n">
        <v>169</v>
      </c>
      <c r="AG247" t="n">
        <v>150</v>
      </c>
      <c r="AH247" t="n">
        <v>-19</v>
      </c>
      <c r="AI247" t="n">
        <v>50</v>
      </c>
      <c r="AJ247" t="n">
        <v>0.08</v>
      </c>
      <c r="AK247" t="n">
        <v>0.08699999999999999</v>
      </c>
      <c r="AL247" t="n">
        <v>107</v>
      </c>
      <c r="AM247" t="n">
        <v>7.284</v>
      </c>
      <c r="AN247" t="n">
        <v>4</v>
      </c>
      <c r="AO247" t="n">
        <v>8</v>
      </c>
      <c r="AP247" t="n">
        <v>0.267</v>
      </c>
      <c r="AQ247" t="n">
        <v>0.267</v>
      </c>
      <c r="AR247" t="n">
        <v>0.133</v>
      </c>
      <c r="AS247" t="n">
        <v>0.395</v>
      </c>
      <c r="AT247" t="n">
        <v>0.824</v>
      </c>
      <c r="AU247" t="n">
        <v>11</v>
      </c>
      <c r="AV247" t="n">
        <v>1</v>
      </c>
      <c r="AW247" t="n">
        <v>2.62</v>
      </c>
      <c r="AX247" t="n">
        <v>12</v>
      </c>
      <c r="AY247" t="n">
        <v>1.3</v>
      </c>
      <c r="AZ247" t="n">
        <v>1.492</v>
      </c>
      <c r="BA247" t="n">
        <v>1.396</v>
      </c>
      <c r="BB247" t="n">
        <v>1.492</v>
      </c>
      <c r="BC247" t="n">
        <v>0.089</v>
      </c>
      <c r="BD247" t="n">
        <v>0.102</v>
      </c>
      <c r="BE247" t="n">
        <v>0.095</v>
      </c>
      <c r="BF247" t="n">
        <v>0.1</v>
      </c>
      <c r="BG247" t="n">
        <v>0.007</v>
      </c>
      <c r="BH247" t="n">
        <v>0.825</v>
      </c>
      <c r="BI247" t="n">
        <v>3.15</v>
      </c>
      <c r="BJ247" t="n">
        <v>1.073</v>
      </c>
      <c r="BK247" t="n">
        <v>0.073</v>
      </c>
      <c r="BL247" t="n">
        <v>-1.396</v>
      </c>
      <c r="BM247" t="n">
        <v>-1.2</v>
      </c>
      <c r="BN247" t="n">
        <v>-0.1</v>
      </c>
      <c r="BO247" t="n">
        <v>-0.192</v>
      </c>
      <c r="BP247" t="n">
        <v>9</v>
      </c>
      <c r="BQ247" t="n">
        <v>1</v>
      </c>
      <c r="BR247" t="n">
        <v>2</v>
      </c>
      <c r="BS247" t="n">
        <v>21</v>
      </c>
      <c r="BT247" t="n">
        <v>1.43</v>
      </c>
      <c r="BV247" t="n">
        <v>0</v>
      </c>
      <c r="BW247" t="n">
        <v>0.42</v>
      </c>
      <c r="BX247" t="n">
        <v>0.709</v>
      </c>
      <c r="BY247" t="n">
        <v>0.5649999999999999</v>
      </c>
      <c r="BZ247" t="n">
        <v>0.038</v>
      </c>
      <c r="CA247" t="n">
        <v>1.961</v>
      </c>
      <c r="CB247" t="n">
        <v>0.133</v>
      </c>
      <c r="CC247" t="n">
        <v>5</v>
      </c>
      <c r="CD247" t="n">
        <v>1</v>
      </c>
      <c r="CE247" t="n">
        <v>5</v>
      </c>
      <c r="CF247" t="n">
        <v>1</v>
      </c>
      <c r="CI247" t="n">
        <v>3.903</v>
      </c>
      <c r="CJ247" t="n">
        <v>3.591</v>
      </c>
      <c r="CK247" t="n">
        <v>102</v>
      </c>
      <c r="CL247" t="n">
        <v>47</v>
      </c>
      <c r="CM247" t="n">
        <v>5</v>
      </c>
      <c r="CN247" t="n">
        <v>2</v>
      </c>
      <c r="CO247" t="n">
        <v>11</v>
      </c>
      <c r="CP247" t="n">
        <v>83</v>
      </c>
      <c r="CQ247" t="n">
        <v>9</v>
      </c>
      <c r="CR247" t="n">
        <v>54</v>
      </c>
      <c r="CS247" t="n">
        <v>40</v>
      </c>
      <c r="CV247" t="n">
        <v>1</v>
      </c>
      <c r="CW247" t="n">
        <v>23.37</v>
      </c>
      <c r="CX247" t="n">
        <v>1.591</v>
      </c>
      <c r="CY247" t="n">
        <v>0</v>
      </c>
      <c r="DB247" t="n">
        <v>0</v>
      </c>
      <c r="DF247" t="n">
        <v>1</v>
      </c>
      <c r="DG247" t="n">
        <v>0</v>
      </c>
      <c r="DH247" t="n">
        <v>10</v>
      </c>
      <c r="DI247" t="n">
        <v>9</v>
      </c>
      <c r="DL247" t="n">
        <v>2</v>
      </c>
      <c r="DM247" t="n">
        <v>3</v>
      </c>
      <c r="DO247" t="n">
        <v>0.3</v>
      </c>
      <c r="DP247" t="n">
        <v>61.94</v>
      </c>
      <c r="DQ247" t="n">
        <v>31.12</v>
      </c>
      <c r="DR247" t="n">
        <v>62.24</v>
      </c>
      <c r="DS247" t="n">
        <v>-0.3</v>
      </c>
      <c r="DT247" t="n">
        <v>1493</v>
      </c>
      <c r="DU247" t="n">
        <v>39.3</v>
      </c>
      <c r="DV247" t="inlineStr">
        <is>
          <t>flat</t>
        </is>
      </c>
      <c r="DW247" t="n">
        <v>93</v>
      </c>
      <c r="DY247" t="n">
        <v>9.9</v>
      </c>
      <c r="DZ247" t="n">
        <v>86</v>
      </c>
      <c r="EA247" t="n">
        <v>100</v>
      </c>
      <c r="EB247" t="n">
        <v>2</v>
      </c>
      <c r="EC247" t="n">
        <v>1</v>
      </c>
      <c r="ED247" t="n">
        <v>0</v>
      </c>
      <c r="EE247" t="n">
        <v>425</v>
      </c>
      <c r="EF247" t="n">
        <v>146.9</v>
      </c>
      <c r="EG247" t="n">
        <v>63</v>
      </c>
      <c r="EH247" t="n">
        <v>264.4</v>
      </c>
      <c r="EI247" t="n">
        <v>947</v>
      </c>
      <c r="EJ247" t="n">
        <v>2341.2</v>
      </c>
      <c r="EK247" t="n">
        <v>674.2</v>
      </c>
      <c r="EL247" t="n">
        <v>26.4</v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n">
        <v>5.5</v>
      </c>
      <c r="F248" t="b">
        <v>1</v>
      </c>
      <c r="G248" t="b">
        <v>1</v>
      </c>
      <c r="H248" t="n">
        <v>25.8</v>
      </c>
      <c r="I248" t="inlineStr">
        <is>
          <t>a</t>
        </is>
      </c>
      <c r="L248" t="inlineStr">
        <is>
          <t>p456512</t>
        </is>
      </c>
      <c r="M248" t="n">
        <v>483</v>
      </c>
      <c r="Q248" t="n">
        <v>1167</v>
      </c>
      <c r="R248" t="n">
        <v>24</v>
      </c>
      <c r="S248" t="n">
        <v>14</v>
      </c>
      <c r="T248" t="n">
        <v>12.967</v>
      </c>
      <c r="U248" t="n">
        <v>48.6</v>
      </c>
      <c r="V248" t="n">
        <v>50</v>
      </c>
      <c r="W248" t="n">
        <v>3.856</v>
      </c>
      <c r="X248" t="n">
        <v>1</v>
      </c>
      <c r="Y248" t="n">
        <v>2</v>
      </c>
      <c r="Z248" t="n">
        <v>1</v>
      </c>
      <c r="AA248" t="n">
        <v>2</v>
      </c>
      <c r="AB248" t="n">
        <v>17</v>
      </c>
      <c r="AC248" t="n">
        <v>4</v>
      </c>
      <c r="AD248" t="n">
        <v>4</v>
      </c>
      <c r="AE248" t="n">
        <v>0</v>
      </c>
      <c r="AF248" t="n">
        <v>178</v>
      </c>
      <c r="AG248" t="n">
        <v>172</v>
      </c>
      <c r="AH248" t="n">
        <v>-6</v>
      </c>
      <c r="AI248" t="n">
        <v>50</v>
      </c>
      <c r="AJ248" t="n">
        <v>0.08</v>
      </c>
      <c r="AK248" t="n">
        <v>0.08699999999999999</v>
      </c>
      <c r="AL248" t="n">
        <v>96</v>
      </c>
      <c r="AM248" t="n">
        <v>7.404</v>
      </c>
      <c r="AN248" t="n">
        <v>0</v>
      </c>
      <c r="AO248" t="n">
        <v>0</v>
      </c>
      <c r="AP248" t="n">
        <v>0</v>
      </c>
      <c r="AQ248" t="n">
        <v>0.143</v>
      </c>
      <c r="AR248" t="n">
        <v>0</v>
      </c>
      <c r="AS248" t="n">
        <v>0.368</v>
      </c>
      <c r="AT248" t="n">
        <v>0.417</v>
      </c>
      <c r="AU248" t="n">
        <v>19</v>
      </c>
      <c r="AV248" t="n">
        <v>0</v>
      </c>
      <c r="AW248" t="n">
        <v>1.93</v>
      </c>
      <c r="AX248" t="n">
        <v>9</v>
      </c>
      <c r="AY248" t="n">
        <v>1.05</v>
      </c>
      <c r="AZ248" t="n">
        <v>1.172</v>
      </c>
      <c r="BA248" t="n">
        <v>1.111</v>
      </c>
      <c r="BB248" t="n">
        <v>1.172</v>
      </c>
      <c r="BC248" t="n">
        <v>0.081</v>
      </c>
      <c r="BD248" t="n">
        <v>0.09</v>
      </c>
      <c r="BE248" t="n">
        <v>0.08599999999999999</v>
      </c>
      <c r="BF248" t="n">
        <v>0.9</v>
      </c>
      <c r="BG248" t="n">
        <v>0.06900000000000001</v>
      </c>
      <c r="BH248" t="n">
        <v>0.983</v>
      </c>
      <c r="BI248" t="n">
        <v>1.05</v>
      </c>
      <c r="BJ248" t="n">
        <v>1.033</v>
      </c>
      <c r="BK248" t="n">
        <v>0.08</v>
      </c>
      <c r="BL248" t="n">
        <v>-0.111</v>
      </c>
      <c r="BM248" t="n">
        <v>-0.15</v>
      </c>
      <c r="BN248" t="n">
        <v>0.1</v>
      </c>
      <c r="BO248" t="n">
        <v>-0.122</v>
      </c>
      <c r="BP248" t="n">
        <v>15</v>
      </c>
      <c r="BQ248" t="n">
        <v>4</v>
      </c>
      <c r="BR248" t="n">
        <v>1</v>
      </c>
      <c r="BS248" t="n">
        <v>52</v>
      </c>
      <c r="BT248" t="n">
        <v>4.01</v>
      </c>
      <c r="BV248" t="n">
        <v>1</v>
      </c>
      <c r="BW248" t="n">
        <v>1.51</v>
      </c>
      <c r="BX248" t="n">
        <v>1.553</v>
      </c>
      <c r="BY248" t="n">
        <v>1.531</v>
      </c>
      <c r="BZ248" t="n">
        <v>0.118</v>
      </c>
      <c r="CA248" t="n">
        <v>2.643</v>
      </c>
      <c r="CB248" t="n">
        <v>0.204</v>
      </c>
      <c r="CC248" t="n">
        <v>14</v>
      </c>
      <c r="CD248" t="n">
        <v>2</v>
      </c>
      <c r="CE248" t="n">
        <v>14</v>
      </c>
      <c r="CF248" t="n">
        <v>9</v>
      </c>
      <c r="CG248" t="n">
        <v>1</v>
      </c>
      <c r="CH248" t="n">
        <v>5</v>
      </c>
      <c r="CI248" t="n">
        <v>4.024</v>
      </c>
      <c r="CJ248" t="n">
        <v>1.813</v>
      </c>
      <c r="CK248" t="n">
        <v>24</v>
      </c>
      <c r="CL248" t="n">
        <v>50</v>
      </c>
      <c r="CM248" t="n">
        <v>22</v>
      </c>
      <c r="CN248" t="n">
        <v>13</v>
      </c>
      <c r="CO248" t="n">
        <v>10</v>
      </c>
      <c r="CP248" t="n">
        <v>12</v>
      </c>
      <c r="CQ248" t="n">
        <v>2</v>
      </c>
      <c r="CR248" t="n">
        <v>69</v>
      </c>
      <c r="CS248" t="n">
        <v>11</v>
      </c>
      <c r="CT248" t="n">
        <v>0.3</v>
      </c>
      <c r="CW248" t="n">
        <v>15.96</v>
      </c>
      <c r="CX248" t="n">
        <v>1.231</v>
      </c>
      <c r="CY248" t="n">
        <v>0</v>
      </c>
      <c r="DB248" t="n">
        <v>0</v>
      </c>
      <c r="DE248" t="n">
        <v>6.55</v>
      </c>
      <c r="DF248" t="n">
        <v>1</v>
      </c>
      <c r="DG248" t="n">
        <v>0</v>
      </c>
      <c r="DH248" t="n">
        <v>16</v>
      </c>
      <c r="DI248" t="n">
        <v>22</v>
      </c>
      <c r="DL248" t="n">
        <v>13</v>
      </c>
      <c r="DM248" t="n">
        <v>19</v>
      </c>
      <c r="DN248" t="n">
        <v>9</v>
      </c>
      <c r="DO248" t="n">
        <v>0.6</v>
      </c>
      <c r="DP248" t="n">
        <v>112.92</v>
      </c>
      <c r="DQ248" t="n">
        <v>56.46</v>
      </c>
      <c r="DR248" t="n">
        <v>112.92</v>
      </c>
      <c r="DS248" t="n">
        <v>0</v>
      </c>
      <c r="DT248" t="n">
        <v>2417</v>
      </c>
      <c r="DU248" t="n">
        <v>63.6</v>
      </c>
      <c r="DV248" t="inlineStr">
        <is>
          <t>flat</t>
        </is>
      </c>
      <c r="DW248" t="n">
        <v>95.44</v>
      </c>
      <c r="DY248" t="n">
        <v>18.07</v>
      </c>
      <c r="DZ248" t="n">
        <v>69.09</v>
      </c>
      <c r="EA248" t="n">
        <v>117.33</v>
      </c>
      <c r="EB248" t="n">
        <v>7</v>
      </c>
      <c r="EC248" t="n">
        <v>3.4</v>
      </c>
      <c r="ED248" t="n">
        <v>22.2</v>
      </c>
      <c r="EE248" t="n">
        <v>167</v>
      </c>
      <c r="EF248" t="n">
        <v>77.8</v>
      </c>
      <c r="EG248" t="n">
        <v>22.4</v>
      </c>
      <c r="EH248" t="n">
        <v>83.40000000000001</v>
      </c>
      <c r="EI248" t="n">
        <v>1050.2</v>
      </c>
      <c r="EJ248" t="n">
        <v>762</v>
      </c>
      <c r="EK248" t="n">
        <v>441.6</v>
      </c>
      <c r="EL248" t="n">
        <v>23.3</v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n">
        <v>4.5</v>
      </c>
      <c r="F249" t="b">
        <v>1</v>
      </c>
      <c r="G249" t="b">
        <v>1</v>
      </c>
      <c r="H249" t="n">
        <v>28.4</v>
      </c>
      <c r="I249" t="inlineStr">
        <is>
          <t>a</t>
        </is>
      </c>
      <c r="L249" t="inlineStr">
        <is>
          <t>p220362</t>
        </is>
      </c>
      <c r="M249" t="n">
        <v>153</v>
      </c>
      <c r="Q249" t="n">
        <v>1254</v>
      </c>
      <c r="R249" t="n">
        <v>14</v>
      </c>
      <c r="S249" t="n">
        <v>14</v>
      </c>
      <c r="T249" t="n">
        <v>13.933</v>
      </c>
      <c r="U249" t="n">
        <v>89.59999999999999</v>
      </c>
      <c r="V249" t="n">
        <v>49</v>
      </c>
      <c r="W249" t="n">
        <v>3.517</v>
      </c>
      <c r="X249" t="n">
        <v>0</v>
      </c>
      <c r="Y249" t="n">
        <v>0</v>
      </c>
      <c r="AA249" t="n">
        <v>6</v>
      </c>
      <c r="AB249" t="n">
        <v>17</v>
      </c>
      <c r="AC249" t="n">
        <v>1</v>
      </c>
      <c r="AD249" t="n">
        <v>0</v>
      </c>
      <c r="AE249" t="n">
        <v>-1</v>
      </c>
      <c r="AF249" t="n">
        <v>186</v>
      </c>
      <c r="AG249" t="n">
        <v>172</v>
      </c>
      <c r="AH249" t="n">
        <v>-14</v>
      </c>
      <c r="AI249" t="n">
        <v>48</v>
      </c>
      <c r="AJ249" t="n">
        <v>0.02</v>
      </c>
      <c r="AK249" t="n">
        <v>0.021</v>
      </c>
      <c r="AL249" t="n">
        <v>88</v>
      </c>
      <c r="AM249" t="n">
        <v>6.316</v>
      </c>
      <c r="AN249" t="n">
        <v>2</v>
      </c>
      <c r="AO249" t="n">
        <v>4</v>
      </c>
      <c r="AP249" t="n">
        <v>0.143</v>
      </c>
      <c r="AQ249" t="n">
        <v>0.143</v>
      </c>
      <c r="AR249" t="n">
        <v>0.07099999999999999</v>
      </c>
      <c r="AS249" t="n">
        <v>0.368</v>
      </c>
      <c r="AT249" t="n">
        <v>1</v>
      </c>
      <c r="AU249" t="n">
        <v>7</v>
      </c>
      <c r="AV249" t="n">
        <v>0</v>
      </c>
      <c r="AW249" t="n">
        <v>3.01</v>
      </c>
      <c r="AX249" t="n">
        <v>9</v>
      </c>
      <c r="AY249" t="n">
        <v>1.1</v>
      </c>
      <c r="AZ249" t="n">
        <v>1.081</v>
      </c>
      <c r="BA249" t="n">
        <v>1.09</v>
      </c>
      <c r="BB249" t="n">
        <v>1.081</v>
      </c>
      <c r="BC249" t="n">
        <v>0.079</v>
      </c>
      <c r="BD249" t="n">
        <v>0.078</v>
      </c>
      <c r="BE249" t="n">
        <v>0.078</v>
      </c>
      <c r="BF249" t="n">
        <v>0.9</v>
      </c>
      <c r="BG249" t="n">
        <v>0.065</v>
      </c>
      <c r="BH249" t="n">
        <v>1.015</v>
      </c>
      <c r="BI249" t="n">
        <v>3.82</v>
      </c>
      <c r="BJ249" t="n">
        <v>1.117</v>
      </c>
      <c r="BK249" t="n">
        <v>0.08</v>
      </c>
      <c r="BL249" t="n">
        <v>-1.09</v>
      </c>
      <c r="BM249" t="n">
        <v>-0.2</v>
      </c>
      <c r="BN249" t="n">
        <v>-0.9</v>
      </c>
      <c r="BO249" t="n">
        <v>0.019</v>
      </c>
      <c r="BP249" t="n">
        <v>5</v>
      </c>
      <c r="BQ249" t="n">
        <v>3</v>
      </c>
      <c r="BR249" t="n">
        <v>1</v>
      </c>
      <c r="BS249" t="n">
        <v>10</v>
      </c>
      <c r="BT249" t="n">
        <v>0.718</v>
      </c>
      <c r="BW249" t="n">
        <v>0.03</v>
      </c>
      <c r="BX249" t="n">
        <v>0.024</v>
      </c>
      <c r="BY249" t="n">
        <v>0.027</v>
      </c>
      <c r="BZ249" t="n">
        <v>0.002</v>
      </c>
      <c r="CA249" t="n">
        <v>1.117</v>
      </c>
      <c r="CB249" t="n">
        <v>0.08</v>
      </c>
      <c r="CC249" t="n">
        <v>1</v>
      </c>
      <c r="CE249" t="n">
        <v>1</v>
      </c>
      <c r="CI249" t="n">
        <v>3.175</v>
      </c>
      <c r="CJ249" t="n">
        <v>2.873</v>
      </c>
      <c r="CK249" t="n">
        <v>74</v>
      </c>
      <c r="CL249" t="n">
        <v>32</v>
      </c>
      <c r="CM249" t="n">
        <v>14</v>
      </c>
      <c r="CN249" t="n">
        <v>10</v>
      </c>
      <c r="CO249" t="n">
        <v>13</v>
      </c>
      <c r="CP249" t="n">
        <v>49</v>
      </c>
      <c r="CQ249" t="n">
        <v>12</v>
      </c>
      <c r="CR249" t="n">
        <v>38</v>
      </c>
      <c r="CS249" t="n">
        <v>18</v>
      </c>
      <c r="CW249" t="n">
        <v>18.54</v>
      </c>
      <c r="CX249" t="n">
        <v>1.331</v>
      </c>
      <c r="CY249" t="n">
        <v>0</v>
      </c>
      <c r="DB249" t="n">
        <v>0</v>
      </c>
      <c r="DF249" t="n">
        <v>1</v>
      </c>
      <c r="DG249" t="n">
        <v>0</v>
      </c>
      <c r="DH249" t="n">
        <v>5</v>
      </c>
      <c r="DI249" t="n">
        <v>4</v>
      </c>
      <c r="DL249" t="n">
        <v>2</v>
      </c>
      <c r="DM249" t="n">
        <v>3</v>
      </c>
      <c r="DN249" t="n">
        <v>1</v>
      </c>
      <c r="DO249" t="n">
        <v>0.1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inlineStr">
        <is>
          <t>flat</t>
        </is>
      </c>
      <c r="EF249" t="n">
        <v>250.8</v>
      </c>
      <c r="EG249" t="n">
        <v>125.4</v>
      </c>
      <c r="EH249" t="n">
        <v>1254</v>
      </c>
      <c r="EI249" t="n">
        <v>1150.1</v>
      </c>
      <c r="EJ249" t="n">
        <v>46526.6</v>
      </c>
      <c r="EK249" t="n">
        <v>1122.3</v>
      </c>
      <c r="EL249" t="n">
        <v>25.6</v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n">
        <v>5.5</v>
      </c>
      <c r="F250" t="b">
        <v>1</v>
      </c>
      <c r="G250" t="b">
        <v>1</v>
      </c>
      <c r="H250" t="n">
        <v>20.5</v>
      </c>
      <c r="I250" t="inlineStr">
        <is>
          <t>a</t>
        </is>
      </c>
      <c r="L250" t="inlineStr">
        <is>
          <t>p570526</t>
        </is>
      </c>
      <c r="M250" t="n">
        <v>520</v>
      </c>
      <c r="Q250" t="n">
        <v>955</v>
      </c>
      <c r="R250" t="n">
        <v>23</v>
      </c>
      <c r="S250" t="n">
        <v>11</v>
      </c>
      <c r="T250" t="n">
        <v>10.611</v>
      </c>
      <c r="U250" t="n">
        <v>41.5</v>
      </c>
      <c r="V250" t="n">
        <v>49</v>
      </c>
      <c r="W250" t="n">
        <v>4.618</v>
      </c>
      <c r="X250" t="n">
        <v>1</v>
      </c>
      <c r="Y250" t="n">
        <v>3</v>
      </c>
      <c r="Z250" t="n">
        <v>3</v>
      </c>
      <c r="AA250" t="n">
        <v>3</v>
      </c>
      <c r="AB250" t="n">
        <v>18</v>
      </c>
      <c r="AC250" t="n">
        <v>0</v>
      </c>
      <c r="AD250" t="n">
        <v>1</v>
      </c>
      <c r="AE250" t="n">
        <v>1</v>
      </c>
      <c r="AF250" t="n">
        <v>163</v>
      </c>
      <c r="AG250" t="n">
        <v>161</v>
      </c>
      <c r="AH250" t="n">
        <v>-2</v>
      </c>
      <c r="AI250" t="n">
        <v>50</v>
      </c>
      <c r="AJ250" t="n">
        <v>0</v>
      </c>
      <c r="AK250" t="n">
        <v>0</v>
      </c>
      <c r="AL250" t="n">
        <v>79</v>
      </c>
      <c r="AM250" t="n">
        <v>7.445</v>
      </c>
      <c r="AN250" t="n">
        <v>1</v>
      </c>
      <c r="AO250" t="n">
        <v>2</v>
      </c>
      <c r="AP250" t="n">
        <v>0.091</v>
      </c>
      <c r="AQ250" t="n">
        <v>0.091</v>
      </c>
      <c r="AR250" t="n">
        <v>0.091</v>
      </c>
      <c r="AS250" t="n">
        <v>0.289</v>
      </c>
      <c r="AT250" t="n">
        <v>0.391</v>
      </c>
      <c r="AU250" t="n">
        <v>17</v>
      </c>
      <c r="AV250" t="n">
        <v>1</v>
      </c>
      <c r="AW250" t="n">
        <v>2.07</v>
      </c>
      <c r="AX250" t="n">
        <v>11</v>
      </c>
      <c r="AY250" t="n">
        <v>1.23</v>
      </c>
      <c r="AZ250" t="n">
        <v>1.434</v>
      </c>
      <c r="BA250" t="n">
        <v>1.332</v>
      </c>
      <c r="BB250" t="n">
        <v>1.434</v>
      </c>
      <c r="BC250" t="n">
        <v>0.116</v>
      </c>
      <c r="BD250" t="n">
        <v>0.135</v>
      </c>
      <c r="BE250" t="n">
        <v>0.126</v>
      </c>
      <c r="BF250" t="n">
        <v>0.7</v>
      </c>
      <c r="BG250" t="n">
        <v>0.066</v>
      </c>
      <c r="BH250" t="n">
        <v>0.895</v>
      </c>
      <c r="BI250" t="n">
        <v>1.94</v>
      </c>
      <c r="BJ250" t="n">
        <v>1.101</v>
      </c>
      <c r="BK250" t="n">
        <v>0.104</v>
      </c>
      <c r="BL250" t="n">
        <v>-0.332</v>
      </c>
      <c r="BM250" t="n">
        <v>-0.53</v>
      </c>
      <c r="BN250" t="n">
        <v>0.3</v>
      </c>
      <c r="BO250" t="n">
        <v>-0.204</v>
      </c>
      <c r="BP250" t="n">
        <v>12</v>
      </c>
      <c r="BQ250" t="n">
        <v>5</v>
      </c>
      <c r="BR250" t="n">
        <v>1</v>
      </c>
      <c r="BS250" t="n">
        <v>30</v>
      </c>
      <c r="BT250" t="n">
        <v>2.827</v>
      </c>
      <c r="BV250" t="n">
        <v>1</v>
      </c>
      <c r="BW250" t="n">
        <v>0.43</v>
      </c>
      <c r="BX250" t="n">
        <v>0.292</v>
      </c>
      <c r="BY250" t="n">
        <v>0.361</v>
      </c>
      <c r="BZ250" t="n">
        <v>0.034</v>
      </c>
      <c r="CA250" t="n">
        <v>1.693</v>
      </c>
      <c r="CB250" t="n">
        <v>0.16</v>
      </c>
      <c r="CC250" t="n">
        <v>5</v>
      </c>
      <c r="CE250" t="n">
        <v>5</v>
      </c>
      <c r="CF250" t="n">
        <v>3</v>
      </c>
      <c r="CI250" t="n">
        <v>3.274</v>
      </c>
      <c r="CJ250" t="n">
        <v>1.693</v>
      </c>
      <c r="CK250" t="n">
        <v>18</v>
      </c>
      <c r="CL250" t="n">
        <v>39</v>
      </c>
      <c r="CM250" t="n">
        <v>22</v>
      </c>
      <c r="CN250" t="n">
        <v>14</v>
      </c>
      <c r="CO250" t="n">
        <v>2</v>
      </c>
      <c r="CP250" t="n">
        <v>13</v>
      </c>
      <c r="CQ250" t="n">
        <v>2</v>
      </c>
      <c r="CR250" t="n">
        <v>49</v>
      </c>
      <c r="CS250" t="n">
        <v>5</v>
      </c>
      <c r="CT250" t="n">
        <v>0.4</v>
      </c>
      <c r="CU250" t="n">
        <v>1</v>
      </c>
      <c r="CW250" t="n">
        <v>13.66</v>
      </c>
      <c r="CX250" t="n">
        <v>1.287</v>
      </c>
      <c r="CY250" t="n">
        <v>0</v>
      </c>
      <c r="DB250" t="n">
        <v>0</v>
      </c>
      <c r="DF250" t="n">
        <v>2</v>
      </c>
      <c r="DG250" t="n">
        <v>0</v>
      </c>
      <c r="DH250" t="n">
        <v>24</v>
      </c>
      <c r="DI250" t="n">
        <v>7</v>
      </c>
      <c r="DL250" t="n">
        <v>15</v>
      </c>
      <c r="DM250" t="n">
        <v>7</v>
      </c>
      <c r="DN250" t="n">
        <v>3</v>
      </c>
      <c r="DO250" t="n">
        <v>0.2</v>
      </c>
      <c r="DP250" t="n">
        <v>28.76</v>
      </c>
      <c r="DQ250" t="n">
        <v>15.7</v>
      </c>
      <c r="DR250" t="n">
        <v>31.4</v>
      </c>
      <c r="DS250" t="n">
        <v>-2.64</v>
      </c>
      <c r="DT250" t="n">
        <v>277</v>
      </c>
      <c r="DU250" t="n">
        <v>7.29</v>
      </c>
      <c r="DV250" t="inlineStr">
        <is>
          <t>flat</t>
        </is>
      </c>
      <c r="DW250" t="n">
        <v>91.43000000000001</v>
      </c>
      <c r="DZ250" t="n">
        <v>91.43000000000001</v>
      </c>
      <c r="EA250" t="n">
        <v>91.43000000000001</v>
      </c>
      <c r="EB250" t="n">
        <v>1</v>
      </c>
      <c r="EC250" t="n">
        <v>0.5</v>
      </c>
      <c r="ED250" t="n">
        <v>50</v>
      </c>
      <c r="EE250" t="n">
        <v>169</v>
      </c>
      <c r="EF250" t="n">
        <v>79.59999999999999</v>
      </c>
      <c r="EG250" t="n">
        <v>31.8</v>
      </c>
      <c r="EH250" t="n">
        <v>191</v>
      </c>
      <c r="EI250" t="n">
        <v>716.9</v>
      </c>
      <c r="EJ250" t="n">
        <v>2646.8</v>
      </c>
      <c r="EK250" t="n">
        <v>564.1</v>
      </c>
      <c r="EL250" t="n">
        <v>19.5</v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n">
        <v>5.5</v>
      </c>
      <c r="F251" t="b">
        <v>1</v>
      </c>
      <c r="G251" t="b">
        <v>1</v>
      </c>
      <c r="H251" t="n">
        <v>23.6</v>
      </c>
      <c r="I251" t="inlineStr">
        <is>
          <t>a</t>
        </is>
      </c>
      <c r="L251" t="inlineStr">
        <is>
          <t>p560552</t>
        </is>
      </c>
      <c r="M251" t="n">
        <v>263</v>
      </c>
      <c r="O251" t="n">
        <v>4</v>
      </c>
      <c r="Q251" t="n">
        <v>1030</v>
      </c>
      <c r="R251" t="n">
        <v>26</v>
      </c>
      <c r="S251" t="n">
        <v>9</v>
      </c>
      <c r="T251" t="n">
        <v>11.444</v>
      </c>
      <c r="U251" t="n">
        <v>39.6</v>
      </c>
      <c r="V251" t="n">
        <v>49</v>
      </c>
      <c r="W251" t="n">
        <v>4.282</v>
      </c>
      <c r="X251" t="n">
        <v>1</v>
      </c>
      <c r="Y251" t="n">
        <v>3</v>
      </c>
      <c r="Z251" t="n">
        <v>1</v>
      </c>
      <c r="AA251" t="n">
        <v>4</v>
      </c>
      <c r="AB251" t="n">
        <v>15</v>
      </c>
      <c r="AC251" t="n">
        <v>0</v>
      </c>
      <c r="AD251" t="n">
        <v>0</v>
      </c>
      <c r="AE251" t="n">
        <v>0</v>
      </c>
      <c r="AF251" t="n">
        <v>183</v>
      </c>
      <c r="AG251" t="n">
        <v>180</v>
      </c>
      <c r="AH251" t="n">
        <v>-3</v>
      </c>
      <c r="AI251" t="n">
        <v>49</v>
      </c>
      <c r="AJ251" t="n">
        <v>0</v>
      </c>
      <c r="AK251" t="n">
        <v>0</v>
      </c>
      <c r="AL251" t="n">
        <v>86</v>
      </c>
      <c r="AM251" t="n">
        <v>7.515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0.237</v>
      </c>
      <c r="AT251" t="n">
        <v>0.231</v>
      </c>
      <c r="AU251" t="n">
        <v>19</v>
      </c>
      <c r="AV251" t="n">
        <v>0</v>
      </c>
      <c r="AW251" t="n">
        <v>1.59</v>
      </c>
      <c r="AX251" t="n">
        <v>6</v>
      </c>
      <c r="AY251" t="n">
        <v>1.21</v>
      </c>
      <c r="AZ251" t="n">
        <v>1.334</v>
      </c>
      <c r="BA251" t="n">
        <v>1.272</v>
      </c>
      <c r="BB251" t="n">
        <v>1.334</v>
      </c>
      <c r="BC251" t="n">
        <v>0.106</v>
      </c>
      <c r="BD251" t="n">
        <v>0.117</v>
      </c>
      <c r="BE251" t="n">
        <v>0.111</v>
      </c>
      <c r="BF251" t="n">
        <v>2</v>
      </c>
      <c r="BG251" t="n">
        <v>0.175</v>
      </c>
      <c r="BH251" t="n">
        <v>1.086</v>
      </c>
      <c r="BI251" t="n">
        <v>1.21</v>
      </c>
      <c r="BJ251" t="n">
        <v>1.314</v>
      </c>
      <c r="BK251" t="n">
        <v>0.115</v>
      </c>
      <c r="BL251" t="n">
        <v>-0.272</v>
      </c>
      <c r="BM251" t="n">
        <v>0.79</v>
      </c>
      <c r="BN251" t="n">
        <v>-1</v>
      </c>
      <c r="BO251" t="n">
        <v>-0.124</v>
      </c>
      <c r="BP251" t="n">
        <v>25</v>
      </c>
      <c r="BQ251" t="n">
        <v>10</v>
      </c>
      <c r="BR251" t="n">
        <v>1</v>
      </c>
      <c r="BS251" t="n">
        <v>61</v>
      </c>
      <c r="BT251" t="n">
        <v>5.33</v>
      </c>
      <c r="BW251" t="n">
        <v>1.47</v>
      </c>
      <c r="BX251" t="n">
        <v>1.24</v>
      </c>
      <c r="BY251" t="n">
        <v>1.355</v>
      </c>
      <c r="BZ251" t="n">
        <v>0.118</v>
      </c>
      <c r="CA251" t="n">
        <v>2.627</v>
      </c>
      <c r="CB251" t="n">
        <v>0.23</v>
      </c>
      <c r="CC251" t="n">
        <v>14</v>
      </c>
      <c r="CD251" t="n">
        <v>1</v>
      </c>
      <c r="CE251" t="n">
        <v>14</v>
      </c>
      <c r="CF251" t="n">
        <v>12</v>
      </c>
      <c r="CG251" t="n">
        <v>1</v>
      </c>
      <c r="CH251" t="n">
        <v>10</v>
      </c>
      <c r="CI251" t="n">
        <v>4.82</v>
      </c>
      <c r="CJ251" t="n">
        <v>2.892</v>
      </c>
      <c r="CK251" t="n">
        <v>17</v>
      </c>
      <c r="CL251" t="n">
        <v>48</v>
      </c>
      <c r="CM251" t="n">
        <v>21</v>
      </c>
      <c r="CN251" t="n">
        <v>11</v>
      </c>
      <c r="CO251" t="n">
        <v>9</v>
      </c>
      <c r="CP251" t="n">
        <v>8</v>
      </c>
      <c r="CR251" t="n">
        <v>90</v>
      </c>
      <c r="CS251" t="n">
        <v>8</v>
      </c>
      <c r="CT251" t="n">
        <v>0.6</v>
      </c>
      <c r="CW251" t="n">
        <v>14.57</v>
      </c>
      <c r="CX251" t="n">
        <v>1.273</v>
      </c>
      <c r="CY251" t="n">
        <v>0</v>
      </c>
      <c r="DB251" t="n">
        <v>0</v>
      </c>
      <c r="DE251" t="n">
        <v>6.62</v>
      </c>
      <c r="DF251" t="n">
        <v>1</v>
      </c>
      <c r="DG251" t="n">
        <v>0</v>
      </c>
      <c r="DH251" t="n">
        <v>14</v>
      </c>
      <c r="DI251" t="n">
        <v>17</v>
      </c>
      <c r="DJ251" t="n">
        <v>1</v>
      </c>
      <c r="DK251" t="n">
        <v>0</v>
      </c>
      <c r="DL251" t="n">
        <v>44</v>
      </c>
      <c r="DM251" t="n">
        <v>23</v>
      </c>
      <c r="DN251" t="n">
        <v>3</v>
      </c>
      <c r="DO251" t="n">
        <v>0.1</v>
      </c>
      <c r="DP251" t="n">
        <v>111.04</v>
      </c>
      <c r="DQ251" t="n">
        <v>55.55</v>
      </c>
      <c r="DR251" t="n">
        <v>111.1</v>
      </c>
      <c r="DS251" t="n">
        <v>-0.06</v>
      </c>
      <c r="DT251" t="n">
        <v>2519</v>
      </c>
      <c r="DU251" t="n">
        <v>66.3</v>
      </c>
      <c r="DV251" t="inlineStr">
        <is>
          <t>flat</t>
        </is>
      </c>
      <c r="DW251" t="n">
        <v>90.56</v>
      </c>
      <c r="DY251" t="n">
        <v>12.53</v>
      </c>
      <c r="DZ251" t="n">
        <v>80.56999999999999</v>
      </c>
      <c r="EA251" t="n">
        <v>104.62</v>
      </c>
      <c r="EB251" t="n">
        <v>3</v>
      </c>
      <c r="EC251" t="n">
        <v>1.4</v>
      </c>
      <c r="ED251" t="n">
        <v>25</v>
      </c>
      <c r="EE251" t="n">
        <v>168</v>
      </c>
      <c r="EF251" t="n">
        <v>41.2</v>
      </c>
      <c r="EG251" t="n">
        <v>16.9</v>
      </c>
      <c r="EH251" t="n">
        <v>73.59999999999999</v>
      </c>
      <c r="EI251" t="n">
        <v>809.7</v>
      </c>
      <c r="EJ251" t="n">
        <v>760</v>
      </c>
      <c r="EK251" t="n">
        <v>392.1</v>
      </c>
      <c r="EL251" t="n">
        <v>21</v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n">
        <v>5</v>
      </c>
      <c r="F252" t="b">
        <v>1</v>
      </c>
      <c r="G252" t="b">
        <v>1</v>
      </c>
      <c r="H252" t="n">
        <v>28.1</v>
      </c>
      <c r="I252" t="inlineStr">
        <is>
          <t>a</t>
        </is>
      </c>
      <c r="L252" t="inlineStr">
        <is>
          <t>p250199</t>
        </is>
      </c>
      <c r="M252" t="n">
        <v>487</v>
      </c>
      <c r="Q252" t="n">
        <v>1168</v>
      </c>
      <c r="R252" t="n">
        <v>27</v>
      </c>
      <c r="S252" t="n">
        <v>17</v>
      </c>
      <c r="T252" t="n">
        <v>12.978</v>
      </c>
      <c r="U252" t="n">
        <v>43.3</v>
      </c>
      <c r="V252" t="n">
        <v>48</v>
      </c>
      <c r="W252" t="n">
        <v>3.699</v>
      </c>
      <c r="X252" t="n">
        <v>1</v>
      </c>
      <c r="Y252" t="n">
        <v>1</v>
      </c>
      <c r="Z252" t="n">
        <v>1</v>
      </c>
      <c r="AA252" t="n">
        <v>3</v>
      </c>
      <c r="AB252" t="n">
        <v>20</v>
      </c>
      <c r="AC252" t="n">
        <v>3</v>
      </c>
      <c r="AD252" t="n">
        <v>3</v>
      </c>
      <c r="AE252" t="n">
        <v>0</v>
      </c>
      <c r="AF252" t="n">
        <v>229</v>
      </c>
      <c r="AG252" t="n">
        <v>224</v>
      </c>
      <c r="AH252" t="n">
        <v>-5</v>
      </c>
      <c r="AI252" t="n">
        <v>48</v>
      </c>
      <c r="AJ252" t="n">
        <v>0.062</v>
      </c>
      <c r="AK252" t="n">
        <v>0.067</v>
      </c>
      <c r="AL252" t="n">
        <v>143</v>
      </c>
      <c r="AM252" t="n">
        <v>11.019</v>
      </c>
      <c r="AN252" t="n">
        <v>1</v>
      </c>
      <c r="AO252" t="n">
        <v>2</v>
      </c>
      <c r="AP252" t="n">
        <v>0.059</v>
      </c>
      <c r="AQ252" t="n">
        <v>0.176</v>
      </c>
      <c r="AR252" t="n">
        <v>0.059</v>
      </c>
      <c r="AS252" t="n">
        <v>0.447</v>
      </c>
      <c r="AT252" t="n">
        <v>0.296</v>
      </c>
      <c r="AU252" t="n">
        <v>21</v>
      </c>
      <c r="AV252" t="n">
        <v>1</v>
      </c>
      <c r="AW252" t="n">
        <v>1.84</v>
      </c>
      <c r="AX252" t="n">
        <v>10</v>
      </c>
      <c r="AY252" t="n">
        <v>1.47</v>
      </c>
      <c r="AZ252" t="n">
        <v>1.012</v>
      </c>
      <c r="BA252" t="n">
        <v>1.241</v>
      </c>
      <c r="BB252" t="n">
        <v>1.012</v>
      </c>
      <c r="BC252" t="n">
        <v>0.113</v>
      </c>
      <c r="BD252" t="n">
        <v>0.078</v>
      </c>
      <c r="BE252" t="n">
        <v>0.096</v>
      </c>
      <c r="BF252" t="n">
        <v>1.7</v>
      </c>
      <c r="BG252" t="n">
        <v>0.131</v>
      </c>
      <c r="BH252" t="n">
        <v>1.012</v>
      </c>
      <c r="BI252" t="n">
        <v>4.35</v>
      </c>
      <c r="BJ252" t="n">
        <v>1.488</v>
      </c>
      <c r="BK252" t="n">
        <v>0.115</v>
      </c>
      <c r="BL252" t="n">
        <v>-0.241</v>
      </c>
      <c r="BM252" t="n">
        <v>0.23</v>
      </c>
      <c r="BN252" t="n">
        <v>-0.7</v>
      </c>
      <c r="BO252" t="n">
        <v>0.458</v>
      </c>
      <c r="BP252" t="n">
        <v>18</v>
      </c>
      <c r="BQ252" t="n">
        <v>5</v>
      </c>
      <c r="BR252" t="n">
        <v>1</v>
      </c>
      <c r="BS252" t="n">
        <v>17</v>
      </c>
      <c r="BT252" t="n">
        <v>1.31</v>
      </c>
      <c r="BV252" t="n">
        <v>1</v>
      </c>
      <c r="BW252" t="n">
        <v>0.77</v>
      </c>
      <c r="BX252" t="n">
        <v>1.28</v>
      </c>
      <c r="BY252" t="n">
        <v>1.025</v>
      </c>
      <c r="BZ252" t="n">
        <v>0.079</v>
      </c>
      <c r="CA252" t="n">
        <v>2.266</v>
      </c>
      <c r="CB252" t="n">
        <v>0.175</v>
      </c>
      <c r="CC252" t="n">
        <v>11</v>
      </c>
      <c r="CD252" t="n">
        <v>2</v>
      </c>
      <c r="CE252" t="n">
        <v>11</v>
      </c>
      <c r="CF252" t="n">
        <v>6</v>
      </c>
      <c r="CG252" t="n">
        <v>1</v>
      </c>
      <c r="CH252" t="n">
        <v>4</v>
      </c>
      <c r="CI252" t="n">
        <v>5.395</v>
      </c>
      <c r="CJ252" t="n">
        <v>4.229</v>
      </c>
      <c r="CK252" t="n">
        <v>29</v>
      </c>
      <c r="CL252" t="n">
        <v>58</v>
      </c>
      <c r="CM252" t="n">
        <v>56</v>
      </c>
      <c r="CN252" t="n">
        <v>30</v>
      </c>
      <c r="CO252" t="n">
        <v>7</v>
      </c>
      <c r="CP252" t="n">
        <v>17</v>
      </c>
      <c r="CQ252" t="n">
        <v>5</v>
      </c>
      <c r="CR252" t="n">
        <v>86</v>
      </c>
      <c r="CS252" t="n">
        <v>13</v>
      </c>
      <c r="CT252" t="n">
        <v>0.7</v>
      </c>
      <c r="CV252" t="n">
        <v>1</v>
      </c>
      <c r="CW252" t="n">
        <v>23.21</v>
      </c>
      <c r="CX252" t="n">
        <v>1.788</v>
      </c>
      <c r="CY252" t="n">
        <v>0</v>
      </c>
      <c r="DB252" t="n">
        <v>0</v>
      </c>
      <c r="DE252" t="n">
        <v>6.67</v>
      </c>
      <c r="DF252" t="n">
        <v>3</v>
      </c>
      <c r="DG252" t="n">
        <v>0</v>
      </c>
      <c r="DH252" t="n">
        <v>16</v>
      </c>
      <c r="DI252" t="n">
        <v>11</v>
      </c>
      <c r="DL252" t="n">
        <v>6</v>
      </c>
      <c r="DM252" t="n">
        <v>5</v>
      </c>
      <c r="DO252" t="n">
        <v>0.1</v>
      </c>
      <c r="DP252" t="n">
        <v>37.78</v>
      </c>
      <c r="DQ252" t="n">
        <v>18.89</v>
      </c>
      <c r="DR252" t="n">
        <v>37.78</v>
      </c>
      <c r="DS252" t="n">
        <v>0</v>
      </c>
      <c r="DT252" t="n">
        <v>752</v>
      </c>
      <c r="DU252" t="n">
        <v>19.8</v>
      </c>
      <c r="DV252" t="inlineStr">
        <is>
          <t>flat</t>
        </is>
      </c>
      <c r="EF252" t="n">
        <v>64.90000000000001</v>
      </c>
      <c r="EG252" t="n">
        <v>68.7</v>
      </c>
      <c r="EH252" t="n">
        <v>106.2</v>
      </c>
      <c r="EI252" t="n">
        <v>941</v>
      </c>
      <c r="EJ252" t="n">
        <v>1139.6</v>
      </c>
      <c r="EK252" t="n">
        <v>515.4</v>
      </c>
      <c r="EL252" t="n">
        <v>24.3</v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n">
        <v>6</v>
      </c>
      <c r="F253" t="b">
        <v>1</v>
      </c>
      <c r="G253" t="b">
        <v>1</v>
      </c>
      <c r="H253" t="n">
        <v>24.3</v>
      </c>
      <c r="I253" t="inlineStr">
        <is>
          <t>a</t>
        </is>
      </c>
      <c r="L253" t="inlineStr">
        <is>
          <t>p449434</t>
        </is>
      </c>
      <c r="M253" t="n">
        <v>454</v>
      </c>
      <c r="O253" t="n">
        <v>5</v>
      </c>
      <c r="Q253" t="n">
        <v>1302</v>
      </c>
      <c r="R253" t="n">
        <v>32</v>
      </c>
      <c r="S253" t="n">
        <v>14</v>
      </c>
      <c r="T253" t="n">
        <v>14.467</v>
      </c>
      <c r="U253" t="n">
        <v>40.7</v>
      </c>
      <c r="V253" t="n">
        <v>48</v>
      </c>
      <c r="W253" t="n">
        <v>3.318</v>
      </c>
      <c r="X253" t="n">
        <v>0</v>
      </c>
      <c r="Y253" t="n">
        <v>1</v>
      </c>
      <c r="Z253" t="n">
        <v>1</v>
      </c>
      <c r="AA253" t="n">
        <v>2</v>
      </c>
      <c r="AB253" t="n">
        <v>28</v>
      </c>
      <c r="AC253" t="n">
        <v>0</v>
      </c>
      <c r="AD253" t="n">
        <v>0</v>
      </c>
      <c r="AE253" t="n">
        <v>0</v>
      </c>
      <c r="AF253" t="n">
        <v>179</v>
      </c>
      <c r="AG253" t="n">
        <v>178</v>
      </c>
      <c r="AH253" t="n">
        <v>-1</v>
      </c>
      <c r="AI253" t="n">
        <v>48</v>
      </c>
      <c r="AJ253" t="n">
        <v>0</v>
      </c>
      <c r="AK253" t="n">
        <v>0</v>
      </c>
      <c r="AL253" t="n">
        <v>55</v>
      </c>
      <c r="AM253" t="n">
        <v>3.802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0.368</v>
      </c>
      <c r="AT253" t="n">
        <v>0.344</v>
      </c>
      <c r="AU253" t="n">
        <v>29</v>
      </c>
      <c r="AV253" t="n">
        <v>0</v>
      </c>
      <c r="AW253" t="n">
        <v>0.98</v>
      </c>
      <c r="AX253" t="n">
        <v>5</v>
      </c>
      <c r="AY253" t="n">
        <v>1.65</v>
      </c>
      <c r="AZ253" t="n">
        <v>1.453</v>
      </c>
      <c r="BA253" t="n">
        <v>1.552</v>
      </c>
      <c r="BB253" t="n">
        <v>1.453</v>
      </c>
      <c r="BC253" t="n">
        <v>0.114</v>
      </c>
      <c r="BD253" t="n">
        <v>0.1</v>
      </c>
      <c r="BE253" t="n">
        <v>0.107</v>
      </c>
      <c r="BF253" t="n">
        <v>0.7</v>
      </c>
      <c r="BG253" t="n">
        <v>0.048</v>
      </c>
      <c r="BH253" t="n">
        <v>1.112</v>
      </c>
      <c r="BI253" t="n">
        <v>13.31</v>
      </c>
      <c r="BJ253" t="n">
        <v>1.835</v>
      </c>
      <c r="BK253" t="n">
        <v>0.127</v>
      </c>
      <c r="BL253" t="n">
        <v>-1.552</v>
      </c>
      <c r="BM253" t="n">
        <v>-0.95</v>
      </c>
      <c r="BN253" t="n">
        <v>-0.7</v>
      </c>
      <c r="BO253" t="n">
        <v>0.197</v>
      </c>
      <c r="BP253" t="n">
        <v>17</v>
      </c>
      <c r="BQ253" t="n">
        <v>4</v>
      </c>
      <c r="BR253" t="n">
        <v>1</v>
      </c>
      <c r="BS253" t="n">
        <v>59</v>
      </c>
      <c r="BT253" t="n">
        <v>4.078</v>
      </c>
      <c r="BW253" t="n">
        <v>1.74</v>
      </c>
      <c r="BX253" t="n">
        <v>1.75</v>
      </c>
      <c r="BY253" t="n">
        <v>1.745</v>
      </c>
      <c r="BZ253" t="n">
        <v>0.121</v>
      </c>
      <c r="CA253" t="n">
        <v>3.296</v>
      </c>
      <c r="CB253" t="n">
        <v>0.228</v>
      </c>
      <c r="CC253" t="n">
        <v>15</v>
      </c>
      <c r="CD253" t="n">
        <v>2</v>
      </c>
      <c r="CE253" t="n">
        <v>15</v>
      </c>
      <c r="CF253" t="n">
        <v>12</v>
      </c>
      <c r="CG253" t="n">
        <v>0</v>
      </c>
      <c r="CH253" t="n">
        <v>15</v>
      </c>
      <c r="CI253" t="n">
        <v>4.289</v>
      </c>
      <c r="CJ253" t="n">
        <v>1.843</v>
      </c>
      <c r="CK253" t="n">
        <v>9</v>
      </c>
      <c r="CL253" t="n">
        <v>32</v>
      </c>
      <c r="CM253" t="n">
        <v>14</v>
      </c>
      <c r="CN253" t="n">
        <v>11</v>
      </c>
      <c r="CO253" t="n">
        <v>3</v>
      </c>
      <c r="CP253" t="n">
        <v>6</v>
      </c>
      <c r="CR253" t="n">
        <v>65</v>
      </c>
      <c r="CS253" t="n">
        <v>13</v>
      </c>
      <c r="CT253" t="n">
        <v>0.2</v>
      </c>
      <c r="CW253" t="n">
        <v>21.11</v>
      </c>
      <c r="CX253" t="n">
        <v>1.459</v>
      </c>
      <c r="CY253" t="n">
        <v>0</v>
      </c>
      <c r="DB253" t="n">
        <v>0</v>
      </c>
      <c r="DE253" t="n">
        <v>6.39</v>
      </c>
      <c r="DF253" t="n">
        <v>0</v>
      </c>
      <c r="DG253" t="n">
        <v>0</v>
      </c>
      <c r="DH253" t="n">
        <v>8</v>
      </c>
      <c r="DI253" t="n">
        <v>25</v>
      </c>
      <c r="DL253" t="n">
        <v>13</v>
      </c>
      <c r="DM253" t="n">
        <v>18</v>
      </c>
      <c r="DN253" t="n">
        <v>2</v>
      </c>
      <c r="DO253" t="n">
        <v>0.7</v>
      </c>
      <c r="DP253" t="n">
        <v>67.38</v>
      </c>
      <c r="DQ253" t="n">
        <v>33.7</v>
      </c>
      <c r="DR253" t="n">
        <v>67.40000000000001</v>
      </c>
      <c r="DS253" t="n">
        <v>-0.02</v>
      </c>
      <c r="DT253" t="n">
        <v>1345</v>
      </c>
      <c r="DU253" t="n">
        <v>35.4</v>
      </c>
      <c r="DV253" t="inlineStr">
        <is>
          <t>flat</t>
        </is>
      </c>
      <c r="DW253" t="n">
        <v>83.01000000000001</v>
      </c>
      <c r="DX253" t="n">
        <v>99.5</v>
      </c>
      <c r="DY253" t="n">
        <v>18.63</v>
      </c>
      <c r="DZ253" t="n">
        <v>46</v>
      </c>
      <c r="EA253" t="n">
        <v>108.67</v>
      </c>
      <c r="EB253" t="n">
        <v>27</v>
      </c>
      <c r="EC253" t="n">
        <v>13</v>
      </c>
      <c r="ED253" t="n">
        <v>0</v>
      </c>
      <c r="EE253" t="n">
        <v>98</v>
      </c>
      <c r="EF253" t="n">
        <v>76.59999999999999</v>
      </c>
      <c r="EG253" t="n">
        <v>22.1</v>
      </c>
      <c r="EH253" t="n">
        <v>86.8</v>
      </c>
      <c r="EI253" t="n">
        <v>839.1</v>
      </c>
      <c r="EJ253" t="n">
        <v>746.2</v>
      </c>
      <c r="EK253" t="n">
        <v>395</v>
      </c>
      <c r="EL253" t="n">
        <v>27.1</v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n">
        <v>5</v>
      </c>
      <c r="F254" t="b">
        <v>1</v>
      </c>
      <c r="G254" t="b">
        <v>1</v>
      </c>
      <c r="H254" t="n">
        <v>31.5</v>
      </c>
      <c r="I254" t="inlineStr">
        <is>
          <t>s</t>
        </is>
      </c>
      <c r="J254" t="inlineStr">
        <is>
          <t>Suspended until 29 Aug</t>
        </is>
      </c>
      <c r="K254" t="n">
        <v>0</v>
      </c>
      <c r="L254" t="inlineStr">
        <is>
          <t>p158499</t>
        </is>
      </c>
      <c r="M254" t="n">
        <v>75</v>
      </c>
      <c r="O254" t="n">
        <v>6</v>
      </c>
      <c r="Q254" t="n">
        <v>978</v>
      </c>
      <c r="R254" t="n">
        <v>26</v>
      </c>
      <c r="S254" t="n">
        <v>9</v>
      </c>
      <c r="T254" t="n">
        <v>10.867</v>
      </c>
      <c r="U254" t="n">
        <v>37.6</v>
      </c>
      <c r="V254" t="n">
        <v>47</v>
      </c>
      <c r="W254" t="n">
        <v>4.325</v>
      </c>
      <c r="X254" t="n">
        <v>2</v>
      </c>
      <c r="Y254" t="n">
        <v>1</v>
      </c>
      <c r="AA254" t="n">
        <v>3</v>
      </c>
      <c r="AB254" t="n">
        <v>14</v>
      </c>
      <c r="AC254" t="n">
        <v>2</v>
      </c>
      <c r="AD254" t="n">
        <v>2</v>
      </c>
      <c r="AE254" t="n">
        <v>0</v>
      </c>
      <c r="AF254" t="n">
        <v>214</v>
      </c>
      <c r="AG254" t="n">
        <v>208</v>
      </c>
      <c r="AH254" t="n">
        <v>-6</v>
      </c>
      <c r="AI254" t="n">
        <v>47</v>
      </c>
      <c r="AJ254" t="n">
        <v>0.043</v>
      </c>
      <c r="AK254" t="n">
        <v>0.044</v>
      </c>
      <c r="AL254" t="n">
        <v>123</v>
      </c>
      <c r="AM254" t="n">
        <v>11.319</v>
      </c>
      <c r="AN254" t="n">
        <v>1</v>
      </c>
      <c r="AO254" t="n">
        <v>2</v>
      </c>
      <c r="AP254" t="n">
        <v>0.111</v>
      </c>
      <c r="AQ254" t="n">
        <v>0.333</v>
      </c>
      <c r="AR254" t="n">
        <v>0.111</v>
      </c>
      <c r="AS254" t="n">
        <v>0.237</v>
      </c>
      <c r="AT254" t="n">
        <v>0.269</v>
      </c>
      <c r="AU254" t="n">
        <v>21</v>
      </c>
      <c r="AV254" t="n">
        <v>0</v>
      </c>
      <c r="AW254" t="n">
        <v>1.9</v>
      </c>
      <c r="AX254" t="n">
        <v>9</v>
      </c>
      <c r="AY254" t="n">
        <v>1.81</v>
      </c>
      <c r="AZ254" t="n">
        <v>1.791</v>
      </c>
      <c r="BA254" t="n">
        <v>1.8</v>
      </c>
      <c r="BB254" t="n">
        <v>1.791</v>
      </c>
      <c r="BC254" t="n">
        <v>0.167</v>
      </c>
      <c r="BD254" t="n">
        <v>0.165</v>
      </c>
      <c r="BE254" t="n">
        <v>0.166</v>
      </c>
      <c r="BF254" t="n">
        <v>2.6</v>
      </c>
      <c r="BG254" t="n">
        <v>0.239</v>
      </c>
      <c r="BH254" t="n">
        <v>0.992</v>
      </c>
      <c r="BI254" t="n">
        <v>9.33</v>
      </c>
      <c r="BJ254" t="n">
        <v>1.796</v>
      </c>
      <c r="BK254" t="n">
        <v>0.165</v>
      </c>
      <c r="BL254" t="n">
        <v>0.2</v>
      </c>
      <c r="BM254" t="n">
        <v>0.79</v>
      </c>
      <c r="BN254" t="n">
        <v>-0.6</v>
      </c>
      <c r="BO254" t="n">
        <v>0.019</v>
      </c>
      <c r="BP254" t="n">
        <v>25</v>
      </c>
      <c r="BQ254" t="n">
        <v>8</v>
      </c>
      <c r="BR254" t="n">
        <v>1</v>
      </c>
      <c r="BS254" t="n">
        <v>27</v>
      </c>
      <c r="BT254" t="n">
        <v>2.485</v>
      </c>
      <c r="BW254" t="n">
        <v>0.79</v>
      </c>
      <c r="BX254" t="n">
        <v>1.62</v>
      </c>
      <c r="BY254" t="n">
        <v>1.205</v>
      </c>
      <c r="BZ254" t="n">
        <v>0.111</v>
      </c>
      <c r="CA254" t="n">
        <v>3.005</v>
      </c>
      <c r="CB254" t="n">
        <v>0.277</v>
      </c>
      <c r="CC254" t="n">
        <v>11</v>
      </c>
      <c r="CD254" t="n">
        <v>2</v>
      </c>
      <c r="CE254" t="n">
        <v>11</v>
      </c>
      <c r="CF254" t="n">
        <v>3</v>
      </c>
      <c r="CG254" t="n">
        <v>1</v>
      </c>
      <c r="CH254" t="n">
        <v>4</v>
      </c>
      <c r="CI254" t="n">
        <v>7.692</v>
      </c>
      <c r="CJ254" t="n">
        <v>4.515</v>
      </c>
      <c r="CK254" t="n">
        <v>34</v>
      </c>
      <c r="CL254" t="n">
        <v>62</v>
      </c>
      <c r="CM254" t="n">
        <v>27</v>
      </c>
      <c r="CN254" t="n">
        <v>17</v>
      </c>
      <c r="CO254" t="n">
        <v>12</v>
      </c>
      <c r="CP254" t="n">
        <v>18</v>
      </c>
      <c r="CQ254" t="n">
        <v>4</v>
      </c>
      <c r="CR254" t="n">
        <v>80</v>
      </c>
      <c r="CS254" t="n">
        <v>13</v>
      </c>
      <c r="CT254" t="n">
        <v>1</v>
      </c>
      <c r="CV254" t="n">
        <v>1</v>
      </c>
      <c r="CW254" t="n">
        <v>19.14</v>
      </c>
      <c r="CX254" t="n">
        <v>1.761</v>
      </c>
      <c r="CY254" t="n">
        <v>0</v>
      </c>
      <c r="DB254" t="n">
        <v>0</v>
      </c>
      <c r="DE254" t="n">
        <v>6.64</v>
      </c>
      <c r="DF254" t="n">
        <v>3</v>
      </c>
      <c r="DG254" t="n">
        <v>1</v>
      </c>
      <c r="DH254" t="n">
        <v>17</v>
      </c>
      <c r="DI254" t="n">
        <v>22</v>
      </c>
      <c r="DK254" t="n">
        <v>1</v>
      </c>
      <c r="DL254" t="n">
        <v>19</v>
      </c>
      <c r="DM254" t="n">
        <v>15</v>
      </c>
      <c r="DN254" t="n">
        <v>1</v>
      </c>
      <c r="DO254" t="n">
        <v>0</v>
      </c>
      <c r="DP254" t="n">
        <v>36.68</v>
      </c>
      <c r="DQ254" t="n">
        <v>18.42</v>
      </c>
      <c r="DR254" t="n">
        <v>36.84</v>
      </c>
      <c r="DS254" t="n">
        <v>-0.16</v>
      </c>
      <c r="DT254" t="n">
        <v>406</v>
      </c>
      <c r="DU254" t="n">
        <v>10.69</v>
      </c>
      <c r="DV254" t="inlineStr">
        <is>
          <t>flat</t>
        </is>
      </c>
      <c r="EF254" t="n">
        <v>39.1</v>
      </c>
      <c r="EG254" t="n">
        <v>36.2</v>
      </c>
      <c r="EH254" t="n">
        <v>88.90000000000001</v>
      </c>
      <c r="EI254" t="n">
        <v>543.2</v>
      </c>
      <c r="EJ254" t="n">
        <v>811.8</v>
      </c>
      <c r="EK254" t="n">
        <v>325.4</v>
      </c>
      <c r="EL254" t="n">
        <v>20.8</v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n">
        <v>5</v>
      </c>
      <c r="F255" t="b">
        <v>1</v>
      </c>
      <c r="G255" t="b">
        <v>1</v>
      </c>
      <c r="H255" t="n">
        <v>22.3</v>
      </c>
      <c r="I255" t="inlineStr">
        <is>
          <t>a</t>
        </is>
      </c>
      <c r="L255" t="inlineStr">
        <is>
          <t>p532605</t>
        </is>
      </c>
      <c r="M255" t="n">
        <v>162</v>
      </c>
      <c r="Q255" t="n">
        <v>1247</v>
      </c>
      <c r="R255" t="n">
        <v>27</v>
      </c>
      <c r="S255" t="n">
        <v>13</v>
      </c>
      <c r="T255" t="n">
        <v>13.856</v>
      </c>
      <c r="U255" t="n">
        <v>46.2</v>
      </c>
      <c r="V255" t="n">
        <v>47</v>
      </c>
      <c r="W255" t="n">
        <v>3.392</v>
      </c>
      <c r="X255" t="n">
        <v>1</v>
      </c>
      <c r="Y255" t="n">
        <v>0</v>
      </c>
      <c r="AA255" t="n">
        <v>1</v>
      </c>
      <c r="AB255" t="n">
        <v>18</v>
      </c>
      <c r="AC255" t="n">
        <v>3</v>
      </c>
      <c r="AD255" t="n">
        <v>3</v>
      </c>
      <c r="AE255" t="n">
        <v>0</v>
      </c>
      <c r="AF255" t="n">
        <v>257</v>
      </c>
      <c r="AG255" t="n">
        <v>247</v>
      </c>
      <c r="AH255" t="n">
        <v>-10</v>
      </c>
      <c r="AI255" t="n">
        <v>47</v>
      </c>
      <c r="AJ255" t="n">
        <v>0.064</v>
      </c>
      <c r="AK255" t="n">
        <v>0.068</v>
      </c>
      <c r="AL255" t="n">
        <v>129</v>
      </c>
      <c r="AM255" t="n">
        <v>9.31</v>
      </c>
      <c r="AN255" t="n">
        <v>2</v>
      </c>
      <c r="AO255" t="n">
        <v>4</v>
      </c>
      <c r="AP255" t="n">
        <v>0.154</v>
      </c>
      <c r="AQ255" t="n">
        <v>0.154</v>
      </c>
      <c r="AR255" t="n">
        <v>0.154</v>
      </c>
      <c r="AS255" t="n">
        <v>0.342</v>
      </c>
      <c r="AT255" t="n">
        <v>0.407</v>
      </c>
      <c r="AU255" t="n">
        <v>24</v>
      </c>
      <c r="AV255" t="n">
        <v>1</v>
      </c>
      <c r="AW255" t="n">
        <v>1.81</v>
      </c>
      <c r="AX255" t="n">
        <v>10</v>
      </c>
      <c r="AY255" t="n">
        <v>2</v>
      </c>
      <c r="AZ255" t="n">
        <v>2.555</v>
      </c>
      <c r="BA255" t="n">
        <v>2.278</v>
      </c>
      <c r="BB255" t="n">
        <v>2.555</v>
      </c>
      <c r="BC255" t="n">
        <v>0.144</v>
      </c>
      <c r="BD255" t="n">
        <v>0.184</v>
      </c>
      <c r="BE255" t="n">
        <v>0.164</v>
      </c>
      <c r="BF255" t="n">
        <v>1.4</v>
      </c>
      <c r="BG255" t="n">
        <v>0.101</v>
      </c>
      <c r="BH255" t="n">
        <v>0.9340000000000001</v>
      </c>
      <c r="BI255" t="n">
        <v>2.06</v>
      </c>
      <c r="BJ255" t="n">
        <v>1.869</v>
      </c>
      <c r="BK255" t="n">
        <v>0.135</v>
      </c>
      <c r="BL255" t="n">
        <v>-1.278</v>
      </c>
      <c r="BM255" t="n">
        <v>-0.6</v>
      </c>
      <c r="BN255" t="n">
        <v>-0.4</v>
      </c>
      <c r="BO255" t="n">
        <v>-0.555</v>
      </c>
      <c r="BP255" t="n">
        <v>11</v>
      </c>
      <c r="BQ255" t="n">
        <v>2</v>
      </c>
      <c r="BR255" t="n">
        <v>3</v>
      </c>
      <c r="BS255" t="n">
        <v>20</v>
      </c>
      <c r="BT255" t="n">
        <v>1.443</v>
      </c>
      <c r="BW255" t="n">
        <v>0.88</v>
      </c>
      <c r="BX255" t="n">
        <v>0.6879999999999999</v>
      </c>
      <c r="BY255" t="n">
        <v>0.784</v>
      </c>
      <c r="BZ255" t="n">
        <v>0.057</v>
      </c>
      <c r="CA255" t="n">
        <v>3.062</v>
      </c>
      <c r="CB255" t="n">
        <v>0.221</v>
      </c>
      <c r="CC255" t="n">
        <v>8</v>
      </c>
      <c r="CD255" t="n">
        <v>1</v>
      </c>
      <c r="CE255" t="n">
        <v>8</v>
      </c>
      <c r="CG255" t="n">
        <v>1</v>
      </c>
      <c r="CI255" t="n">
        <v>6.325</v>
      </c>
      <c r="CJ255" t="n">
        <v>4.395</v>
      </c>
      <c r="CK255" t="n">
        <v>44</v>
      </c>
      <c r="CL255" t="n">
        <v>48</v>
      </c>
      <c r="CM255" t="n">
        <v>37</v>
      </c>
      <c r="CN255" t="n">
        <v>19</v>
      </c>
      <c r="CO255" t="n">
        <v>20</v>
      </c>
      <c r="CP255" t="n">
        <v>18</v>
      </c>
      <c r="CQ255" t="n">
        <v>6</v>
      </c>
      <c r="CR255" t="n">
        <v>75</v>
      </c>
      <c r="CS255" t="n">
        <v>14</v>
      </c>
      <c r="CT255" t="n">
        <v>0.5</v>
      </c>
      <c r="CV255" t="n">
        <v>1</v>
      </c>
      <c r="CW255" t="n">
        <v>18.91</v>
      </c>
      <c r="CX255" t="n">
        <v>1.365</v>
      </c>
      <c r="CY255" t="n">
        <v>0</v>
      </c>
      <c r="DB255" t="n">
        <v>0</v>
      </c>
      <c r="DE255" t="n">
        <v>6.73</v>
      </c>
      <c r="DF255" t="n">
        <v>4</v>
      </c>
      <c r="DG255" t="n">
        <v>0</v>
      </c>
      <c r="DH255" t="n">
        <v>13</v>
      </c>
      <c r="DI255" t="n">
        <v>22</v>
      </c>
      <c r="DL255" t="n">
        <v>2</v>
      </c>
      <c r="DM255" t="n">
        <v>2</v>
      </c>
      <c r="DN255" t="n">
        <v>1</v>
      </c>
      <c r="DO255" t="n">
        <v>1.3</v>
      </c>
      <c r="DP255" t="n">
        <v>117.06</v>
      </c>
      <c r="DQ255" t="n">
        <v>58.53</v>
      </c>
      <c r="DR255" t="n">
        <v>117.06</v>
      </c>
      <c r="DS255" t="n">
        <v>0</v>
      </c>
      <c r="DT255" t="n">
        <v>2861</v>
      </c>
      <c r="DU255" t="n">
        <v>75.3</v>
      </c>
      <c r="DV255" t="inlineStr">
        <is>
          <t>flat</t>
        </is>
      </c>
      <c r="DW255" t="n">
        <v>85.81</v>
      </c>
      <c r="DX255" t="n">
        <v>57</v>
      </c>
      <c r="DY255" t="n">
        <v>19.47</v>
      </c>
      <c r="DZ255" t="n">
        <v>57</v>
      </c>
      <c r="EA255" t="n">
        <v>113.6</v>
      </c>
      <c r="EB255" t="n">
        <v>8</v>
      </c>
      <c r="EC255" t="n">
        <v>3.8</v>
      </c>
      <c r="ED255" t="n">
        <v>11.1</v>
      </c>
      <c r="EE255" t="n">
        <v>286</v>
      </c>
      <c r="EF255" t="n">
        <v>113.4</v>
      </c>
      <c r="EG255" t="n">
        <v>62.4</v>
      </c>
      <c r="EH255" t="n">
        <v>155.9</v>
      </c>
      <c r="EI255" t="n">
        <v>547.5</v>
      </c>
      <c r="EJ255" t="n">
        <v>1590.2</v>
      </c>
      <c r="EK255" t="n">
        <v>407.3</v>
      </c>
      <c r="EL255" t="n">
        <v>26.5</v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n">
        <v>5</v>
      </c>
      <c r="F256" t="b">
        <v>1</v>
      </c>
      <c r="G256" t="b">
        <v>1</v>
      </c>
      <c r="H256" t="n">
        <v>25.6</v>
      </c>
      <c r="I256" t="inlineStr">
        <is>
          <t>a</t>
        </is>
      </c>
      <c r="L256" t="inlineStr">
        <is>
          <t>p242882</t>
        </is>
      </c>
      <c r="M256" t="n">
        <v>62</v>
      </c>
      <c r="Q256" t="n">
        <v>1275</v>
      </c>
      <c r="R256" t="n">
        <v>18</v>
      </c>
      <c r="S256" t="n">
        <v>15</v>
      </c>
      <c r="T256" t="n">
        <v>14.167</v>
      </c>
      <c r="U256" t="n">
        <v>70.8</v>
      </c>
      <c r="V256" t="n">
        <v>46</v>
      </c>
      <c r="W256" t="n">
        <v>3.247</v>
      </c>
      <c r="X256" t="n">
        <v>0</v>
      </c>
      <c r="Y256" t="n">
        <v>0</v>
      </c>
      <c r="AA256" t="n">
        <v>4</v>
      </c>
      <c r="AB256" t="n">
        <v>27</v>
      </c>
      <c r="AC256" t="n">
        <v>2</v>
      </c>
      <c r="AD256" t="n">
        <v>2</v>
      </c>
      <c r="AE256" t="n">
        <v>0</v>
      </c>
      <c r="AF256" t="n">
        <v>164</v>
      </c>
      <c r="AG256" t="n">
        <v>146</v>
      </c>
      <c r="AH256" t="n">
        <v>-18</v>
      </c>
      <c r="AI256" t="n">
        <v>46</v>
      </c>
      <c r="AJ256" t="n">
        <v>0.043</v>
      </c>
      <c r="AK256" t="n">
        <v>0.045</v>
      </c>
      <c r="AL256" t="n">
        <v>117</v>
      </c>
      <c r="AM256" t="n">
        <v>8.259</v>
      </c>
      <c r="AN256" t="n">
        <v>4</v>
      </c>
      <c r="AO256" t="n">
        <v>8</v>
      </c>
      <c r="AP256" t="n">
        <v>0.267</v>
      </c>
      <c r="AQ256" t="n">
        <v>0.267</v>
      </c>
      <c r="AR256" t="n">
        <v>0.067</v>
      </c>
      <c r="AS256" t="n">
        <v>0.395</v>
      </c>
      <c r="AT256" t="n">
        <v>0.722</v>
      </c>
      <c r="AU256" t="n">
        <v>11</v>
      </c>
      <c r="AV256" t="n">
        <v>1</v>
      </c>
      <c r="AW256" t="n">
        <v>2.26</v>
      </c>
      <c r="AX256" t="n">
        <v>10</v>
      </c>
      <c r="AY256" t="n">
        <v>0.02</v>
      </c>
      <c r="AZ256" t="n">
        <v>0.014</v>
      </c>
      <c r="BA256" t="n">
        <v>0.017</v>
      </c>
      <c r="BB256" t="n">
        <v>0.014</v>
      </c>
      <c r="BC256" t="n">
        <v>0.001</v>
      </c>
      <c r="BD256" t="n">
        <v>0.001</v>
      </c>
      <c r="BE256" t="n">
        <v>0.001</v>
      </c>
      <c r="BH256" t="n">
        <v>0.998</v>
      </c>
      <c r="BI256" t="n">
        <v>0.02</v>
      </c>
      <c r="BJ256" t="n">
        <v>0.02</v>
      </c>
      <c r="BK256" t="n">
        <v>0.001</v>
      </c>
      <c r="BL256" t="n">
        <v>-0.017</v>
      </c>
      <c r="BO256" t="n">
        <v>0.006</v>
      </c>
      <c r="BP256" t="n">
        <v>1</v>
      </c>
      <c r="BS256" t="n">
        <v>10</v>
      </c>
      <c r="BT256" t="n">
        <v>0.706</v>
      </c>
      <c r="BW256" t="n">
        <v>0.19</v>
      </c>
      <c r="BX256" t="n">
        <v>0.08500000000000001</v>
      </c>
      <c r="BY256" t="n">
        <v>0.137</v>
      </c>
      <c r="BZ256" t="n">
        <v>0.01</v>
      </c>
      <c r="CA256" t="n">
        <v>0.154</v>
      </c>
      <c r="CB256" t="n">
        <v>0.011</v>
      </c>
      <c r="CC256" t="n">
        <v>2</v>
      </c>
      <c r="CE256" t="n">
        <v>3</v>
      </c>
      <c r="CI256" t="n">
        <v>3.927</v>
      </c>
      <c r="CJ256" t="n">
        <v>3.878</v>
      </c>
      <c r="CK256" t="n">
        <v>97</v>
      </c>
      <c r="CL256" t="n">
        <v>48</v>
      </c>
      <c r="CM256" t="n">
        <v>20</v>
      </c>
      <c r="CN256" t="n">
        <v>15</v>
      </c>
      <c r="CO256" t="n">
        <v>12</v>
      </c>
      <c r="CP256" t="n">
        <v>83</v>
      </c>
      <c r="CQ256" t="n">
        <v>5</v>
      </c>
      <c r="CR256" t="n">
        <v>60</v>
      </c>
      <c r="CS256" t="n">
        <v>35</v>
      </c>
      <c r="CV256" t="n">
        <v>1</v>
      </c>
      <c r="CW256" t="n">
        <v>22.47</v>
      </c>
      <c r="CX256" t="n">
        <v>1.586</v>
      </c>
      <c r="CY256" t="n">
        <v>0</v>
      </c>
      <c r="DB256" t="n">
        <v>0</v>
      </c>
      <c r="DF256" t="n">
        <v>1</v>
      </c>
      <c r="DG256" t="n">
        <v>0</v>
      </c>
      <c r="DH256" t="n">
        <v>8</v>
      </c>
      <c r="DI256" t="n">
        <v>5</v>
      </c>
      <c r="DK256" t="n">
        <v>1</v>
      </c>
      <c r="DM256" t="n">
        <v>1</v>
      </c>
      <c r="DN256" t="n">
        <v>2</v>
      </c>
      <c r="DO256" t="n">
        <v>0.2</v>
      </c>
      <c r="DP256" t="n">
        <v>8.48</v>
      </c>
      <c r="DQ256" t="n">
        <v>4.24</v>
      </c>
      <c r="DR256" t="n">
        <v>8.48</v>
      </c>
      <c r="DS256" t="n">
        <v>0</v>
      </c>
      <c r="DT256" t="n">
        <v>130</v>
      </c>
      <c r="DU256" t="n">
        <v>3.41</v>
      </c>
      <c r="DV256" t="inlineStr">
        <is>
          <t>flat</t>
        </is>
      </c>
      <c r="DW256" t="n">
        <v>98.37</v>
      </c>
      <c r="DX256" t="n">
        <v>119</v>
      </c>
      <c r="DY256" t="n">
        <v>14.25</v>
      </c>
      <c r="DZ256" t="n">
        <v>78.86</v>
      </c>
      <c r="EA256" t="n">
        <v>119</v>
      </c>
      <c r="EB256" t="n">
        <v>7</v>
      </c>
      <c r="EC256" t="n">
        <v>3.4</v>
      </c>
      <c r="ED256" t="n">
        <v>12.5</v>
      </c>
      <c r="EE256" t="n">
        <v>287</v>
      </c>
      <c r="EF256" t="n">
        <v>1275</v>
      </c>
      <c r="EG256" t="n">
        <v>127.5</v>
      </c>
      <c r="EH256" t="n">
        <v>425</v>
      </c>
      <c r="EI256" t="n">
        <v>75292.89999999999</v>
      </c>
      <c r="EJ256" t="n">
        <v>9287.4</v>
      </c>
      <c r="EK256" t="n">
        <v>8267.6</v>
      </c>
      <c r="EL256" t="n">
        <v>27.7</v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n">
        <v>5.5</v>
      </c>
      <c r="F257" t="b">
        <v>1</v>
      </c>
      <c r="G257" t="b">
        <v>1</v>
      </c>
      <c r="H257" t="n">
        <v>21.7</v>
      </c>
      <c r="I257" t="inlineStr">
        <is>
          <t>i</t>
        </is>
      </c>
      <c r="J257" t="inlineStr">
        <is>
          <t>Knee injury - Unknown return date</t>
        </is>
      </c>
      <c r="K257" t="n">
        <v>0</v>
      </c>
      <c r="L257" t="inlineStr">
        <is>
          <t>p550839</t>
        </is>
      </c>
      <c r="M257" t="n">
        <v>517</v>
      </c>
      <c r="Q257" t="n">
        <v>972</v>
      </c>
      <c r="R257" t="n">
        <v>24</v>
      </c>
      <c r="S257" t="n">
        <v>10</v>
      </c>
      <c r="T257" t="n">
        <v>10.8</v>
      </c>
      <c r="U257" t="n">
        <v>40.5</v>
      </c>
      <c r="V257" t="n">
        <v>46</v>
      </c>
      <c r="W257" t="n">
        <v>4.259</v>
      </c>
      <c r="X257" t="n">
        <v>0</v>
      </c>
      <c r="Y257" t="n">
        <v>2</v>
      </c>
      <c r="Z257" t="n">
        <v>2</v>
      </c>
      <c r="AA257" t="n">
        <v>2</v>
      </c>
      <c r="AB257" t="n">
        <v>13</v>
      </c>
      <c r="AC257" t="n">
        <v>6</v>
      </c>
      <c r="AD257" t="n">
        <v>6</v>
      </c>
      <c r="AE257" t="n">
        <v>0</v>
      </c>
      <c r="AF257" t="n">
        <v>176</v>
      </c>
      <c r="AG257" t="n">
        <v>174</v>
      </c>
      <c r="AH257" t="n">
        <v>-2</v>
      </c>
      <c r="AI257" t="n">
        <v>46</v>
      </c>
      <c r="AJ257" t="n">
        <v>0.13</v>
      </c>
      <c r="AK257" t="n">
        <v>0.15</v>
      </c>
      <c r="AL257" t="n">
        <v>77</v>
      </c>
      <c r="AM257" t="n">
        <v>7.13</v>
      </c>
      <c r="AN257" t="n">
        <v>0</v>
      </c>
      <c r="AO257" t="n">
        <v>0</v>
      </c>
      <c r="AP257" t="n">
        <v>0</v>
      </c>
      <c r="AQ257" t="n">
        <v>0.1</v>
      </c>
      <c r="AR257" t="n">
        <v>0</v>
      </c>
      <c r="AS257" t="n">
        <v>0.263</v>
      </c>
      <c r="AT257" t="n">
        <v>0.333</v>
      </c>
      <c r="AU257" t="n">
        <v>20</v>
      </c>
      <c r="AV257" t="n">
        <v>0</v>
      </c>
      <c r="AW257" t="n">
        <v>1.73</v>
      </c>
      <c r="AX257" t="n">
        <v>8</v>
      </c>
      <c r="AY257" t="n">
        <v>1.92</v>
      </c>
      <c r="AZ257" t="n">
        <v>2.46</v>
      </c>
      <c r="BA257" t="n">
        <v>2.19</v>
      </c>
      <c r="BB257" t="n">
        <v>2.46</v>
      </c>
      <c r="BC257" t="n">
        <v>0.178</v>
      </c>
      <c r="BD257" t="n">
        <v>0.228</v>
      </c>
      <c r="BE257" t="n">
        <v>0.203</v>
      </c>
      <c r="BF257" t="n">
        <v>1.5</v>
      </c>
      <c r="BG257" t="n">
        <v>0.139</v>
      </c>
      <c r="BH257" t="n">
        <v>0.902</v>
      </c>
      <c r="BI257" t="n">
        <v>6.3</v>
      </c>
      <c r="BJ257" t="n">
        <v>1.732</v>
      </c>
      <c r="BK257" t="n">
        <v>0.16</v>
      </c>
      <c r="BL257" t="n">
        <v>-2.19</v>
      </c>
      <c r="BM257" t="n">
        <v>-0.42</v>
      </c>
      <c r="BN257" t="n">
        <v>-1.5</v>
      </c>
      <c r="BO257" t="n">
        <v>-0.54</v>
      </c>
      <c r="BP257" t="n">
        <v>22</v>
      </c>
      <c r="BQ257" t="n">
        <v>8</v>
      </c>
      <c r="BR257" t="n">
        <v>4</v>
      </c>
      <c r="BS257" t="n">
        <v>41</v>
      </c>
      <c r="BT257" t="n">
        <v>3.796</v>
      </c>
      <c r="BW257" t="n">
        <v>1.21</v>
      </c>
      <c r="BX257" t="n">
        <v>1.952</v>
      </c>
      <c r="BY257" t="n">
        <v>1.581</v>
      </c>
      <c r="BZ257" t="n">
        <v>0.146</v>
      </c>
      <c r="CA257" t="n">
        <v>3.771</v>
      </c>
      <c r="CB257" t="n">
        <v>0.349</v>
      </c>
      <c r="CC257" t="n">
        <v>20</v>
      </c>
      <c r="CD257" t="n">
        <v>2</v>
      </c>
      <c r="CE257" t="n">
        <v>20</v>
      </c>
      <c r="CF257" t="n">
        <v>8</v>
      </c>
      <c r="CI257" t="n">
        <v>5.968</v>
      </c>
      <c r="CJ257" t="n">
        <v>2.883</v>
      </c>
      <c r="CK257" t="n">
        <v>14</v>
      </c>
      <c r="CL257" t="n">
        <v>53</v>
      </c>
      <c r="CM257" t="n">
        <v>10</v>
      </c>
      <c r="CN257" t="n">
        <v>9</v>
      </c>
      <c r="CO257" t="n">
        <v>1</v>
      </c>
      <c r="CP257" t="n">
        <v>13</v>
      </c>
      <c r="CR257" t="n">
        <v>49</v>
      </c>
      <c r="CS257" t="n">
        <v>5</v>
      </c>
      <c r="CT257" t="n">
        <v>0.6</v>
      </c>
      <c r="CV257" t="n">
        <v>1</v>
      </c>
      <c r="CW257" t="n">
        <v>14.24</v>
      </c>
      <c r="CX257" t="n">
        <v>1.319</v>
      </c>
      <c r="CY257" t="n">
        <v>0</v>
      </c>
      <c r="DB257" t="n">
        <v>0</v>
      </c>
      <c r="DE257" t="n">
        <v>6.56</v>
      </c>
      <c r="DF257" t="n">
        <v>0</v>
      </c>
      <c r="DG257" t="n">
        <v>0</v>
      </c>
      <c r="DH257" t="n">
        <v>2</v>
      </c>
      <c r="DI257" t="n">
        <v>10</v>
      </c>
      <c r="DL257" t="n">
        <v>24</v>
      </c>
      <c r="DM257" t="n">
        <v>21</v>
      </c>
      <c r="DN257" t="n">
        <v>2</v>
      </c>
      <c r="DO257" t="n">
        <v>0</v>
      </c>
      <c r="DP257" t="n">
        <v>33.37</v>
      </c>
      <c r="DQ257" t="n">
        <v>15.07</v>
      </c>
      <c r="DR257" t="n">
        <v>30.14</v>
      </c>
      <c r="DS257" t="n">
        <v>3.23</v>
      </c>
      <c r="DT257" t="n">
        <v>419</v>
      </c>
      <c r="DU257" t="n">
        <v>11.02</v>
      </c>
      <c r="DV257" t="inlineStr">
        <is>
          <t>flat</t>
        </is>
      </c>
      <c r="EF257" t="n">
        <v>44.2</v>
      </c>
      <c r="EG257" t="n">
        <v>23.7</v>
      </c>
      <c r="EH257" t="n">
        <v>48.6</v>
      </c>
      <c r="EI257" t="n">
        <v>443.8</v>
      </c>
      <c r="EJ257" t="n">
        <v>614.7</v>
      </c>
      <c r="EK257" t="n">
        <v>257.7</v>
      </c>
      <c r="EL257" t="n">
        <v>21.1</v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n">
        <v>5.5</v>
      </c>
      <c r="F258" t="b">
        <v>1</v>
      </c>
      <c r="G258" t="b">
        <v>1</v>
      </c>
      <c r="H258" t="n">
        <v>23.5</v>
      </c>
      <c r="I258" t="inlineStr">
        <is>
          <t>a</t>
        </is>
      </c>
      <c r="L258" t="inlineStr">
        <is>
          <t>p463034</t>
        </is>
      </c>
      <c r="M258" t="n">
        <v>167</v>
      </c>
      <c r="N258" t="n">
        <v>4</v>
      </c>
      <c r="Q258" t="n">
        <v>1092</v>
      </c>
      <c r="R258" t="n">
        <v>28</v>
      </c>
      <c r="S258" t="n">
        <v>12</v>
      </c>
      <c r="T258" t="n">
        <v>12.133</v>
      </c>
      <c r="U258" t="n">
        <v>39</v>
      </c>
      <c r="V258" t="n">
        <v>45</v>
      </c>
      <c r="W258" t="n">
        <v>3.709</v>
      </c>
      <c r="X258" t="n">
        <v>1</v>
      </c>
      <c r="Y258" t="n">
        <v>2</v>
      </c>
      <c r="AA258" t="n">
        <v>2</v>
      </c>
      <c r="AB258" t="n">
        <v>18</v>
      </c>
      <c r="AC258" t="n">
        <v>1</v>
      </c>
      <c r="AD258" t="n">
        <v>1</v>
      </c>
      <c r="AE258" t="n">
        <v>0</v>
      </c>
      <c r="AF258" t="n">
        <v>123</v>
      </c>
      <c r="AG258" t="n">
        <v>123</v>
      </c>
      <c r="AH258" t="n">
        <v>0</v>
      </c>
      <c r="AI258" t="n">
        <v>45</v>
      </c>
      <c r="AJ258" t="n">
        <v>0.022</v>
      </c>
      <c r="AK258" t="n">
        <v>0.023</v>
      </c>
      <c r="AL258" t="n">
        <v>42</v>
      </c>
      <c r="AM258" t="n">
        <v>3.462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0.316</v>
      </c>
      <c r="AT258" t="n">
        <v>0.357</v>
      </c>
      <c r="AU258" t="n">
        <v>25</v>
      </c>
      <c r="AV258" t="n">
        <v>0</v>
      </c>
      <c r="AW258" t="n">
        <v>1.47</v>
      </c>
      <c r="AX258" t="n">
        <v>7</v>
      </c>
      <c r="AY258" t="n">
        <v>4.54</v>
      </c>
      <c r="AZ258" t="n">
        <v>5.03</v>
      </c>
      <c r="BA258" t="n">
        <v>4.785</v>
      </c>
      <c r="BB258" t="n">
        <v>5.03</v>
      </c>
      <c r="BC258" t="n">
        <v>0.374</v>
      </c>
      <c r="BD258" t="n">
        <v>0.415</v>
      </c>
      <c r="BE258" t="n">
        <v>0.394</v>
      </c>
      <c r="BF258" t="n">
        <v>3</v>
      </c>
      <c r="BG258" t="n">
        <v>0.247</v>
      </c>
      <c r="BH258" t="n">
        <v>0.992</v>
      </c>
      <c r="BI258" t="n">
        <v>13.98</v>
      </c>
      <c r="BJ258" t="n">
        <v>4.503</v>
      </c>
      <c r="BK258" t="n">
        <v>0.371</v>
      </c>
      <c r="BL258" t="n">
        <v>-3.785</v>
      </c>
      <c r="BM258" t="n">
        <v>-1.54</v>
      </c>
      <c r="BN258" t="n">
        <v>-2</v>
      </c>
      <c r="BO258" t="n">
        <v>-0.49</v>
      </c>
      <c r="BP258" t="n">
        <v>36</v>
      </c>
      <c r="BQ258" t="n">
        <v>11</v>
      </c>
      <c r="BR258" t="n">
        <v>4</v>
      </c>
      <c r="BS258" t="n">
        <v>66</v>
      </c>
      <c r="BT258" t="n">
        <v>5.44</v>
      </c>
      <c r="BW258" t="n">
        <v>0.23</v>
      </c>
      <c r="BX258" t="n">
        <v>0.169</v>
      </c>
      <c r="BY258" t="n">
        <v>0.2</v>
      </c>
      <c r="BZ258" t="n">
        <v>0.016</v>
      </c>
      <c r="CA258" t="n">
        <v>4.985</v>
      </c>
      <c r="CB258" t="n">
        <v>0.411</v>
      </c>
      <c r="CC258" t="n">
        <v>3</v>
      </c>
      <c r="CE258" t="n">
        <v>3</v>
      </c>
      <c r="CG258" t="n">
        <v>0</v>
      </c>
      <c r="CI258" t="n">
        <v>7.516</v>
      </c>
      <c r="CJ258" t="n">
        <v>3.401</v>
      </c>
      <c r="CK258" t="n">
        <v>12</v>
      </c>
      <c r="CL258" t="n">
        <v>25</v>
      </c>
      <c r="CM258" t="n">
        <v>5</v>
      </c>
      <c r="CN258" t="n">
        <v>3</v>
      </c>
      <c r="CO258" t="n">
        <v>1</v>
      </c>
      <c r="CP258" t="n">
        <v>11</v>
      </c>
      <c r="CQ258" t="n">
        <v>0</v>
      </c>
      <c r="CR258" t="n">
        <v>59</v>
      </c>
      <c r="CS258" t="n">
        <v>25</v>
      </c>
      <c r="CT258" t="n">
        <v>0.3</v>
      </c>
      <c r="CV258" t="n">
        <v>1</v>
      </c>
      <c r="CW258" t="n">
        <v>16.67</v>
      </c>
      <c r="CX258" t="n">
        <v>1.374</v>
      </c>
      <c r="CY258" t="n">
        <v>0</v>
      </c>
      <c r="DB258" t="n">
        <v>0</v>
      </c>
      <c r="DE258" t="n">
        <v>6.3</v>
      </c>
      <c r="DF258" t="n">
        <v>4</v>
      </c>
      <c r="DG258" t="n">
        <v>0</v>
      </c>
      <c r="DH258" t="n">
        <v>25</v>
      </c>
      <c r="DI258" t="n">
        <v>19</v>
      </c>
      <c r="DJ258" t="n">
        <v>1</v>
      </c>
      <c r="DL258" t="n">
        <v>10</v>
      </c>
      <c r="DM258" t="n">
        <v>22</v>
      </c>
      <c r="DN258" t="n">
        <v>5</v>
      </c>
      <c r="DO258" t="n">
        <v>0.5</v>
      </c>
      <c r="DP258" t="n">
        <v>20.35</v>
      </c>
      <c r="DQ258" t="n">
        <v>10.56</v>
      </c>
      <c r="DR258" t="n">
        <v>21.12</v>
      </c>
      <c r="DS258" t="n">
        <v>-0.77</v>
      </c>
      <c r="DT258" t="n">
        <v>21</v>
      </c>
      <c r="DU258" t="n">
        <v>0.54</v>
      </c>
      <c r="DV258" t="inlineStr">
        <is>
          <t>flat</t>
        </is>
      </c>
      <c r="DW258" t="n">
        <v>92.06</v>
      </c>
      <c r="DX258" t="n">
        <v>74</v>
      </c>
      <c r="DY258" t="n">
        <v>28.08</v>
      </c>
      <c r="DZ258" t="n">
        <v>25.33</v>
      </c>
      <c r="EA258" t="n">
        <v>119.33</v>
      </c>
      <c r="EB258" t="n">
        <v>39</v>
      </c>
      <c r="EC258" t="n">
        <v>18.8</v>
      </c>
      <c r="ED258" t="n">
        <v>7.1</v>
      </c>
      <c r="EE258" t="n">
        <v>172</v>
      </c>
      <c r="EF258" t="n">
        <v>30.3</v>
      </c>
      <c r="EG258" t="n">
        <v>16.5</v>
      </c>
      <c r="EH258" t="n">
        <v>364</v>
      </c>
      <c r="EI258" t="n">
        <v>228.2</v>
      </c>
      <c r="EJ258" t="n">
        <v>5470.2</v>
      </c>
      <c r="EK258" t="n">
        <v>219.1</v>
      </c>
      <c r="EL258" t="n">
        <v>24.3</v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n">
        <v>4.5</v>
      </c>
      <c r="F259" t="b">
        <v>1</v>
      </c>
      <c r="G259" t="b">
        <v>1</v>
      </c>
      <c r="H259" t="n">
        <v>31.3</v>
      </c>
      <c r="I259" t="inlineStr">
        <is>
          <t>a</t>
        </is>
      </c>
      <c r="L259" t="inlineStr">
        <is>
          <t>p108413</t>
        </is>
      </c>
      <c r="M259" t="n">
        <v>212</v>
      </c>
      <c r="O259" t="n">
        <v>3</v>
      </c>
      <c r="Q259" t="n">
        <v>1560</v>
      </c>
      <c r="R259" t="n">
        <v>31</v>
      </c>
      <c r="S259" t="n">
        <v>19</v>
      </c>
      <c r="T259" t="n">
        <v>17.333</v>
      </c>
      <c r="U259" t="n">
        <v>50.3</v>
      </c>
      <c r="V259" t="n">
        <v>45</v>
      </c>
      <c r="W259" t="n">
        <v>2.596</v>
      </c>
      <c r="X259" t="n">
        <v>0</v>
      </c>
      <c r="Y259" t="n">
        <v>1</v>
      </c>
      <c r="AA259" t="n">
        <v>5</v>
      </c>
      <c r="AB259" t="n">
        <v>18</v>
      </c>
      <c r="AC259" t="n">
        <v>0</v>
      </c>
      <c r="AD259" t="n">
        <v>0</v>
      </c>
      <c r="AE259" t="n">
        <v>0</v>
      </c>
      <c r="AF259" t="n">
        <v>217</v>
      </c>
      <c r="AG259" t="n">
        <v>205</v>
      </c>
      <c r="AH259" t="n">
        <v>-12</v>
      </c>
      <c r="AI259" t="n">
        <v>45</v>
      </c>
      <c r="AJ259" t="n">
        <v>0</v>
      </c>
      <c r="AK259" t="n">
        <v>0</v>
      </c>
      <c r="AL259" t="n">
        <v>148</v>
      </c>
      <c r="AM259" t="n">
        <v>8.538</v>
      </c>
      <c r="AN259" t="n">
        <v>0</v>
      </c>
      <c r="AO259" t="n">
        <v>0</v>
      </c>
      <c r="AP259" t="n">
        <v>0</v>
      </c>
      <c r="AQ259" t="n">
        <v>0.158</v>
      </c>
      <c r="AR259" t="n">
        <v>0</v>
      </c>
      <c r="AS259" t="n">
        <v>0.5</v>
      </c>
      <c r="AT259" t="n">
        <v>0.419</v>
      </c>
      <c r="AU259" t="n">
        <v>28</v>
      </c>
      <c r="AV259" t="n">
        <v>0</v>
      </c>
      <c r="AW259" t="n">
        <v>1.04</v>
      </c>
      <c r="AX259" t="n">
        <v>5</v>
      </c>
      <c r="AY259" t="n">
        <v>1.11</v>
      </c>
      <c r="AZ259" t="n">
        <v>1.281</v>
      </c>
      <c r="BA259" t="n">
        <v>1.196</v>
      </c>
      <c r="BB259" t="n">
        <v>1.281</v>
      </c>
      <c r="BC259" t="n">
        <v>0.064</v>
      </c>
      <c r="BD259" t="n">
        <v>0.074</v>
      </c>
      <c r="BE259" t="n">
        <v>0.06900000000000001</v>
      </c>
      <c r="BH259" t="n">
        <v>0.857</v>
      </c>
      <c r="BI259" t="n">
        <v>2.85</v>
      </c>
      <c r="BJ259" t="n">
        <v>0.951</v>
      </c>
      <c r="BK259" t="n">
        <v>0.055</v>
      </c>
      <c r="BL259" t="n">
        <v>-1.196</v>
      </c>
      <c r="BO259" t="n">
        <v>-0.171</v>
      </c>
      <c r="BP259" t="n">
        <v>17</v>
      </c>
      <c r="BR259" t="n">
        <v>1</v>
      </c>
      <c r="BS259" t="n">
        <v>28</v>
      </c>
      <c r="BT259" t="n">
        <v>1.615</v>
      </c>
      <c r="BW259" t="n">
        <v>1.94</v>
      </c>
      <c r="BX259" t="n">
        <v>1.927</v>
      </c>
      <c r="BY259" t="n">
        <v>1.933</v>
      </c>
      <c r="BZ259" t="n">
        <v>0.112</v>
      </c>
      <c r="CA259" t="n">
        <v>3.129</v>
      </c>
      <c r="CB259" t="n">
        <v>0.181</v>
      </c>
      <c r="CC259" t="n">
        <v>21</v>
      </c>
      <c r="CD259" t="n">
        <v>1</v>
      </c>
      <c r="CE259" t="n">
        <v>21</v>
      </c>
      <c r="CF259" t="n">
        <v>12</v>
      </c>
      <c r="CH259" t="n">
        <v>23</v>
      </c>
      <c r="CI259" t="n">
        <v>7.059</v>
      </c>
      <c r="CJ259" t="n">
        <v>5.383</v>
      </c>
      <c r="CK259" t="n">
        <v>54</v>
      </c>
      <c r="CL259" t="n">
        <v>66</v>
      </c>
      <c r="CM259" t="n">
        <v>28</v>
      </c>
      <c r="CN259" t="n">
        <v>15</v>
      </c>
      <c r="CO259" t="n">
        <v>15</v>
      </c>
      <c r="CP259" t="n">
        <v>28</v>
      </c>
      <c r="CQ259" t="n">
        <v>8</v>
      </c>
      <c r="CR259" t="n">
        <v>79</v>
      </c>
      <c r="CS259" t="n">
        <v>17</v>
      </c>
      <c r="CV259" t="n">
        <v>1</v>
      </c>
      <c r="CW259" t="n">
        <v>25.35</v>
      </c>
      <c r="CX259" t="n">
        <v>1.463</v>
      </c>
      <c r="CY259" t="n">
        <v>0</v>
      </c>
      <c r="DB259" t="n">
        <v>0</v>
      </c>
      <c r="DE259" t="n">
        <v>6.56</v>
      </c>
      <c r="DF259" t="n">
        <v>7</v>
      </c>
      <c r="DG259" t="n">
        <v>0</v>
      </c>
      <c r="DH259" t="n">
        <v>23</v>
      </c>
      <c r="DI259" t="n">
        <v>25</v>
      </c>
      <c r="DK259" t="n">
        <v>1</v>
      </c>
      <c r="DL259" t="n">
        <v>11</v>
      </c>
      <c r="DM259" t="n">
        <v>14</v>
      </c>
      <c r="DO259" t="n">
        <v>11.1</v>
      </c>
      <c r="DP259" t="n">
        <v>55</v>
      </c>
      <c r="DQ259" t="n">
        <v>27.5</v>
      </c>
      <c r="DR259" t="n">
        <v>55</v>
      </c>
      <c r="DS259" t="n">
        <v>0</v>
      </c>
      <c r="DT259" t="n">
        <v>1510</v>
      </c>
      <c r="DU259" t="n">
        <v>39.75</v>
      </c>
      <c r="DV259" t="inlineStr">
        <is>
          <t>flat</t>
        </is>
      </c>
      <c r="EF259" t="n">
        <v>91.8</v>
      </c>
      <c r="EG259" t="n">
        <v>55.7</v>
      </c>
      <c r="EH259" t="n">
        <v>74.3</v>
      </c>
      <c r="EI259" t="n">
        <v>1304.8</v>
      </c>
      <c r="EJ259" t="n">
        <v>806.9</v>
      </c>
      <c r="EK259" t="n">
        <v>498.6</v>
      </c>
      <c r="EL259" t="n">
        <v>34.7</v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n">
        <v>5.5</v>
      </c>
      <c r="F260" t="b">
        <v>1</v>
      </c>
      <c r="G260" t="b">
        <v>1</v>
      </c>
      <c r="H260" t="n">
        <v>28.9</v>
      </c>
      <c r="I260" t="inlineStr">
        <is>
          <t>a</t>
        </is>
      </c>
      <c r="K260" t="n">
        <v>100</v>
      </c>
      <c r="L260" t="inlineStr">
        <is>
          <t>p198869</t>
        </is>
      </c>
      <c r="M260" t="n">
        <v>10</v>
      </c>
      <c r="Q260" t="n">
        <v>699</v>
      </c>
      <c r="R260" t="n">
        <v>12</v>
      </c>
      <c r="S260" t="n">
        <v>9</v>
      </c>
      <c r="T260" t="n">
        <v>7.767</v>
      </c>
      <c r="U260" t="n">
        <v>58.2</v>
      </c>
      <c r="V260" t="n">
        <v>45</v>
      </c>
      <c r="W260" t="n">
        <v>5.794</v>
      </c>
      <c r="X260" t="n">
        <v>0</v>
      </c>
      <c r="Y260" t="n">
        <v>1</v>
      </c>
      <c r="Z260" t="n">
        <v>1</v>
      </c>
      <c r="AA260" t="n">
        <v>5</v>
      </c>
      <c r="AB260" t="n">
        <v>6</v>
      </c>
      <c r="AC260" t="n">
        <v>3</v>
      </c>
      <c r="AD260" t="n">
        <v>3</v>
      </c>
      <c r="AE260" t="n">
        <v>0</v>
      </c>
      <c r="AF260" t="n">
        <v>181</v>
      </c>
      <c r="AG260" t="n">
        <v>175</v>
      </c>
      <c r="AH260" t="n">
        <v>-6</v>
      </c>
      <c r="AI260" t="n">
        <v>45</v>
      </c>
      <c r="AJ260" t="n">
        <v>0.067</v>
      </c>
      <c r="AK260" t="n">
        <v>0.07099999999999999</v>
      </c>
      <c r="AL260" t="n">
        <v>53</v>
      </c>
      <c r="AM260" t="n">
        <v>6.824</v>
      </c>
      <c r="AN260" t="n">
        <v>1</v>
      </c>
      <c r="AO260" t="n">
        <v>2</v>
      </c>
      <c r="AP260" t="n">
        <v>0.111</v>
      </c>
      <c r="AQ260" t="n">
        <v>0.111</v>
      </c>
      <c r="AR260" t="n">
        <v>0.111</v>
      </c>
      <c r="AS260" t="n">
        <v>0.237</v>
      </c>
      <c r="AT260" t="n">
        <v>0.583</v>
      </c>
      <c r="AU260" t="n">
        <v>7</v>
      </c>
      <c r="AV260" t="n">
        <v>1</v>
      </c>
      <c r="AW260" t="n">
        <v>2.82</v>
      </c>
      <c r="AX260" t="n">
        <v>14</v>
      </c>
      <c r="AY260" t="n">
        <v>0.45</v>
      </c>
      <c r="AZ260" t="n">
        <v>0.283</v>
      </c>
      <c r="BA260" t="n">
        <v>0.366</v>
      </c>
      <c r="BB260" t="n">
        <v>0.283</v>
      </c>
      <c r="BC260" t="n">
        <v>0.058</v>
      </c>
      <c r="BD260" t="n">
        <v>0.036</v>
      </c>
      <c r="BE260" t="n">
        <v>0.047</v>
      </c>
      <c r="BF260" t="n">
        <v>0.3</v>
      </c>
      <c r="BG260" t="n">
        <v>0.039</v>
      </c>
      <c r="BH260" t="n">
        <v>0.997</v>
      </c>
      <c r="BI260" t="n">
        <v>3.43</v>
      </c>
      <c r="BJ260" t="n">
        <v>0.449</v>
      </c>
      <c r="BK260" t="n">
        <v>0.058</v>
      </c>
      <c r="BL260" t="n">
        <v>-0.366</v>
      </c>
      <c r="BM260" t="n">
        <v>-0.15</v>
      </c>
      <c r="BN260" t="n">
        <v>-0.3</v>
      </c>
      <c r="BO260" t="n">
        <v>0.167</v>
      </c>
      <c r="BP260" t="n">
        <v>5</v>
      </c>
      <c r="BQ260" t="n">
        <v>1</v>
      </c>
      <c r="BS260" t="n">
        <v>16</v>
      </c>
      <c r="BT260" t="n">
        <v>2.06</v>
      </c>
      <c r="BW260" t="n">
        <v>0.6899999999999999</v>
      </c>
      <c r="BX260" t="n">
        <v>1.558</v>
      </c>
      <c r="BY260" t="n">
        <v>1.124</v>
      </c>
      <c r="BZ260" t="n">
        <v>0.145</v>
      </c>
      <c r="CA260" t="n">
        <v>1.49</v>
      </c>
      <c r="CB260" t="n">
        <v>0.192</v>
      </c>
      <c r="CC260" t="n">
        <v>8</v>
      </c>
      <c r="CD260" t="n">
        <v>3</v>
      </c>
      <c r="CE260" t="n">
        <v>8</v>
      </c>
      <c r="CF260" t="n">
        <v>3</v>
      </c>
      <c r="CI260" t="n">
        <v>4.476</v>
      </c>
      <c r="CJ260" t="n">
        <v>3.179</v>
      </c>
      <c r="CK260" t="n">
        <v>38</v>
      </c>
      <c r="CL260" t="n">
        <v>28</v>
      </c>
      <c r="CM260" t="n">
        <v>15</v>
      </c>
      <c r="CN260" t="n">
        <v>9</v>
      </c>
      <c r="CO260" t="n">
        <v>9</v>
      </c>
      <c r="CP260" t="n">
        <v>25</v>
      </c>
      <c r="CQ260" t="n">
        <v>4</v>
      </c>
      <c r="CR260" t="n">
        <v>36</v>
      </c>
      <c r="CS260" t="n">
        <v>12</v>
      </c>
      <c r="CW260" t="n">
        <v>8.68</v>
      </c>
      <c r="CX260" t="n">
        <v>1.118</v>
      </c>
      <c r="CY260" t="n">
        <v>0</v>
      </c>
      <c r="DB260" t="n">
        <v>0</v>
      </c>
      <c r="DF260" t="n">
        <v>0</v>
      </c>
      <c r="DG260" t="n">
        <v>0</v>
      </c>
      <c r="DH260" t="n">
        <v>5</v>
      </c>
      <c r="DI260" t="n">
        <v>6</v>
      </c>
      <c r="DL260" t="n">
        <v>3</v>
      </c>
      <c r="DM260" t="n">
        <v>2</v>
      </c>
      <c r="DN260" t="n">
        <v>3</v>
      </c>
      <c r="DO260" t="n">
        <v>1.2</v>
      </c>
      <c r="DP260" t="n">
        <v>20.77</v>
      </c>
      <c r="DQ260" t="n">
        <v>13.02</v>
      </c>
      <c r="DR260" t="n">
        <v>26.04</v>
      </c>
      <c r="DS260" t="n">
        <v>-5.27</v>
      </c>
      <c r="DT260" t="n">
        <v>287</v>
      </c>
      <c r="DU260" t="n">
        <v>7.54</v>
      </c>
      <c r="DV260" t="inlineStr">
        <is>
          <t>fade (losing his place)</t>
        </is>
      </c>
      <c r="DW260" t="n">
        <v>86.29000000000001</v>
      </c>
      <c r="DX260" t="n">
        <v>89.42</v>
      </c>
      <c r="DY260" t="n">
        <v>20.17</v>
      </c>
      <c r="DZ260" t="n">
        <v>41</v>
      </c>
      <c r="EA260" t="n">
        <v>120</v>
      </c>
      <c r="EB260" t="n">
        <v>99</v>
      </c>
      <c r="EC260" t="n">
        <v>47.6</v>
      </c>
      <c r="ED260" t="n">
        <v>27.7</v>
      </c>
      <c r="EE260" t="n">
        <v>171</v>
      </c>
      <c r="EF260" t="n">
        <v>139.8</v>
      </c>
      <c r="EG260" t="n">
        <v>43.7</v>
      </c>
      <c r="EH260" t="n">
        <v>87.40000000000001</v>
      </c>
      <c r="EI260" t="n">
        <v>1907.4</v>
      </c>
      <c r="EJ260" t="n">
        <v>621.9</v>
      </c>
      <c r="EK260" t="n">
        <v>469</v>
      </c>
      <c r="EL260" t="n">
        <v>15.5</v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n">
        <v>5.5</v>
      </c>
      <c r="F261" t="b">
        <v>1</v>
      </c>
      <c r="G261" t="b">
        <v>1</v>
      </c>
      <c r="H261" t="n">
        <v>26.5</v>
      </c>
      <c r="I261" t="inlineStr">
        <is>
          <t>a</t>
        </is>
      </c>
      <c r="L261" t="inlineStr">
        <is>
          <t>p232787</t>
        </is>
      </c>
      <c r="M261" t="n">
        <v>519</v>
      </c>
      <c r="Q261" t="n">
        <v>1183</v>
      </c>
      <c r="R261" t="n">
        <v>16</v>
      </c>
      <c r="S261" t="n">
        <v>14</v>
      </c>
      <c r="T261" t="n">
        <v>13.144</v>
      </c>
      <c r="U261" t="n">
        <v>73.90000000000001</v>
      </c>
      <c r="V261" t="n">
        <v>44</v>
      </c>
      <c r="W261" t="n">
        <v>3.347</v>
      </c>
      <c r="X261" t="n">
        <v>1</v>
      </c>
      <c r="Y261" t="n">
        <v>1</v>
      </c>
      <c r="Z261" t="n">
        <v>1</v>
      </c>
      <c r="AA261" t="n">
        <v>2</v>
      </c>
      <c r="AB261" t="n">
        <v>23</v>
      </c>
      <c r="AC261" t="n">
        <v>3</v>
      </c>
      <c r="AD261" t="n">
        <v>3</v>
      </c>
      <c r="AE261" t="n">
        <v>0</v>
      </c>
      <c r="AF261" t="n">
        <v>211</v>
      </c>
      <c r="AG261" t="n">
        <v>205</v>
      </c>
      <c r="AH261" t="n">
        <v>-6</v>
      </c>
      <c r="AI261" t="n">
        <v>44</v>
      </c>
      <c r="AJ261" t="n">
        <v>0.068</v>
      </c>
      <c r="AK261" t="n">
        <v>0.073</v>
      </c>
      <c r="AL261" t="n">
        <v>124</v>
      </c>
      <c r="AM261" t="n">
        <v>9.433999999999999</v>
      </c>
      <c r="AN261" t="n">
        <v>2</v>
      </c>
      <c r="AO261" t="n">
        <v>4</v>
      </c>
      <c r="AP261" t="n">
        <v>0.143</v>
      </c>
      <c r="AQ261" t="n">
        <v>0.357</v>
      </c>
      <c r="AR261" t="n">
        <v>0.143</v>
      </c>
      <c r="AS261" t="n">
        <v>0.368</v>
      </c>
      <c r="AT261" t="n">
        <v>0.8120000000000001</v>
      </c>
      <c r="AU261" t="n">
        <v>12</v>
      </c>
      <c r="AV261" t="n">
        <v>0</v>
      </c>
      <c r="AW261" t="n">
        <v>2.24</v>
      </c>
      <c r="AX261" t="n">
        <v>9</v>
      </c>
      <c r="AY261" t="n">
        <v>1.23</v>
      </c>
      <c r="AZ261" t="n">
        <v>1.512</v>
      </c>
      <c r="BA261" t="n">
        <v>1.371</v>
      </c>
      <c r="BB261" t="n">
        <v>1.512</v>
      </c>
      <c r="BC261" t="n">
        <v>0.094</v>
      </c>
      <c r="BD261" t="n">
        <v>0.115</v>
      </c>
      <c r="BE261" t="n">
        <v>0.104</v>
      </c>
      <c r="BF261" t="n">
        <v>1.1</v>
      </c>
      <c r="BG261" t="n">
        <v>0.08400000000000001</v>
      </c>
      <c r="BH261" t="n">
        <v>0.982</v>
      </c>
      <c r="BI261" t="n">
        <v>7.79</v>
      </c>
      <c r="BJ261" t="n">
        <v>1.207</v>
      </c>
      <c r="BK261" t="n">
        <v>0.092</v>
      </c>
      <c r="BL261" t="n">
        <v>-0.371</v>
      </c>
      <c r="BM261" t="n">
        <v>-0.13</v>
      </c>
      <c r="BN261" t="n">
        <v>-0.1</v>
      </c>
      <c r="BO261" t="n">
        <v>-0.282</v>
      </c>
      <c r="BP261" t="n">
        <v>11</v>
      </c>
      <c r="BQ261" t="n">
        <v>4</v>
      </c>
      <c r="BR261" t="n">
        <v>2</v>
      </c>
      <c r="BS261" t="n">
        <v>35</v>
      </c>
      <c r="BT261" t="n">
        <v>2.663</v>
      </c>
      <c r="BW261" t="n">
        <v>0.7</v>
      </c>
      <c r="BX261" t="n">
        <v>0.855</v>
      </c>
      <c r="BY261" t="n">
        <v>0.778</v>
      </c>
      <c r="BZ261" t="n">
        <v>0.059</v>
      </c>
      <c r="CA261" t="n">
        <v>2.149</v>
      </c>
      <c r="CB261" t="n">
        <v>0.163</v>
      </c>
      <c r="CC261" t="n">
        <v>13</v>
      </c>
      <c r="CD261" t="n">
        <v>1</v>
      </c>
      <c r="CE261" t="n">
        <v>13</v>
      </c>
      <c r="CF261" t="n">
        <v>6</v>
      </c>
      <c r="CH261" t="n">
        <v>0</v>
      </c>
      <c r="CI261" t="n">
        <v>4.173</v>
      </c>
      <c r="CJ261" t="n">
        <v>2.554</v>
      </c>
      <c r="CK261" t="n">
        <v>29</v>
      </c>
      <c r="CL261" t="n">
        <v>73</v>
      </c>
      <c r="CM261" t="n">
        <v>22</v>
      </c>
      <c r="CN261" t="n">
        <v>16</v>
      </c>
      <c r="CO261" t="n">
        <v>18</v>
      </c>
      <c r="CP261" t="n">
        <v>6</v>
      </c>
      <c r="CQ261" t="n">
        <v>4</v>
      </c>
      <c r="CR261" t="n">
        <v>66</v>
      </c>
      <c r="CS261" t="n">
        <v>9</v>
      </c>
      <c r="CV261" t="n">
        <v>1</v>
      </c>
      <c r="CW261" t="n">
        <v>19.03</v>
      </c>
      <c r="CX261" t="n">
        <v>1.448</v>
      </c>
      <c r="CY261" t="n">
        <v>0</v>
      </c>
      <c r="DB261" t="n">
        <v>0</v>
      </c>
      <c r="DF261" t="n">
        <v>2</v>
      </c>
      <c r="DG261" t="n">
        <v>0</v>
      </c>
      <c r="DH261" t="n">
        <v>26</v>
      </c>
      <c r="DI261" t="n">
        <v>22</v>
      </c>
      <c r="DL261" t="n">
        <v>13</v>
      </c>
      <c r="DM261" t="n">
        <v>13</v>
      </c>
      <c r="DN261" t="n">
        <v>1</v>
      </c>
      <c r="DO261" t="n">
        <v>0.3</v>
      </c>
      <c r="DP261" t="n">
        <v>88.93000000000001</v>
      </c>
      <c r="DQ261" t="n">
        <v>46.96</v>
      </c>
      <c r="DR261" t="n">
        <v>93.92</v>
      </c>
      <c r="DS261" t="n">
        <v>-4.99</v>
      </c>
      <c r="DT261" t="n">
        <v>1858</v>
      </c>
      <c r="DU261" t="n">
        <v>48.9</v>
      </c>
      <c r="DV261" t="inlineStr">
        <is>
          <t>fade (losing his place)</t>
        </is>
      </c>
      <c r="DW261" t="n">
        <v>65.33</v>
      </c>
      <c r="DY261" t="n">
        <v>12.22</v>
      </c>
      <c r="DZ261" t="n">
        <v>52</v>
      </c>
      <c r="EA261" t="n">
        <v>76</v>
      </c>
      <c r="EB261" t="n">
        <v>3</v>
      </c>
      <c r="EC261" t="n">
        <v>1.4</v>
      </c>
      <c r="ED261" t="n">
        <v>0</v>
      </c>
      <c r="EE261" t="n">
        <v>174</v>
      </c>
      <c r="EF261" t="n">
        <v>107.5</v>
      </c>
      <c r="EG261" t="n">
        <v>33.8</v>
      </c>
      <c r="EH261" t="n">
        <v>91</v>
      </c>
      <c r="EI261" t="n">
        <v>862.7</v>
      </c>
      <c r="EJ261" t="n">
        <v>1521.4</v>
      </c>
      <c r="EK261" t="n">
        <v>550.5</v>
      </c>
      <c r="EL261" t="n">
        <v>26.9</v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n">
        <v>5.5</v>
      </c>
      <c r="F262" t="b">
        <v>1</v>
      </c>
      <c r="G262" t="b">
        <v>1</v>
      </c>
      <c r="H262" t="n">
        <v>25.1</v>
      </c>
      <c r="I262" t="inlineStr">
        <is>
          <t>a</t>
        </is>
      </c>
      <c r="L262" t="inlineStr">
        <is>
          <t>p485337</t>
        </is>
      </c>
      <c r="M262" t="n">
        <v>42</v>
      </c>
      <c r="Q262" t="n">
        <v>909</v>
      </c>
      <c r="R262" t="n">
        <v>21</v>
      </c>
      <c r="S262" t="n">
        <v>9</v>
      </c>
      <c r="T262" t="n">
        <v>10.1</v>
      </c>
      <c r="U262" t="n">
        <v>43.3</v>
      </c>
      <c r="V262" t="n">
        <v>44</v>
      </c>
      <c r="W262" t="n">
        <v>4.356</v>
      </c>
      <c r="X262" t="n">
        <v>1</v>
      </c>
      <c r="Y262" t="n">
        <v>3</v>
      </c>
      <c r="Z262" t="n">
        <v>2</v>
      </c>
      <c r="AA262" t="n">
        <v>2</v>
      </c>
      <c r="AB262" t="n">
        <v>15</v>
      </c>
      <c r="AC262" t="n">
        <v>0</v>
      </c>
      <c r="AD262" t="n">
        <v>0</v>
      </c>
      <c r="AE262" t="n">
        <v>0</v>
      </c>
      <c r="AF262" t="n">
        <v>143</v>
      </c>
      <c r="AG262" t="n">
        <v>141</v>
      </c>
      <c r="AH262" t="n">
        <v>-2</v>
      </c>
      <c r="AI262" t="n">
        <v>44</v>
      </c>
      <c r="AJ262" t="n">
        <v>0</v>
      </c>
      <c r="AK262" t="n">
        <v>0</v>
      </c>
      <c r="AL262" t="n">
        <v>83</v>
      </c>
      <c r="AM262" t="n">
        <v>8.218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0.237</v>
      </c>
      <c r="AT262" t="n">
        <v>0.333</v>
      </c>
      <c r="AU262" t="n">
        <v>16</v>
      </c>
      <c r="AV262" t="n">
        <v>0</v>
      </c>
      <c r="AW262" t="n">
        <v>1.73</v>
      </c>
      <c r="AX262" t="n">
        <v>8</v>
      </c>
      <c r="AY262" t="n">
        <v>1.56</v>
      </c>
      <c r="AZ262" t="n">
        <v>1.854</v>
      </c>
      <c r="BA262" t="n">
        <v>1.707</v>
      </c>
      <c r="BB262" t="n">
        <v>1.854</v>
      </c>
      <c r="BC262" t="n">
        <v>0.154</v>
      </c>
      <c r="BD262" t="n">
        <v>0.184</v>
      </c>
      <c r="BE262" t="n">
        <v>0.169</v>
      </c>
      <c r="BF262" t="n">
        <v>1.6</v>
      </c>
      <c r="BG262" t="n">
        <v>0.158</v>
      </c>
      <c r="BH262" t="n">
        <v>1.004</v>
      </c>
      <c r="BI262" t="n">
        <v>1.56</v>
      </c>
      <c r="BJ262" t="n">
        <v>1.567</v>
      </c>
      <c r="BK262" t="n">
        <v>0.155</v>
      </c>
      <c r="BL262" t="n">
        <v>-0.707</v>
      </c>
      <c r="BM262" t="n">
        <v>0.04</v>
      </c>
      <c r="BN262" t="n">
        <v>-0.6</v>
      </c>
      <c r="BO262" t="n">
        <v>-0.294</v>
      </c>
      <c r="BP262" t="n">
        <v>11</v>
      </c>
      <c r="BQ262" t="n">
        <v>6</v>
      </c>
      <c r="BR262" t="n">
        <v>3</v>
      </c>
      <c r="BS262" t="n">
        <v>40</v>
      </c>
      <c r="BT262" t="n">
        <v>3.96</v>
      </c>
      <c r="BW262" t="n">
        <v>0.85</v>
      </c>
      <c r="BX262" t="n">
        <v>1.238</v>
      </c>
      <c r="BY262" t="n">
        <v>1.044</v>
      </c>
      <c r="BZ262" t="n">
        <v>0.103</v>
      </c>
      <c r="CA262" t="n">
        <v>2.751</v>
      </c>
      <c r="CB262" t="n">
        <v>0.272</v>
      </c>
      <c r="CC262" t="n">
        <v>5</v>
      </c>
      <c r="CD262" t="n">
        <v>2</v>
      </c>
      <c r="CE262" t="n">
        <v>5</v>
      </c>
      <c r="CH262" t="n">
        <v>0</v>
      </c>
      <c r="CI262" t="n">
        <v>3.779</v>
      </c>
      <c r="CJ262" t="n">
        <v>1.303</v>
      </c>
      <c r="CK262" t="n">
        <v>16</v>
      </c>
      <c r="CL262" t="n">
        <v>43</v>
      </c>
      <c r="CM262" t="n">
        <v>24</v>
      </c>
      <c r="CN262" t="n">
        <v>13</v>
      </c>
      <c r="CO262" t="n">
        <v>5</v>
      </c>
      <c r="CP262" t="n">
        <v>10</v>
      </c>
      <c r="CQ262" t="n">
        <v>3</v>
      </c>
      <c r="CR262" t="n">
        <v>69</v>
      </c>
      <c r="CS262" t="n">
        <v>11</v>
      </c>
      <c r="CT262" t="n">
        <v>0.3</v>
      </c>
      <c r="CU262" t="n">
        <v>1</v>
      </c>
      <c r="CW262" t="n">
        <v>14.48</v>
      </c>
      <c r="CX262" t="n">
        <v>1.434</v>
      </c>
      <c r="CY262" t="n">
        <v>0</v>
      </c>
      <c r="DB262" t="n">
        <v>0</v>
      </c>
      <c r="DF262" t="n">
        <v>0</v>
      </c>
      <c r="DG262" t="n">
        <v>0</v>
      </c>
      <c r="DH262" t="n">
        <v>15</v>
      </c>
      <c r="DI262" t="n">
        <v>20</v>
      </c>
      <c r="DL262" t="n">
        <v>14</v>
      </c>
      <c r="DM262" t="n">
        <v>28</v>
      </c>
      <c r="DN262" t="n">
        <v>1</v>
      </c>
      <c r="DO262" t="n">
        <v>0</v>
      </c>
      <c r="DP262" t="n">
        <v>48.9</v>
      </c>
      <c r="DQ262" t="n">
        <v>24.45</v>
      </c>
      <c r="DR262" t="n">
        <v>48.9</v>
      </c>
      <c r="DS262" t="n">
        <v>0</v>
      </c>
      <c r="DT262" t="n">
        <v>832</v>
      </c>
      <c r="DU262" t="n">
        <v>21.89</v>
      </c>
      <c r="DV262" t="inlineStr">
        <is>
          <t>flat</t>
        </is>
      </c>
      <c r="DW262" t="n">
        <v>90.67</v>
      </c>
      <c r="DZ262" t="n">
        <v>90.67</v>
      </c>
      <c r="EA262" t="n">
        <v>90.67</v>
      </c>
      <c r="EB262" t="n">
        <v>1</v>
      </c>
      <c r="EC262" t="n">
        <v>0.5</v>
      </c>
      <c r="ED262" t="n">
        <v>0</v>
      </c>
      <c r="EE262" t="n">
        <v>173</v>
      </c>
      <c r="EF262" t="n">
        <v>82.59999999999999</v>
      </c>
      <c r="EG262" t="n">
        <v>22.7</v>
      </c>
      <c r="EH262" t="n">
        <v>181.8</v>
      </c>
      <c r="EI262" t="n">
        <v>532.5</v>
      </c>
      <c r="EJ262" t="n">
        <v>870.8</v>
      </c>
      <c r="EK262" t="n">
        <v>330.4</v>
      </c>
      <c r="EL262" t="n">
        <v>20.7</v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n">
        <v>6.5</v>
      </c>
      <c r="F263" t="b">
        <v>1</v>
      </c>
      <c r="G263" t="b">
        <v>1</v>
      </c>
      <c r="H263" t="n">
        <v>22.4</v>
      </c>
      <c r="I263" t="inlineStr">
        <is>
          <t>a</t>
        </is>
      </c>
      <c r="L263" t="inlineStr">
        <is>
          <t>p510281</t>
        </is>
      </c>
      <c r="M263" t="n">
        <v>403</v>
      </c>
      <c r="Q263" t="n">
        <v>817</v>
      </c>
      <c r="R263" t="n">
        <v>24</v>
      </c>
      <c r="S263" t="n">
        <v>7</v>
      </c>
      <c r="T263" t="n">
        <v>9.077999999999999</v>
      </c>
      <c r="U263" t="n">
        <v>34</v>
      </c>
      <c r="V263" t="n">
        <v>43</v>
      </c>
      <c r="W263" t="n">
        <v>4.737</v>
      </c>
      <c r="X263" t="n">
        <v>1</v>
      </c>
      <c r="Y263" t="n">
        <v>2</v>
      </c>
      <c r="Z263" t="n">
        <v>1</v>
      </c>
      <c r="AA263" t="n">
        <v>3</v>
      </c>
      <c r="AB263" t="n">
        <v>7</v>
      </c>
      <c r="AC263" t="n">
        <v>1</v>
      </c>
      <c r="AD263" t="n">
        <v>1</v>
      </c>
      <c r="AE263" t="n">
        <v>0</v>
      </c>
      <c r="AF263" t="n">
        <v>140</v>
      </c>
      <c r="AG263" t="n">
        <v>137</v>
      </c>
      <c r="AH263" t="n">
        <v>-3</v>
      </c>
      <c r="AI263" t="n">
        <v>43</v>
      </c>
      <c r="AJ263" t="n">
        <v>0.023</v>
      </c>
      <c r="AK263" t="n">
        <v>0.024</v>
      </c>
      <c r="AL263" t="n">
        <v>59</v>
      </c>
      <c r="AM263" t="n">
        <v>6.499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0.184</v>
      </c>
      <c r="AT263" t="n">
        <v>0.25</v>
      </c>
      <c r="AU263" t="n">
        <v>20</v>
      </c>
      <c r="AV263" t="n">
        <v>0</v>
      </c>
      <c r="AW263" t="n">
        <v>1.79</v>
      </c>
      <c r="AX263" t="n">
        <v>9</v>
      </c>
      <c r="AY263" t="n">
        <v>2.5</v>
      </c>
      <c r="AZ263" t="n">
        <v>3.27</v>
      </c>
      <c r="BA263" t="n">
        <v>2.885</v>
      </c>
      <c r="BB263" t="n">
        <v>3.27</v>
      </c>
      <c r="BC263" t="n">
        <v>0.275</v>
      </c>
      <c r="BD263" t="n">
        <v>0.36</v>
      </c>
      <c r="BE263" t="n">
        <v>0.318</v>
      </c>
      <c r="BF263" t="n">
        <v>1.6</v>
      </c>
      <c r="BG263" t="n">
        <v>0.176</v>
      </c>
      <c r="BH263" t="n">
        <v>0.96</v>
      </c>
      <c r="BI263" t="n">
        <v>7.52</v>
      </c>
      <c r="BJ263" t="n">
        <v>2.4</v>
      </c>
      <c r="BK263" t="n">
        <v>0.264</v>
      </c>
      <c r="BL263" t="n">
        <v>-1.885</v>
      </c>
      <c r="BM263" t="n">
        <v>-0.9</v>
      </c>
      <c r="BN263" t="n">
        <v>-0.6</v>
      </c>
      <c r="BO263" t="n">
        <v>-0.77</v>
      </c>
      <c r="BP263" t="n">
        <v>20</v>
      </c>
      <c r="BQ263" t="n">
        <v>11</v>
      </c>
      <c r="BR263" t="n">
        <v>6</v>
      </c>
      <c r="BS263" t="n">
        <v>79</v>
      </c>
      <c r="BT263" t="n">
        <v>8.702999999999999</v>
      </c>
      <c r="BW263" t="n">
        <v>1.59</v>
      </c>
      <c r="BX263" t="n">
        <v>0.931</v>
      </c>
      <c r="BY263" t="n">
        <v>1.261</v>
      </c>
      <c r="BZ263" t="n">
        <v>0.139</v>
      </c>
      <c r="CA263" t="n">
        <v>4.145</v>
      </c>
      <c r="CB263" t="n">
        <v>0.457</v>
      </c>
      <c r="CC263" t="n">
        <v>9</v>
      </c>
      <c r="CD263" t="n">
        <v>0</v>
      </c>
      <c r="CE263" t="n">
        <v>9</v>
      </c>
      <c r="CF263" t="n">
        <v>7</v>
      </c>
      <c r="CG263" t="n">
        <v>2</v>
      </c>
      <c r="CH263" t="n">
        <v>4</v>
      </c>
      <c r="CI263" t="n">
        <v>5.624</v>
      </c>
      <c r="CJ263" t="n">
        <v>2.62</v>
      </c>
      <c r="CK263" t="n">
        <v>11</v>
      </c>
      <c r="CL263" t="n">
        <v>39</v>
      </c>
      <c r="CM263" t="n">
        <v>9</v>
      </c>
      <c r="CN263" t="n">
        <v>5</v>
      </c>
      <c r="CO263" t="n">
        <v>5</v>
      </c>
      <c r="CP263" t="n">
        <v>6</v>
      </c>
      <c r="CQ263" t="n">
        <v>0</v>
      </c>
      <c r="CR263" t="n">
        <v>41</v>
      </c>
      <c r="CS263" t="n">
        <v>0</v>
      </c>
      <c r="CT263" t="n">
        <v>0.4</v>
      </c>
      <c r="CW263" t="n">
        <v>11.24</v>
      </c>
      <c r="CX263" t="n">
        <v>1.238</v>
      </c>
      <c r="CY263" t="n">
        <v>0</v>
      </c>
      <c r="DB263" t="n">
        <v>0</v>
      </c>
      <c r="DF263" t="n">
        <v>2</v>
      </c>
      <c r="DG263" t="n">
        <v>0</v>
      </c>
      <c r="DH263" t="n">
        <v>9</v>
      </c>
      <c r="DI263" t="n">
        <v>15</v>
      </c>
      <c r="DJ263" t="n">
        <v>1</v>
      </c>
      <c r="DL263" t="n">
        <v>17</v>
      </c>
      <c r="DM263" t="n">
        <v>9</v>
      </c>
      <c r="DN263" t="n">
        <v>4</v>
      </c>
      <c r="DO263" t="n">
        <v>0.1</v>
      </c>
      <c r="DP263" t="n">
        <v>37.88</v>
      </c>
      <c r="DQ263" t="n">
        <v>19.23</v>
      </c>
      <c r="DR263" t="n">
        <v>38.46</v>
      </c>
      <c r="DS263" t="n">
        <v>-0.58</v>
      </c>
      <c r="DT263" t="n">
        <v>419</v>
      </c>
      <c r="DU263" t="n">
        <v>11.03</v>
      </c>
      <c r="DV263" t="inlineStr">
        <is>
          <t>flat</t>
        </is>
      </c>
      <c r="DW263" t="n">
        <v>77.83</v>
      </c>
      <c r="DX263" t="n">
        <v>86.5</v>
      </c>
      <c r="DY263" t="n">
        <v>23.94</v>
      </c>
      <c r="DZ263" t="n">
        <v>34.29</v>
      </c>
      <c r="EA263" t="n">
        <v>119.2</v>
      </c>
      <c r="EB263" t="n">
        <v>37</v>
      </c>
      <c r="EC263" t="n">
        <v>17.8</v>
      </c>
      <c r="ED263" t="n">
        <v>21.3</v>
      </c>
      <c r="EE263" t="n">
        <v>50</v>
      </c>
      <c r="EF263" t="n">
        <v>40.8</v>
      </c>
      <c r="EG263" t="n">
        <v>10.3</v>
      </c>
      <c r="EH263" t="n">
        <v>90.8</v>
      </c>
      <c r="EI263" t="n">
        <v>283.2</v>
      </c>
      <c r="EJ263" t="n">
        <v>648.1</v>
      </c>
      <c r="EK263" t="n">
        <v>197.1</v>
      </c>
      <c r="EL263" t="n">
        <v>19</v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n">
        <v>6</v>
      </c>
      <c r="F264" t="b">
        <v>1</v>
      </c>
      <c r="G264" t="b">
        <v>1</v>
      </c>
      <c r="H264" t="n">
        <v>18</v>
      </c>
      <c r="I264" t="inlineStr">
        <is>
          <t>a</t>
        </is>
      </c>
      <c r="L264" t="inlineStr">
        <is>
          <t>p611922</t>
        </is>
      </c>
      <c r="M264" t="n">
        <v>369</v>
      </c>
      <c r="Q264" t="n">
        <v>547</v>
      </c>
      <c r="R264" t="n">
        <v>19</v>
      </c>
      <c r="S264" t="n">
        <v>5</v>
      </c>
      <c r="T264" t="n">
        <v>6.078</v>
      </c>
      <c r="U264" t="n">
        <v>28.8</v>
      </c>
      <c r="V264" t="n">
        <v>43</v>
      </c>
      <c r="W264" t="n">
        <v>7.075</v>
      </c>
      <c r="X264" t="n">
        <v>2</v>
      </c>
      <c r="Y264" t="n">
        <v>1</v>
      </c>
      <c r="Z264" t="n">
        <v>1</v>
      </c>
      <c r="AA264" t="n">
        <v>2</v>
      </c>
      <c r="AB264" t="n">
        <v>12</v>
      </c>
      <c r="AC264" t="n">
        <v>4</v>
      </c>
      <c r="AD264" t="n">
        <v>4</v>
      </c>
      <c r="AE264" t="n">
        <v>0</v>
      </c>
      <c r="AF264" t="n">
        <v>188</v>
      </c>
      <c r="AG264" t="n">
        <v>186</v>
      </c>
      <c r="AH264" t="n">
        <v>-2</v>
      </c>
      <c r="AI264" t="n">
        <v>43</v>
      </c>
      <c r="AJ264" t="n">
        <v>0.093</v>
      </c>
      <c r="AK264" t="n">
        <v>0.103</v>
      </c>
      <c r="AL264" t="n">
        <v>30</v>
      </c>
      <c r="AM264" t="n">
        <v>4.936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0.132</v>
      </c>
      <c r="AT264" t="n">
        <v>0.263</v>
      </c>
      <c r="AU264" t="n">
        <v>15</v>
      </c>
      <c r="AV264" t="n">
        <v>1</v>
      </c>
      <c r="AW264" t="n">
        <v>2.17</v>
      </c>
      <c r="AX264" t="n">
        <v>11</v>
      </c>
      <c r="AY264" t="n">
        <v>1.34</v>
      </c>
      <c r="AZ264" t="n">
        <v>1.221</v>
      </c>
      <c r="BA264" t="n">
        <v>1.281</v>
      </c>
      <c r="BB264" t="n">
        <v>1.221</v>
      </c>
      <c r="BC264" t="n">
        <v>0.22</v>
      </c>
      <c r="BD264" t="n">
        <v>0.201</v>
      </c>
      <c r="BE264" t="n">
        <v>0.211</v>
      </c>
      <c r="BF264" t="n">
        <v>1.9</v>
      </c>
      <c r="BG264" t="n">
        <v>0.313</v>
      </c>
      <c r="BH264" t="n">
        <v>1.06</v>
      </c>
      <c r="BI264" t="n">
        <v>1.34</v>
      </c>
      <c r="BJ264" t="n">
        <v>1.42</v>
      </c>
      <c r="BK264" t="n">
        <v>0.234</v>
      </c>
      <c r="BL264" t="n">
        <v>0.719</v>
      </c>
      <c r="BM264" t="n">
        <v>0.5600000000000001</v>
      </c>
      <c r="BN264" t="n">
        <v>0.1</v>
      </c>
      <c r="BO264" t="n">
        <v>0.119</v>
      </c>
      <c r="BP264" t="n">
        <v>16</v>
      </c>
      <c r="BQ264" t="n">
        <v>6</v>
      </c>
      <c r="BS264" t="n">
        <v>53</v>
      </c>
      <c r="BT264" t="n">
        <v>8.720000000000001</v>
      </c>
      <c r="BW264" t="n">
        <v>2.01</v>
      </c>
      <c r="BX264" t="n">
        <v>2.126</v>
      </c>
      <c r="BY264" t="n">
        <v>2.068</v>
      </c>
      <c r="BZ264" t="n">
        <v>0.34</v>
      </c>
      <c r="CA264" t="n">
        <v>3.349</v>
      </c>
      <c r="CB264" t="n">
        <v>0.551</v>
      </c>
      <c r="CC264" t="n">
        <v>16</v>
      </c>
      <c r="CD264" t="n">
        <v>3</v>
      </c>
      <c r="CE264" t="n">
        <v>16</v>
      </c>
      <c r="CF264" t="n">
        <v>7</v>
      </c>
      <c r="CI264" t="n">
        <v>4.779</v>
      </c>
      <c r="CJ264" t="n">
        <v>1.654</v>
      </c>
      <c r="CK264" t="n">
        <v>7</v>
      </c>
      <c r="CL264" t="n">
        <v>19</v>
      </c>
      <c r="CM264" t="n">
        <v>4</v>
      </c>
      <c r="CN264" t="n">
        <v>2</v>
      </c>
      <c r="CO264" t="n">
        <v>3</v>
      </c>
      <c r="CP264" t="n">
        <v>3</v>
      </c>
      <c r="CQ264" t="n">
        <v>1</v>
      </c>
      <c r="CR264" t="n">
        <v>46</v>
      </c>
      <c r="CT264" t="n">
        <v>0.5</v>
      </c>
      <c r="CW264" t="n">
        <v>8.92</v>
      </c>
      <c r="CX264" t="n">
        <v>1.468</v>
      </c>
      <c r="CY264" t="n">
        <v>0</v>
      </c>
      <c r="DB264" t="n">
        <v>0</v>
      </c>
      <c r="DF264" t="n">
        <v>0</v>
      </c>
      <c r="DG264" t="n">
        <v>0</v>
      </c>
      <c r="DH264" t="n">
        <v>4</v>
      </c>
      <c r="DI264" t="n">
        <v>12</v>
      </c>
      <c r="DL264" t="n">
        <v>30</v>
      </c>
      <c r="DM264" t="n">
        <v>12</v>
      </c>
      <c r="DO264" t="n">
        <v>1.4</v>
      </c>
      <c r="DP264" t="n">
        <v>123.4</v>
      </c>
      <c r="DQ264" t="n">
        <v>61.99</v>
      </c>
      <c r="DR264" t="n">
        <v>123.98</v>
      </c>
      <c r="DS264" t="n">
        <v>-0.58</v>
      </c>
      <c r="DT264" t="n">
        <v>2269</v>
      </c>
      <c r="DU264" t="n">
        <v>59.7</v>
      </c>
      <c r="DV264" t="inlineStr">
        <is>
          <t>flat</t>
        </is>
      </c>
      <c r="DW264" t="n">
        <v>78.09999999999999</v>
      </c>
      <c r="DX264" t="n">
        <v>80.20999999999999</v>
      </c>
      <c r="DY264" t="n">
        <v>23.8</v>
      </c>
      <c r="DZ264" t="n">
        <v>11</v>
      </c>
      <c r="EA264" t="n">
        <v>119.33</v>
      </c>
      <c r="EB264" t="n">
        <v>72</v>
      </c>
      <c r="EC264" t="n">
        <v>34.6</v>
      </c>
      <c r="ED264" t="n">
        <v>4</v>
      </c>
      <c r="EE264" t="n">
        <v>99</v>
      </c>
      <c r="EF264" t="n">
        <v>34.2</v>
      </c>
      <c r="EG264" t="n">
        <v>10.3</v>
      </c>
      <c r="EH264" t="n">
        <v>34.2</v>
      </c>
      <c r="EI264" t="n">
        <v>427.1</v>
      </c>
      <c r="EJ264" t="n">
        <v>264.5</v>
      </c>
      <c r="EK264" t="n">
        <v>163.3</v>
      </c>
      <c r="EL264" t="n">
        <v>12.7</v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n">
        <v>5.5</v>
      </c>
      <c r="F265" t="b">
        <v>1</v>
      </c>
      <c r="G265" t="b">
        <v>1</v>
      </c>
      <c r="H265" t="n">
        <v>29</v>
      </c>
      <c r="I265" t="inlineStr">
        <is>
          <t>a</t>
        </is>
      </c>
      <c r="L265" t="inlineStr">
        <is>
          <t>p210156</t>
        </is>
      </c>
      <c r="M265" t="n">
        <v>492</v>
      </c>
      <c r="Q265" t="n">
        <v>480</v>
      </c>
      <c r="R265" t="n">
        <v>17</v>
      </c>
      <c r="S265" t="n">
        <v>3</v>
      </c>
      <c r="T265" t="n">
        <v>5.333</v>
      </c>
      <c r="U265" t="n">
        <v>28.2</v>
      </c>
      <c r="V265" t="n">
        <v>43</v>
      </c>
      <c r="W265" t="n">
        <v>8.061999999999999</v>
      </c>
      <c r="X265" t="n">
        <v>4</v>
      </c>
      <c r="Y265" t="n">
        <v>2</v>
      </c>
      <c r="Z265" t="n">
        <v>1</v>
      </c>
      <c r="AA265" t="n">
        <v>1</v>
      </c>
      <c r="AB265" t="n">
        <v>4</v>
      </c>
      <c r="AC265" t="n">
        <v>4</v>
      </c>
      <c r="AD265" t="n">
        <v>4</v>
      </c>
      <c r="AE265" t="n">
        <v>0</v>
      </c>
      <c r="AF265" t="n">
        <v>170</v>
      </c>
      <c r="AG265" t="n">
        <v>169</v>
      </c>
      <c r="AH265" t="n">
        <v>-1</v>
      </c>
      <c r="AI265" t="n">
        <v>43</v>
      </c>
      <c r="AJ265" t="n">
        <v>0.093</v>
      </c>
      <c r="AK265" t="n">
        <v>0.103</v>
      </c>
      <c r="AL265" t="n">
        <v>26</v>
      </c>
      <c r="AM265" t="n">
        <v>4.875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0.079</v>
      </c>
      <c r="AT265" t="n">
        <v>0.118</v>
      </c>
      <c r="AU265" t="n">
        <v>13</v>
      </c>
      <c r="AV265" t="n">
        <v>1</v>
      </c>
      <c r="AW265" t="n">
        <v>2.8</v>
      </c>
      <c r="AX265" t="n">
        <v>16</v>
      </c>
      <c r="AY265" t="n">
        <v>3.68</v>
      </c>
      <c r="AZ265" t="n">
        <v>4.347</v>
      </c>
      <c r="BA265" t="n">
        <v>4.013</v>
      </c>
      <c r="BB265" t="n">
        <v>4.347</v>
      </c>
      <c r="BC265" t="n">
        <v>0.6899999999999999</v>
      </c>
      <c r="BD265" t="n">
        <v>0.8149999999999999</v>
      </c>
      <c r="BE265" t="n">
        <v>0.753</v>
      </c>
      <c r="BF265" t="n">
        <v>3.6</v>
      </c>
      <c r="BG265" t="n">
        <v>0.675</v>
      </c>
      <c r="BH265" t="n">
        <v>0.869</v>
      </c>
      <c r="BI265" t="n">
        <v>17.54</v>
      </c>
      <c r="BJ265" t="n">
        <v>3.199</v>
      </c>
      <c r="BK265" t="n">
        <v>0.6</v>
      </c>
      <c r="BL265" t="n">
        <v>-0.013</v>
      </c>
      <c r="BM265" t="n">
        <v>-0.08</v>
      </c>
      <c r="BN265" t="n">
        <v>0.4</v>
      </c>
      <c r="BO265" t="n">
        <v>-0.667</v>
      </c>
      <c r="BP265" t="n">
        <v>15</v>
      </c>
      <c r="BQ265" t="n">
        <v>8</v>
      </c>
      <c r="BR265" t="n">
        <v>3</v>
      </c>
      <c r="BS265" t="n">
        <v>25</v>
      </c>
      <c r="BT265" t="n">
        <v>4.688</v>
      </c>
      <c r="BV265" t="n">
        <v>1</v>
      </c>
      <c r="BW265" t="n">
        <v>0.77</v>
      </c>
      <c r="BX265" t="n">
        <v>1.32</v>
      </c>
      <c r="BY265" t="n">
        <v>1.045</v>
      </c>
      <c r="BZ265" t="n">
        <v>0.196</v>
      </c>
      <c r="CA265" t="n">
        <v>5.058</v>
      </c>
      <c r="CB265" t="n">
        <v>0.948</v>
      </c>
      <c r="CC265" t="n">
        <v>6</v>
      </c>
      <c r="CD265" t="n">
        <v>2</v>
      </c>
      <c r="CE265" t="n">
        <v>6</v>
      </c>
      <c r="CG265" t="n">
        <v>1</v>
      </c>
      <c r="CI265" t="n">
        <v>5.522</v>
      </c>
      <c r="CJ265" t="n">
        <v>1.534</v>
      </c>
      <c r="CK265" t="n">
        <v>6</v>
      </c>
      <c r="CL265" t="n">
        <v>18</v>
      </c>
      <c r="CM265" t="n">
        <v>2</v>
      </c>
      <c r="CN265" t="n">
        <v>1</v>
      </c>
      <c r="CO265" t="n">
        <v>1</v>
      </c>
      <c r="CP265" t="n">
        <v>4</v>
      </c>
      <c r="CQ265" t="n">
        <v>1</v>
      </c>
      <c r="CR265" t="n">
        <v>20</v>
      </c>
      <c r="CS265" t="n">
        <v>9</v>
      </c>
      <c r="CW265" t="n">
        <v>10.35</v>
      </c>
      <c r="CX265" t="n">
        <v>1.941</v>
      </c>
      <c r="CY265" t="n">
        <v>0</v>
      </c>
      <c r="DB265" t="n">
        <v>0</v>
      </c>
      <c r="DF265" t="n">
        <v>2</v>
      </c>
      <c r="DG265" t="n">
        <v>0</v>
      </c>
      <c r="DH265" t="n">
        <v>10</v>
      </c>
      <c r="DI265" t="n">
        <v>7</v>
      </c>
      <c r="DJ265" t="n">
        <v>1</v>
      </c>
      <c r="DL265" t="n">
        <v>2</v>
      </c>
      <c r="DM265" t="n">
        <v>5</v>
      </c>
      <c r="DN265" t="n">
        <v>6</v>
      </c>
      <c r="DO265" t="n">
        <v>0.4</v>
      </c>
      <c r="DP265" t="n">
        <v>17.78</v>
      </c>
      <c r="DQ265" t="n">
        <v>8.890000000000001</v>
      </c>
      <c r="DR265" t="n">
        <v>17.78</v>
      </c>
      <c r="DS265" t="n">
        <v>0</v>
      </c>
      <c r="DT265" t="n">
        <v>72</v>
      </c>
      <c r="DU265" t="n">
        <v>1.89</v>
      </c>
      <c r="DV265" t="inlineStr">
        <is>
          <t>flat</t>
        </is>
      </c>
      <c r="DW265" t="n">
        <v>90.78</v>
      </c>
      <c r="DX265" t="n">
        <v>56.5</v>
      </c>
      <c r="DY265" t="n">
        <v>22.77</v>
      </c>
      <c r="DZ265" t="n">
        <v>46.29</v>
      </c>
      <c r="EA265" t="n">
        <v>116</v>
      </c>
      <c r="EB265" t="n">
        <v>20</v>
      </c>
      <c r="EC265" t="n">
        <v>9.6</v>
      </c>
      <c r="ED265" t="n">
        <v>9.1</v>
      </c>
      <c r="EE265" t="n">
        <v>175</v>
      </c>
      <c r="EF265" t="n">
        <v>32</v>
      </c>
      <c r="EG265" t="n">
        <v>19.2</v>
      </c>
      <c r="EH265" t="n">
        <v>80</v>
      </c>
      <c r="EI265" t="n">
        <v>119.6</v>
      </c>
      <c r="EJ265" t="n">
        <v>459.4</v>
      </c>
      <c r="EK265" t="n">
        <v>94.90000000000001</v>
      </c>
      <c r="EL265" t="n">
        <v>11.2</v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n">
        <v>5</v>
      </c>
      <c r="F266" t="b">
        <v>1</v>
      </c>
      <c r="G266" t="b">
        <v>1</v>
      </c>
      <c r="H266" t="n">
        <v>27</v>
      </c>
      <c r="I266" t="inlineStr">
        <is>
          <t>i</t>
        </is>
      </c>
      <c r="J266" t="inlineStr">
        <is>
          <t>Back injury - Unknown return date</t>
        </is>
      </c>
      <c r="K266" t="n">
        <v>0</v>
      </c>
      <c r="L266" t="inlineStr">
        <is>
          <t>p209365</t>
        </is>
      </c>
      <c r="M266" t="n">
        <v>416</v>
      </c>
      <c r="Q266" t="n">
        <v>1170</v>
      </c>
      <c r="R266" t="n">
        <v>13</v>
      </c>
      <c r="S266" t="n">
        <v>13</v>
      </c>
      <c r="T266" t="n">
        <v>13</v>
      </c>
      <c r="U266" t="n">
        <v>90</v>
      </c>
      <c r="V266" t="n">
        <v>43</v>
      </c>
      <c r="W266" t="n">
        <v>3.308</v>
      </c>
      <c r="X266" t="n">
        <v>1</v>
      </c>
      <c r="Y266" t="n">
        <v>0</v>
      </c>
      <c r="AA266" t="n">
        <v>1</v>
      </c>
      <c r="AB266" t="n">
        <v>20</v>
      </c>
      <c r="AC266" t="n">
        <v>5</v>
      </c>
      <c r="AD266" t="n">
        <v>3</v>
      </c>
      <c r="AE266" t="n">
        <v>-2</v>
      </c>
      <c r="AF266" t="n">
        <v>169</v>
      </c>
      <c r="AG266" t="n">
        <v>153</v>
      </c>
      <c r="AH266" t="n">
        <v>-16</v>
      </c>
      <c r="AI266" t="n">
        <v>41</v>
      </c>
      <c r="AJ266" t="n">
        <v>0.116</v>
      </c>
      <c r="AK266" t="n">
        <v>0.132</v>
      </c>
      <c r="AL266" t="n">
        <v>107</v>
      </c>
      <c r="AM266" t="n">
        <v>8.231</v>
      </c>
      <c r="AN266" t="n">
        <v>4</v>
      </c>
      <c r="AO266" t="n">
        <v>8</v>
      </c>
      <c r="AP266" t="n">
        <v>0.308</v>
      </c>
      <c r="AQ266" t="n">
        <v>0.308</v>
      </c>
      <c r="AR266" t="n">
        <v>0</v>
      </c>
      <c r="AS266" t="n">
        <v>0.342</v>
      </c>
      <c r="AT266" t="n">
        <v>1</v>
      </c>
      <c r="AU266" t="n">
        <v>8</v>
      </c>
      <c r="AV266" t="n">
        <v>0</v>
      </c>
      <c r="AW266" t="n">
        <v>2.27</v>
      </c>
      <c r="AX266" t="n">
        <v>9</v>
      </c>
      <c r="AY266" t="n">
        <v>1.38</v>
      </c>
      <c r="AZ266" t="n">
        <v>1.323</v>
      </c>
      <c r="BA266" t="n">
        <v>1.352</v>
      </c>
      <c r="BB266" t="n">
        <v>1.323</v>
      </c>
      <c r="BC266" t="n">
        <v>0.106</v>
      </c>
      <c r="BD266" t="n">
        <v>0.102</v>
      </c>
      <c r="BE266" t="n">
        <v>0.104</v>
      </c>
      <c r="BF266" t="n">
        <v>1.5</v>
      </c>
      <c r="BG266" t="n">
        <v>0.115</v>
      </c>
      <c r="BH266" t="n">
        <v>1.096</v>
      </c>
      <c r="BI266" t="n">
        <v>3.86</v>
      </c>
      <c r="BJ266" t="n">
        <v>1.513</v>
      </c>
      <c r="BK266" t="n">
        <v>0.116</v>
      </c>
      <c r="BL266" t="n">
        <v>-0.352</v>
      </c>
      <c r="BM266" t="n">
        <v>0.12</v>
      </c>
      <c r="BN266" t="n">
        <v>-0.5</v>
      </c>
      <c r="BO266" t="n">
        <v>0.057</v>
      </c>
      <c r="BP266" t="n">
        <v>11</v>
      </c>
      <c r="BQ266" t="n">
        <v>3</v>
      </c>
      <c r="BR266" t="n">
        <v>1</v>
      </c>
      <c r="BS266" t="n">
        <v>18</v>
      </c>
      <c r="BT266" t="n">
        <v>1.385</v>
      </c>
      <c r="BV266" t="n">
        <v>1</v>
      </c>
      <c r="BW266" t="n">
        <v>0.83</v>
      </c>
      <c r="BX266" t="n">
        <v>0.428</v>
      </c>
      <c r="BY266" t="n">
        <v>0.629</v>
      </c>
      <c r="BZ266" t="n">
        <v>0.048</v>
      </c>
      <c r="CA266" t="n">
        <v>1.981</v>
      </c>
      <c r="CB266" t="n">
        <v>0.152</v>
      </c>
      <c r="CC266" t="n">
        <v>3</v>
      </c>
      <c r="CD266" t="n">
        <v>2</v>
      </c>
      <c r="CE266" t="n">
        <v>3</v>
      </c>
      <c r="CF266" t="n">
        <v>4</v>
      </c>
      <c r="CG266" t="n">
        <v>2</v>
      </c>
      <c r="CI266" t="n">
        <v>2.832</v>
      </c>
      <c r="CJ266" t="n">
        <v>2.389</v>
      </c>
      <c r="CK266" t="n">
        <v>88</v>
      </c>
      <c r="CL266" t="n">
        <v>40</v>
      </c>
      <c r="CM266" t="n">
        <v>19</v>
      </c>
      <c r="CN266" t="n">
        <v>13</v>
      </c>
      <c r="CO266" t="n">
        <v>15</v>
      </c>
      <c r="CP266" t="n">
        <v>68</v>
      </c>
      <c r="CQ266" t="n">
        <v>7</v>
      </c>
      <c r="CR266" t="n">
        <v>74</v>
      </c>
      <c r="CS266" t="n">
        <v>50</v>
      </c>
      <c r="CV266" t="n">
        <v>1</v>
      </c>
      <c r="CW266" t="n">
        <v>18.73</v>
      </c>
      <c r="CX266" t="n">
        <v>1.441</v>
      </c>
      <c r="CY266" t="n">
        <v>0</v>
      </c>
      <c r="DB266" t="n">
        <v>0</v>
      </c>
      <c r="DF266" t="n">
        <v>0</v>
      </c>
      <c r="DG266" t="n">
        <v>0</v>
      </c>
      <c r="DH266" t="n">
        <v>6</v>
      </c>
      <c r="DI266" t="n">
        <v>5</v>
      </c>
      <c r="DL266" t="n">
        <v>1</v>
      </c>
      <c r="DM266" t="n">
        <v>1</v>
      </c>
      <c r="DO266" t="n">
        <v>0</v>
      </c>
      <c r="DP266" t="n">
        <v>41.46</v>
      </c>
      <c r="DQ266" t="n">
        <v>17.73</v>
      </c>
      <c r="DR266" t="n">
        <v>35.46</v>
      </c>
      <c r="DS266" t="n">
        <v>6</v>
      </c>
      <c r="DT266" t="n">
        <v>1026</v>
      </c>
      <c r="DU266" t="n">
        <v>27</v>
      </c>
      <c r="DV266" t="inlineStr">
        <is>
          <t>flat</t>
        </is>
      </c>
      <c r="DW266" t="n">
        <v>109</v>
      </c>
      <c r="DZ266" t="n">
        <v>109</v>
      </c>
      <c r="EA266" t="n">
        <v>109</v>
      </c>
      <c r="EB266" t="n">
        <v>1</v>
      </c>
      <c r="EC266" t="n">
        <v>0.5</v>
      </c>
      <c r="ED266" t="n">
        <v>0</v>
      </c>
      <c r="EE266" t="n">
        <v>288</v>
      </c>
      <c r="EF266" t="n">
        <v>106.4</v>
      </c>
      <c r="EG266" t="n">
        <v>65</v>
      </c>
      <c r="EH266" t="n">
        <v>390</v>
      </c>
      <c r="EI266" t="n">
        <v>865.6</v>
      </c>
      <c r="EJ266" t="n">
        <v>1859.8</v>
      </c>
      <c r="EK266" t="n">
        <v>590.7</v>
      </c>
      <c r="EL266" t="n">
        <v>27.2</v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n">
        <v>4.5</v>
      </c>
      <c r="F267" t="b">
        <v>1</v>
      </c>
      <c r="G267" t="b">
        <v>1</v>
      </c>
      <c r="H267" t="n">
        <v>28.7</v>
      </c>
      <c r="I267" t="inlineStr">
        <is>
          <t>a</t>
        </is>
      </c>
      <c r="L267" t="inlineStr">
        <is>
          <t>p201595</t>
        </is>
      </c>
      <c r="M267" t="n">
        <v>326</v>
      </c>
      <c r="Q267" t="n">
        <v>1440</v>
      </c>
      <c r="R267" t="n">
        <v>16</v>
      </c>
      <c r="S267" t="n">
        <v>16</v>
      </c>
      <c r="T267" t="n">
        <v>16</v>
      </c>
      <c r="U267" t="n">
        <v>90</v>
      </c>
      <c r="V267" t="n">
        <v>43</v>
      </c>
      <c r="W267" t="n">
        <v>2.688</v>
      </c>
      <c r="X267" t="n">
        <v>0</v>
      </c>
      <c r="Y267" t="n">
        <v>0</v>
      </c>
      <c r="AA267" t="n">
        <v>3</v>
      </c>
      <c r="AB267" t="n">
        <v>29</v>
      </c>
      <c r="AC267" t="n">
        <v>3</v>
      </c>
      <c r="AD267" t="n">
        <v>3</v>
      </c>
      <c r="AE267" t="n">
        <v>0</v>
      </c>
      <c r="AF267" t="n">
        <v>153</v>
      </c>
      <c r="AG267" t="n">
        <v>150</v>
      </c>
      <c r="AH267" t="n">
        <v>-3</v>
      </c>
      <c r="AI267" t="n">
        <v>43</v>
      </c>
      <c r="AJ267" t="n">
        <v>0.07000000000000001</v>
      </c>
      <c r="AK267" t="n">
        <v>0.075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0.421</v>
      </c>
      <c r="AT267" t="n">
        <v>1</v>
      </c>
      <c r="AU267" t="n">
        <v>12</v>
      </c>
      <c r="AV267" t="n">
        <v>1</v>
      </c>
      <c r="AW267" t="n">
        <v>2.11</v>
      </c>
      <c r="AX267" t="n">
        <v>10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H267" t="n">
        <v>1</v>
      </c>
      <c r="BI267" t="n">
        <v>0</v>
      </c>
      <c r="BJ267" t="n">
        <v>0</v>
      </c>
      <c r="BK267" t="n">
        <v>0</v>
      </c>
      <c r="BL267" t="n">
        <v>0</v>
      </c>
      <c r="BO267" t="n">
        <v>0</v>
      </c>
      <c r="BS267" t="n">
        <v>0</v>
      </c>
      <c r="BT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I267" t="n">
        <v>2.474</v>
      </c>
      <c r="CJ267" t="n">
        <v>2.474</v>
      </c>
      <c r="CK267" t="n">
        <v>16</v>
      </c>
      <c r="CL267" t="n">
        <v>100</v>
      </c>
      <c r="CM267" t="n">
        <v>0</v>
      </c>
      <c r="CP267" t="n">
        <v>16</v>
      </c>
      <c r="CR267" t="n">
        <v>7</v>
      </c>
      <c r="CS267" t="n">
        <v>5</v>
      </c>
      <c r="CW267" t="n">
        <v>26.68</v>
      </c>
      <c r="CX267" t="n">
        <v>1.668</v>
      </c>
      <c r="CY267" t="n">
        <v>38</v>
      </c>
      <c r="DB267" t="n">
        <v>0</v>
      </c>
      <c r="DC267" t="n">
        <v>9</v>
      </c>
      <c r="DD267" t="n">
        <v>6</v>
      </c>
      <c r="DF267" t="n">
        <v>2</v>
      </c>
      <c r="DG267" t="n">
        <v>0</v>
      </c>
      <c r="DH267" t="n">
        <v>1</v>
      </c>
      <c r="DI267" t="n">
        <v>3</v>
      </c>
      <c r="DK267" t="n">
        <v>1</v>
      </c>
      <c r="DO267" t="n">
        <v>0.7</v>
      </c>
      <c r="DP267" t="n">
        <v>1.46</v>
      </c>
      <c r="DQ267" t="n">
        <v>0.73</v>
      </c>
      <c r="DR267" t="n">
        <v>1.46</v>
      </c>
      <c r="DS267" t="n">
        <v>0</v>
      </c>
      <c r="DT267" t="n">
        <v>35</v>
      </c>
      <c r="DU267" t="n">
        <v>0.91</v>
      </c>
      <c r="DV267" t="inlineStr">
        <is>
          <t>flat</t>
        </is>
      </c>
      <c r="DW267" t="n">
        <v>113.92</v>
      </c>
      <c r="DY267" t="n">
        <v>7.65</v>
      </c>
      <c r="DZ267" t="n">
        <v>89</v>
      </c>
      <c r="EA267" t="n">
        <v>120</v>
      </c>
      <c r="EB267" t="n">
        <v>18</v>
      </c>
      <c r="EC267" t="n">
        <v>8.699999999999999</v>
      </c>
      <c r="ED267" t="n">
        <v>5.3</v>
      </c>
      <c r="EE267" t="n">
        <v>427</v>
      </c>
      <c r="EL267" t="n">
        <v>33.5</v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n">
        <v>5.5</v>
      </c>
      <c r="F268" t="b">
        <v>1</v>
      </c>
      <c r="G268" t="b">
        <v>1</v>
      </c>
      <c r="H268" t="n">
        <v>23.1</v>
      </c>
      <c r="I268" t="inlineStr">
        <is>
          <t>a</t>
        </is>
      </c>
      <c r="L268" t="inlineStr">
        <is>
          <t>p477555</t>
        </is>
      </c>
      <c r="M268" t="n">
        <v>264</v>
      </c>
      <c r="O268" t="n">
        <v>3</v>
      </c>
      <c r="Q268" t="n">
        <v>1030</v>
      </c>
      <c r="R268" t="n">
        <v>23</v>
      </c>
      <c r="S268" t="n">
        <v>11</v>
      </c>
      <c r="T268" t="n">
        <v>11.444</v>
      </c>
      <c r="U268" t="n">
        <v>44.8</v>
      </c>
      <c r="V268" t="n">
        <v>42</v>
      </c>
      <c r="W268" t="n">
        <v>3.67</v>
      </c>
      <c r="X268" t="n">
        <v>0</v>
      </c>
      <c r="Y268" t="n">
        <v>2</v>
      </c>
      <c r="Z268" t="n">
        <v>1</v>
      </c>
      <c r="AA268" t="n">
        <v>4</v>
      </c>
      <c r="AB268" t="n">
        <v>13</v>
      </c>
      <c r="AC268" t="n">
        <v>0</v>
      </c>
      <c r="AD268" t="n">
        <v>0</v>
      </c>
      <c r="AE268" t="n">
        <v>0</v>
      </c>
      <c r="AF268" t="n">
        <v>182</v>
      </c>
      <c r="AG268" t="n">
        <v>178</v>
      </c>
      <c r="AH268" t="n">
        <v>-4</v>
      </c>
      <c r="AI268" t="n">
        <v>42</v>
      </c>
      <c r="AJ268" t="n">
        <v>0</v>
      </c>
      <c r="AK268" t="n">
        <v>0</v>
      </c>
      <c r="AL268" t="n">
        <v>76</v>
      </c>
      <c r="AM268" t="n">
        <v>6.641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0.289</v>
      </c>
      <c r="AT268" t="n">
        <v>0.435</v>
      </c>
      <c r="AU268" t="n">
        <v>18</v>
      </c>
      <c r="AV268" t="n">
        <v>0</v>
      </c>
      <c r="AW268" t="n">
        <v>1.41</v>
      </c>
      <c r="AX268" t="n">
        <v>6</v>
      </c>
      <c r="AY268" t="n">
        <v>1.47</v>
      </c>
      <c r="AZ268" t="n">
        <v>1.429</v>
      </c>
      <c r="BA268" t="n">
        <v>1.45</v>
      </c>
      <c r="BB268" t="n">
        <v>1.429</v>
      </c>
      <c r="BC268" t="n">
        <v>0.128</v>
      </c>
      <c r="BD268" t="n">
        <v>0.125</v>
      </c>
      <c r="BE268" t="n">
        <v>0.127</v>
      </c>
      <c r="BF268" t="n">
        <v>1.3</v>
      </c>
      <c r="BG268" t="n">
        <v>0.114</v>
      </c>
      <c r="BH268" t="n">
        <v>0.9389999999999999</v>
      </c>
      <c r="BI268" t="n">
        <v>2.97</v>
      </c>
      <c r="BJ268" t="n">
        <v>1.38</v>
      </c>
      <c r="BK268" t="n">
        <v>0.121</v>
      </c>
      <c r="BL268" t="n">
        <v>-1.45</v>
      </c>
      <c r="BM268" t="n">
        <v>-0.17</v>
      </c>
      <c r="BN268" t="n">
        <v>-1.3</v>
      </c>
      <c r="BO268" t="n">
        <v>0.041</v>
      </c>
      <c r="BP268" t="n">
        <v>12</v>
      </c>
      <c r="BQ268" t="n">
        <v>3</v>
      </c>
      <c r="BR268" t="n">
        <v>1</v>
      </c>
      <c r="BS268" t="n">
        <v>69</v>
      </c>
      <c r="BT268" t="n">
        <v>6.029</v>
      </c>
      <c r="BW268" t="n">
        <v>2.1</v>
      </c>
      <c r="BX268" t="n">
        <v>2.017</v>
      </c>
      <c r="BY268" t="n">
        <v>2.059</v>
      </c>
      <c r="BZ268" t="n">
        <v>0.18</v>
      </c>
      <c r="CA268" t="n">
        <v>3.508</v>
      </c>
      <c r="CB268" t="n">
        <v>0.307</v>
      </c>
      <c r="CC268" t="n">
        <v>22</v>
      </c>
      <c r="CD268" t="n">
        <v>1</v>
      </c>
      <c r="CE268" t="n">
        <v>22</v>
      </c>
      <c r="CF268" t="n">
        <v>4</v>
      </c>
      <c r="CG268" t="n">
        <v>2</v>
      </c>
      <c r="CH268" t="n">
        <v>5</v>
      </c>
      <c r="CI268" t="n">
        <v>5.76</v>
      </c>
      <c r="CJ268" t="n">
        <v>3.545</v>
      </c>
      <c r="CK268" t="n">
        <v>12</v>
      </c>
      <c r="CL268" t="n">
        <v>43</v>
      </c>
      <c r="CM268" t="n">
        <v>21</v>
      </c>
      <c r="CN268" t="n">
        <v>12</v>
      </c>
      <c r="CO268" t="n">
        <v>9</v>
      </c>
      <c r="CP268" t="n">
        <v>3</v>
      </c>
      <c r="CR268" t="n">
        <v>71</v>
      </c>
      <c r="CS268" t="n">
        <v>6</v>
      </c>
      <c r="CT268" t="n">
        <v>0.7</v>
      </c>
      <c r="CV268" t="n">
        <v>1</v>
      </c>
      <c r="CW268" t="n">
        <v>12.71</v>
      </c>
      <c r="CX268" t="n">
        <v>1.111</v>
      </c>
      <c r="CY268" t="n">
        <v>0</v>
      </c>
      <c r="DB268" t="n">
        <v>0</v>
      </c>
      <c r="DE268" t="n">
        <v>6.69</v>
      </c>
      <c r="DF268" t="n">
        <v>1</v>
      </c>
      <c r="DG268" t="n">
        <v>0</v>
      </c>
      <c r="DH268" t="n">
        <v>9</v>
      </c>
      <c r="DI268" t="n">
        <v>17</v>
      </c>
      <c r="DL268" t="n">
        <v>27</v>
      </c>
      <c r="DM268" t="n">
        <v>23</v>
      </c>
      <c r="DO268" t="n">
        <v>0.4</v>
      </c>
      <c r="DP268" t="n">
        <v>115.22</v>
      </c>
      <c r="DQ268" t="n">
        <v>57.63</v>
      </c>
      <c r="DR268" t="n">
        <v>115.26</v>
      </c>
      <c r="DS268" t="n">
        <v>-0.04</v>
      </c>
      <c r="DT268" t="n">
        <v>2645</v>
      </c>
      <c r="DU268" t="n">
        <v>69.59999999999999</v>
      </c>
      <c r="DV268" t="inlineStr">
        <is>
          <t>flat</t>
        </is>
      </c>
      <c r="DW268" t="n">
        <v>84.36</v>
      </c>
      <c r="DX268" t="n">
        <v>102</v>
      </c>
      <c r="DY268" t="n">
        <v>26.2</v>
      </c>
      <c r="DZ268" t="n">
        <v>37.6</v>
      </c>
      <c r="EA268" t="n">
        <v>115.2</v>
      </c>
      <c r="EB268" t="n">
        <v>11</v>
      </c>
      <c r="EC268" t="n">
        <v>5.3</v>
      </c>
      <c r="ED268" t="n">
        <v>8.300000000000001</v>
      </c>
      <c r="EE268" t="n">
        <v>176</v>
      </c>
      <c r="EF268" t="n">
        <v>85.8</v>
      </c>
      <c r="EG268" t="n">
        <v>14.9</v>
      </c>
      <c r="EH268" t="n">
        <v>46.8</v>
      </c>
      <c r="EI268" t="n">
        <v>710.6</v>
      </c>
      <c r="EJ268" t="n">
        <v>500.4</v>
      </c>
      <c r="EK268" t="n">
        <v>293.6</v>
      </c>
      <c r="EL268" t="n">
        <v>24.5</v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n">
        <v>4.5</v>
      </c>
      <c r="F269" t="b">
        <v>1</v>
      </c>
      <c r="G269" t="b">
        <v>1</v>
      </c>
      <c r="H269" t="n">
        <v>19.9</v>
      </c>
      <c r="I269" t="inlineStr">
        <is>
          <t>a</t>
        </is>
      </c>
      <c r="L269" t="inlineStr">
        <is>
          <t>p606745</t>
        </is>
      </c>
      <c r="M269" t="n">
        <v>421</v>
      </c>
      <c r="Q269" t="n">
        <v>920</v>
      </c>
      <c r="R269" t="n">
        <v>17</v>
      </c>
      <c r="S269" t="n">
        <v>11</v>
      </c>
      <c r="T269" t="n">
        <v>10.222</v>
      </c>
      <c r="U269" t="n">
        <v>54.1</v>
      </c>
      <c r="V269" t="n">
        <v>42</v>
      </c>
      <c r="W269" t="n">
        <v>4.109</v>
      </c>
      <c r="X269" t="n">
        <v>0</v>
      </c>
      <c r="Y269" t="n">
        <v>1</v>
      </c>
      <c r="Z269" t="n">
        <v>1</v>
      </c>
      <c r="AA269" t="n">
        <v>2</v>
      </c>
      <c r="AB269" t="n">
        <v>15</v>
      </c>
      <c r="AC269" t="n">
        <v>3</v>
      </c>
      <c r="AD269" t="n">
        <v>0</v>
      </c>
      <c r="AE269" t="n">
        <v>-3</v>
      </c>
      <c r="AF269" t="n">
        <v>164</v>
      </c>
      <c r="AG269" t="n">
        <v>152</v>
      </c>
      <c r="AH269" t="n">
        <v>-12</v>
      </c>
      <c r="AI269" t="n">
        <v>39</v>
      </c>
      <c r="AJ269" t="n">
        <v>0.07099999999999999</v>
      </c>
      <c r="AK269" t="n">
        <v>0.077</v>
      </c>
      <c r="AL269" t="n">
        <v>93</v>
      </c>
      <c r="AM269" t="n">
        <v>9.098000000000001</v>
      </c>
      <c r="AN269" t="n">
        <v>5</v>
      </c>
      <c r="AO269" t="n">
        <v>10</v>
      </c>
      <c r="AP269" t="n">
        <v>0.455</v>
      </c>
      <c r="AQ269" t="n">
        <v>0.455</v>
      </c>
      <c r="AR269" t="n">
        <v>0.091</v>
      </c>
      <c r="AS269" t="n">
        <v>0.289</v>
      </c>
      <c r="AT269" t="n">
        <v>0.588</v>
      </c>
      <c r="AU269" t="n">
        <v>12</v>
      </c>
      <c r="AV269" t="n">
        <v>1</v>
      </c>
      <c r="AW269" t="n">
        <v>2.29</v>
      </c>
      <c r="AX269" t="n">
        <v>11</v>
      </c>
      <c r="AY269" t="n">
        <v>0.34</v>
      </c>
      <c r="AZ269" t="n">
        <v>0.215</v>
      </c>
      <c r="BA269" t="n">
        <v>0.278</v>
      </c>
      <c r="BB269" t="n">
        <v>0.215</v>
      </c>
      <c r="BC269" t="n">
        <v>0.033</v>
      </c>
      <c r="BD269" t="n">
        <v>0.021</v>
      </c>
      <c r="BE269" t="n">
        <v>0.027</v>
      </c>
      <c r="BH269" t="n">
        <v>0.946</v>
      </c>
      <c r="BI269" t="n">
        <v>0.46</v>
      </c>
      <c r="BJ269" t="n">
        <v>0.322</v>
      </c>
      <c r="BK269" t="n">
        <v>0.032</v>
      </c>
      <c r="BL269" t="n">
        <v>-0.278</v>
      </c>
      <c r="BO269" t="n">
        <v>0.125</v>
      </c>
      <c r="BP269" t="n">
        <v>3</v>
      </c>
      <c r="BR269" t="n">
        <v>1</v>
      </c>
      <c r="BS269" t="n">
        <v>8</v>
      </c>
      <c r="BT269" t="n">
        <v>0.783</v>
      </c>
      <c r="BW269" t="n">
        <v>0.18</v>
      </c>
      <c r="BX269" t="n">
        <v>0.365</v>
      </c>
      <c r="BY269" t="n">
        <v>0.273</v>
      </c>
      <c r="BZ269" t="n">
        <v>0.027</v>
      </c>
      <c r="CA269" t="n">
        <v>0.55</v>
      </c>
      <c r="CB269" t="n">
        <v>0.054</v>
      </c>
      <c r="CC269" t="n">
        <v>2</v>
      </c>
      <c r="CD269" t="n">
        <v>1</v>
      </c>
      <c r="CE269" t="n">
        <v>2</v>
      </c>
      <c r="CI269" t="n">
        <v>4.165</v>
      </c>
      <c r="CJ269" t="n">
        <v>3.711</v>
      </c>
      <c r="CK269" t="n">
        <v>71</v>
      </c>
      <c r="CL269" t="n">
        <v>39</v>
      </c>
      <c r="CM269" t="n">
        <v>22</v>
      </c>
      <c r="CN269" t="n">
        <v>13</v>
      </c>
      <c r="CO269" t="n">
        <v>1</v>
      </c>
      <c r="CP269" t="n">
        <v>60</v>
      </c>
      <c r="CQ269" t="n">
        <v>11</v>
      </c>
      <c r="CR269" t="n">
        <v>55</v>
      </c>
      <c r="CS269" t="n">
        <v>18</v>
      </c>
      <c r="CW269" t="n">
        <v>11.95</v>
      </c>
      <c r="CX269" t="n">
        <v>1.169</v>
      </c>
      <c r="CY269" t="n">
        <v>0</v>
      </c>
      <c r="DB269" t="n">
        <v>0</v>
      </c>
      <c r="DF269" t="n">
        <v>2</v>
      </c>
      <c r="DG269" t="n">
        <v>0</v>
      </c>
      <c r="DH269" t="n">
        <v>7</v>
      </c>
      <c r="DI269" t="n">
        <v>9</v>
      </c>
      <c r="DL269" t="n">
        <v>6</v>
      </c>
      <c r="DM269" t="n">
        <v>1</v>
      </c>
      <c r="DO269" t="n">
        <v>0.3</v>
      </c>
      <c r="DP269" t="n">
        <v>19.29</v>
      </c>
      <c r="DQ269" t="n">
        <v>11.82</v>
      </c>
      <c r="DR269" t="n">
        <v>23.64</v>
      </c>
      <c r="DS269" t="n">
        <v>-4.35</v>
      </c>
      <c r="DT269" t="n">
        <v>176</v>
      </c>
      <c r="DU269" t="n">
        <v>4.63</v>
      </c>
      <c r="DV269" t="inlineStr">
        <is>
          <t>fade (losing his place)</t>
        </is>
      </c>
      <c r="DW269" t="n">
        <v>96.34</v>
      </c>
      <c r="DY269" t="n">
        <v>5.62</v>
      </c>
      <c r="DZ269" t="n">
        <v>91.43000000000001</v>
      </c>
      <c r="EA269" t="n">
        <v>105.33</v>
      </c>
      <c r="EB269" t="n">
        <v>5</v>
      </c>
      <c r="EC269" t="n">
        <v>2.4</v>
      </c>
      <c r="ED269" t="n">
        <v>0</v>
      </c>
      <c r="EE269" t="n">
        <v>428</v>
      </c>
      <c r="EF269" t="n">
        <v>306.7</v>
      </c>
      <c r="EG269" t="n">
        <v>115</v>
      </c>
      <c r="EH269" t="n">
        <v>460</v>
      </c>
      <c r="EI269" t="n">
        <v>3315</v>
      </c>
      <c r="EJ269" t="n">
        <v>3373.2</v>
      </c>
      <c r="EK269" t="n">
        <v>1671.9</v>
      </c>
      <c r="EL269" t="n">
        <v>21.9</v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n">
        <v>5</v>
      </c>
      <c r="F270" t="b">
        <v>1</v>
      </c>
      <c r="G270" t="b">
        <v>1</v>
      </c>
      <c r="H270" t="n">
        <v>23.1</v>
      </c>
      <c r="I270" t="inlineStr">
        <is>
          <t>i</t>
        </is>
      </c>
      <c r="J270" t="inlineStr">
        <is>
          <t>Knee injury - Unknown return date</t>
        </is>
      </c>
      <c r="K270" t="n">
        <v>0</v>
      </c>
      <c r="L270" t="inlineStr">
        <is>
          <t>p492777</t>
        </is>
      </c>
      <c r="M270" t="n">
        <v>360</v>
      </c>
      <c r="Q270" t="n">
        <v>928</v>
      </c>
      <c r="R270" t="n">
        <v>15</v>
      </c>
      <c r="S270" t="n">
        <v>12</v>
      </c>
      <c r="T270" t="n">
        <v>10.311</v>
      </c>
      <c r="U270" t="n">
        <v>61.9</v>
      </c>
      <c r="V270" t="n">
        <v>42</v>
      </c>
      <c r="W270" t="n">
        <v>4.073</v>
      </c>
      <c r="X270" t="n">
        <v>0</v>
      </c>
      <c r="Y270" t="n">
        <v>2</v>
      </c>
      <c r="Z270" t="n">
        <v>1</v>
      </c>
      <c r="AA270" t="n">
        <v>4</v>
      </c>
      <c r="AB270" t="n">
        <v>13</v>
      </c>
      <c r="AC270" t="n">
        <v>2</v>
      </c>
      <c r="AD270" t="n">
        <v>0</v>
      </c>
      <c r="AE270" t="n">
        <v>-2</v>
      </c>
      <c r="AF270" t="n">
        <v>157</v>
      </c>
      <c r="AG270" t="n">
        <v>147</v>
      </c>
      <c r="AH270" t="n">
        <v>-10</v>
      </c>
      <c r="AI270" t="n">
        <v>40</v>
      </c>
      <c r="AJ270" t="n">
        <v>0.048</v>
      </c>
      <c r="AK270" t="n">
        <v>0.05</v>
      </c>
      <c r="AL270" t="n">
        <v>65</v>
      </c>
      <c r="AM270" t="n">
        <v>6.304</v>
      </c>
      <c r="AN270" t="n">
        <v>1</v>
      </c>
      <c r="AO270" t="n">
        <v>2</v>
      </c>
      <c r="AP270" t="n">
        <v>0.083</v>
      </c>
      <c r="AQ270" t="n">
        <v>0.083</v>
      </c>
      <c r="AR270" t="n">
        <v>0</v>
      </c>
      <c r="AS270" t="n">
        <v>0.316</v>
      </c>
      <c r="AT270" t="n">
        <v>0.6</v>
      </c>
      <c r="AU270" t="n">
        <v>9</v>
      </c>
      <c r="AV270" t="n">
        <v>0</v>
      </c>
      <c r="AW270" t="n">
        <v>2.19</v>
      </c>
      <c r="AX270" t="n">
        <v>8</v>
      </c>
      <c r="AY270" t="n">
        <v>0.18</v>
      </c>
      <c r="AZ270" t="n">
        <v>0.22</v>
      </c>
      <c r="BA270" t="n">
        <v>0.2</v>
      </c>
      <c r="BB270" t="n">
        <v>0.22</v>
      </c>
      <c r="BC270" t="n">
        <v>0.017</v>
      </c>
      <c r="BD270" t="n">
        <v>0.021</v>
      </c>
      <c r="BE270" t="n">
        <v>0.019</v>
      </c>
      <c r="BH270" t="n">
        <v>1.062</v>
      </c>
      <c r="BI270" t="n">
        <v>1.79</v>
      </c>
      <c r="BJ270" t="n">
        <v>0.191</v>
      </c>
      <c r="BK270" t="n">
        <v>0.019</v>
      </c>
      <c r="BL270" t="n">
        <v>-0.2</v>
      </c>
      <c r="BO270" t="n">
        <v>-0.04</v>
      </c>
      <c r="BP270" t="n">
        <v>6</v>
      </c>
      <c r="BS270" t="n">
        <v>28</v>
      </c>
      <c r="BT270" t="n">
        <v>2.716</v>
      </c>
      <c r="BW270" t="n">
        <v>0.84</v>
      </c>
      <c r="BX270" t="n">
        <v>1.194</v>
      </c>
      <c r="BY270" t="n">
        <v>1.017</v>
      </c>
      <c r="BZ270" t="n">
        <v>0.099</v>
      </c>
      <c r="CA270" t="n">
        <v>1.217</v>
      </c>
      <c r="CB270" t="n">
        <v>0.118</v>
      </c>
      <c r="CC270" t="n">
        <v>4</v>
      </c>
      <c r="CD270" t="n">
        <v>3</v>
      </c>
      <c r="CE270" t="n">
        <v>4</v>
      </c>
      <c r="CF270" t="n">
        <v>4</v>
      </c>
      <c r="CH270" t="n">
        <v>1</v>
      </c>
      <c r="CI270" t="n">
        <v>3.412</v>
      </c>
      <c r="CJ270" t="n">
        <v>2.405</v>
      </c>
      <c r="CK270" t="n">
        <v>46</v>
      </c>
      <c r="CL270" t="n">
        <v>43</v>
      </c>
      <c r="CM270" t="n">
        <v>19</v>
      </c>
      <c r="CN270" t="n">
        <v>15</v>
      </c>
      <c r="CO270" t="n">
        <v>13</v>
      </c>
      <c r="CP270" t="n">
        <v>29</v>
      </c>
      <c r="CQ270" t="n">
        <v>4</v>
      </c>
      <c r="CR270" t="n">
        <v>61</v>
      </c>
      <c r="CS270" t="n">
        <v>15</v>
      </c>
      <c r="CW270" t="n">
        <v>10.77</v>
      </c>
      <c r="CX270" t="n">
        <v>1.045</v>
      </c>
      <c r="CY270" t="n">
        <v>0</v>
      </c>
      <c r="DB270" t="n">
        <v>0</v>
      </c>
      <c r="DF270" t="n">
        <v>5</v>
      </c>
      <c r="DG270" t="n">
        <v>0</v>
      </c>
      <c r="DH270" t="n">
        <v>18</v>
      </c>
      <c r="DI270" t="n">
        <v>20</v>
      </c>
      <c r="DL270" t="n">
        <v>7</v>
      </c>
      <c r="DM270" t="n">
        <v>11</v>
      </c>
      <c r="DN270" t="n">
        <v>1</v>
      </c>
      <c r="DO270" t="n">
        <v>0</v>
      </c>
      <c r="DP270" t="n">
        <v>50.67</v>
      </c>
      <c r="DQ270" t="n">
        <v>21.31</v>
      </c>
      <c r="DR270" t="n">
        <v>42.62</v>
      </c>
      <c r="DS270" t="n">
        <v>8.050000000000001</v>
      </c>
      <c r="DT270" t="n">
        <v>1328</v>
      </c>
      <c r="DU270" t="n">
        <v>34.95</v>
      </c>
      <c r="DV270" t="inlineStr">
        <is>
          <t>ramp-up (injury / late WC return)</t>
        </is>
      </c>
      <c r="DW270" t="n">
        <v>78.5</v>
      </c>
      <c r="DZ270" t="n">
        <v>78.5</v>
      </c>
      <c r="EA270" t="n">
        <v>78.5</v>
      </c>
      <c r="EB270" t="n">
        <v>1</v>
      </c>
      <c r="EC270" t="n">
        <v>0.5</v>
      </c>
      <c r="ED270" t="n">
        <v>50</v>
      </c>
      <c r="EE270" t="n">
        <v>289</v>
      </c>
      <c r="EF270" t="n">
        <v>154.7</v>
      </c>
      <c r="EG270" t="n">
        <v>33.1</v>
      </c>
      <c r="EH270" t="n">
        <v>232</v>
      </c>
      <c r="EI270" t="n">
        <v>4642</v>
      </c>
      <c r="EJ270" t="n">
        <v>912.6</v>
      </c>
      <c r="EK270" t="n">
        <v>762.7</v>
      </c>
      <c r="EL270" t="n">
        <v>22.1</v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n">
        <v>5.5</v>
      </c>
      <c r="F271" t="b">
        <v>1</v>
      </c>
      <c r="G271" t="b">
        <v>1</v>
      </c>
      <c r="H271" t="n">
        <v>25.2</v>
      </c>
      <c r="I271" t="inlineStr">
        <is>
          <t>a</t>
        </is>
      </c>
      <c r="L271" t="inlineStr">
        <is>
          <t>p458249</t>
        </is>
      </c>
      <c r="M271" t="n">
        <v>440</v>
      </c>
      <c r="Q271" t="n">
        <v>607</v>
      </c>
      <c r="R271" t="n">
        <v>24</v>
      </c>
      <c r="S271" t="n">
        <v>5</v>
      </c>
      <c r="T271" t="n">
        <v>6.744</v>
      </c>
      <c r="U271" t="n">
        <v>25.3</v>
      </c>
      <c r="V271" t="n">
        <v>42</v>
      </c>
      <c r="W271" t="n">
        <v>6.227</v>
      </c>
      <c r="X271" t="n">
        <v>2</v>
      </c>
      <c r="Y271" t="n">
        <v>1</v>
      </c>
      <c r="Z271" t="n">
        <v>1</v>
      </c>
      <c r="AA271" t="n">
        <v>2</v>
      </c>
      <c r="AB271" t="n">
        <v>8</v>
      </c>
      <c r="AC271" t="n">
        <v>6</v>
      </c>
      <c r="AD271" t="n">
        <v>6</v>
      </c>
      <c r="AE271" t="n">
        <v>0</v>
      </c>
      <c r="AF271" t="n">
        <v>146</v>
      </c>
      <c r="AG271" t="n">
        <v>141</v>
      </c>
      <c r="AH271" t="n">
        <v>-5</v>
      </c>
      <c r="AI271" t="n">
        <v>42</v>
      </c>
      <c r="AJ271" t="n">
        <v>0.143</v>
      </c>
      <c r="AK271" t="n">
        <v>0.167</v>
      </c>
      <c r="AL271" t="n">
        <v>44</v>
      </c>
      <c r="AM271" t="n">
        <v>6.524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0.132</v>
      </c>
      <c r="AT271" t="n">
        <v>0.167</v>
      </c>
      <c r="AU271" t="n">
        <v>21</v>
      </c>
      <c r="AV271" t="n">
        <v>0</v>
      </c>
      <c r="AW271" t="n">
        <v>1.94</v>
      </c>
      <c r="AX271" t="n">
        <v>9</v>
      </c>
      <c r="AY271" t="n">
        <v>2.74</v>
      </c>
      <c r="AZ271" t="n">
        <v>3.847</v>
      </c>
      <c r="BA271" t="n">
        <v>3.293</v>
      </c>
      <c r="BB271" t="n">
        <v>3.847</v>
      </c>
      <c r="BC271" t="n">
        <v>0.406</v>
      </c>
      <c r="BD271" t="n">
        <v>0.57</v>
      </c>
      <c r="BE271" t="n">
        <v>0.488</v>
      </c>
      <c r="BF271" t="n">
        <v>2</v>
      </c>
      <c r="BG271" t="n">
        <v>0.297</v>
      </c>
      <c r="BH271" t="n">
        <v>1.021</v>
      </c>
      <c r="BI271" t="n">
        <v>7.38</v>
      </c>
      <c r="BJ271" t="n">
        <v>2.797</v>
      </c>
      <c r="BK271" t="n">
        <v>0.415</v>
      </c>
      <c r="BL271" t="n">
        <v>-1.293</v>
      </c>
      <c r="BM271" t="n">
        <v>-0.74</v>
      </c>
      <c r="BN271" t="n">
        <v>0</v>
      </c>
      <c r="BO271" t="n">
        <v>-1.107</v>
      </c>
      <c r="BP271" t="n">
        <v>25</v>
      </c>
      <c r="BQ271" t="n">
        <v>9</v>
      </c>
      <c r="BR271" t="n">
        <v>5</v>
      </c>
      <c r="BS271" t="n">
        <v>48</v>
      </c>
      <c r="BT271" t="n">
        <v>7.117</v>
      </c>
      <c r="BW271" t="n">
        <v>0.34</v>
      </c>
      <c r="BX271" t="n">
        <v>1.216</v>
      </c>
      <c r="BY271" t="n">
        <v>0.778</v>
      </c>
      <c r="BZ271" t="n">
        <v>0.115</v>
      </c>
      <c r="CA271" t="n">
        <v>4.071</v>
      </c>
      <c r="CB271" t="n">
        <v>0.604</v>
      </c>
      <c r="CC271" t="n">
        <v>11</v>
      </c>
      <c r="CD271" t="n">
        <v>2</v>
      </c>
      <c r="CE271" t="n">
        <v>11</v>
      </c>
      <c r="CF271" t="n">
        <v>2</v>
      </c>
      <c r="CI271" t="n">
        <v>6.71</v>
      </c>
      <c r="CJ271" t="n">
        <v>2.602</v>
      </c>
      <c r="CK271" t="n">
        <v>14</v>
      </c>
      <c r="CL271" t="n">
        <v>21</v>
      </c>
      <c r="CM271" t="n">
        <v>9</v>
      </c>
      <c r="CN271" t="n">
        <v>6</v>
      </c>
      <c r="CO271" t="n">
        <v>1</v>
      </c>
      <c r="CP271" t="n">
        <v>11</v>
      </c>
      <c r="CQ271" t="n">
        <v>2</v>
      </c>
      <c r="CR271" t="n">
        <v>40</v>
      </c>
      <c r="CS271" t="n">
        <v>20</v>
      </c>
      <c r="CT271" t="n">
        <v>0.3</v>
      </c>
      <c r="CW271" t="n">
        <v>9.41</v>
      </c>
      <c r="CX271" t="n">
        <v>1.395</v>
      </c>
      <c r="CY271" t="n">
        <v>0</v>
      </c>
      <c r="DB271" t="n">
        <v>0</v>
      </c>
      <c r="DF271" t="n">
        <v>3</v>
      </c>
      <c r="DG271" t="n">
        <v>0</v>
      </c>
      <c r="DH271" t="n">
        <v>9</v>
      </c>
      <c r="DI271" t="n">
        <v>6</v>
      </c>
      <c r="DL271" t="n">
        <v>5</v>
      </c>
      <c r="DM271" t="n">
        <v>13</v>
      </c>
      <c r="DN271" t="n">
        <v>1</v>
      </c>
      <c r="DO271" t="n">
        <v>0.7</v>
      </c>
      <c r="DP271" t="n">
        <v>12.84</v>
      </c>
      <c r="DQ271" t="n">
        <v>6.57</v>
      </c>
      <c r="DR271" t="n">
        <v>13.14</v>
      </c>
      <c r="DS271" t="n">
        <v>-0.3</v>
      </c>
      <c r="DT271" t="n">
        <v>59</v>
      </c>
      <c r="DU271" t="n">
        <v>1.55</v>
      </c>
      <c r="DV271" t="inlineStr">
        <is>
          <t>flat</t>
        </is>
      </c>
      <c r="DW271" t="n">
        <v>90.76000000000001</v>
      </c>
      <c r="DX271" t="n">
        <v>102.5</v>
      </c>
      <c r="DY271" t="n">
        <v>24.48</v>
      </c>
      <c r="DZ271" t="n">
        <v>20.5</v>
      </c>
      <c r="EA271" t="n">
        <v>117.71</v>
      </c>
      <c r="EB271" t="n">
        <v>18</v>
      </c>
      <c r="EC271" t="n">
        <v>8.699999999999999</v>
      </c>
      <c r="ED271" t="n">
        <v>5.3</v>
      </c>
      <c r="EE271" t="n">
        <v>177</v>
      </c>
      <c r="EF271" t="n">
        <v>24.3</v>
      </c>
      <c r="EG271" t="n">
        <v>12.6</v>
      </c>
      <c r="EH271" t="n">
        <v>55.2</v>
      </c>
      <c r="EI271" t="n">
        <v>184.3</v>
      </c>
      <c r="EJ271" t="n">
        <v>780.1</v>
      </c>
      <c r="EK271" t="n">
        <v>149.1</v>
      </c>
      <c r="EL271" t="n">
        <v>14.5</v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n">
        <v>6</v>
      </c>
      <c r="F272" t="b">
        <v>1</v>
      </c>
      <c r="G272" t="b">
        <v>1</v>
      </c>
      <c r="H272" t="n">
        <v>27.3</v>
      </c>
      <c r="I272" t="inlineStr">
        <is>
          <t>a</t>
        </is>
      </c>
      <c r="L272" t="inlineStr">
        <is>
          <t>p222683</t>
        </is>
      </c>
      <c r="M272" t="n">
        <v>70</v>
      </c>
      <c r="N272" t="n">
        <v>2</v>
      </c>
      <c r="O272" t="n">
        <v>3</v>
      </c>
      <c r="P272" t="n">
        <v>2</v>
      </c>
      <c r="Q272" t="n">
        <v>945</v>
      </c>
      <c r="R272" t="n">
        <v>20</v>
      </c>
      <c r="S272" t="n">
        <v>10</v>
      </c>
      <c r="T272" t="n">
        <v>10.5</v>
      </c>
      <c r="U272" t="n">
        <v>47.2</v>
      </c>
      <c r="V272" t="n">
        <v>41</v>
      </c>
      <c r="W272" t="n">
        <v>3.905</v>
      </c>
      <c r="X272" t="n">
        <v>2</v>
      </c>
      <c r="Y272" t="n">
        <v>0</v>
      </c>
      <c r="AA272" t="n">
        <v>4</v>
      </c>
      <c r="AB272" t="n">
        <v>19</v>
      </c>
      <c r="AC272" t="n">
        <v>3</v>
      </c>
      <c r="AD272" t="n">
        <v>3</v>
      </c>
      <c r="AE272" t="n">
        <v>0</v>
      </c>
      <c r="AF272" t="n">
        <v>147</v>
      </c>
      <c r="AG272" t="n">
        <v>146</v>
      </c>
      <c r="AH272" t="n">
        <v>-1</v>
      </c>
      <c r="AI272" t="n">
        <v>41</v>
      </c>
      <c r="AJ272" t="n">
        <v>0.073</v>
      </c>
      <c r="AK272" t="n">
        <v>0.079</v>
      </c>
      <c r="AL272" t="n">
        <v>65</v>
      </c>
      <c r="AM272" t="n">
        <v>6.19</v>
      </c>
      <c r="AN272" t="n">
        <v>0</v>
      </c>
      <c r="AO272" t="n">
        <v>0</v>
      </c>
      <c r="AP272" t="n">
        <v>0</v>
      </c>
      <c r="AQ272" t="n">
        <v>0.1</v>
      </c>
      <c r="AR272" t="n">
        <v>0</v>
      </c>
      <c r="AS272" t="n">
        <v>0.263</v>
      </c>
      <c r="AT272" t="n">
        <v>0.45</v>
      </c>
      <c r="AU272" t="n">
        <v>16</v>
      </c>
      <c r="AV272" t="n">
        <v>0</v>
      </c>
      <c r="AW272" t="n">
        <v>1.91</v>
      </c>
      <c r="AX272" t="n">
        <v>9</v>
      </c>
      <c r="AY272" t="n">
        <v>2.31</v>
      </c>
      <c r="AZ272" t="n">
        <v>2.293</v>
      </c>
      <c r="BA272" t="n">
        <v>2.302</v>
      </c>
      <c r="BB272" t="n">
        <v>2.293</v>
      </c>
      <c r="BC272" t="n">
        <v>0.22</v>
      </c>
      <c r="BD272" t="n">
        <v>0.218</v>
      </c>
      <c r="BE272" t="n">
        <v>0.219</v>
      </c>
      <c r="BF272" t="n">
        <v>0.7</v>
      </c>
      <c r="BG272" t="n">
        <v>0.067</v>
      </c>
      <c r="BH272" t="n">
        <v>1.022</v>
      </c>
      <c r="BI272" t="n">
        <v>18.12</v>
      </c>
      <c r="BJ272" t="n">
        <v>2.361</v>
      </c>
      <c r="BK272" t="n">
        <v>0.225</v>
      </c>
      <c r="BL272" t="n">
        <v>-0.302</v>
      </c>
      <c r="BM272" t="n">
        <v>-1.61</v>
      </c>
      <c r="BN272" t="n">
        <v>1.3</v>
      </c>
      <c r="BO272" t="n">
        <v>0.017</v>
      </c>
      <c r="BP272" t="n">
        <v>17</v>
      </c>
      <c r="BQ272" t="n">
        <v>4</v>
      </c>
      <c r="BR272" t="n">
        <v>1</v>
      </c>
      <c r="BS272" t="n">
        <v>31</v>
      </c>
      <c r="BT272" t="n">
        <v>2.952</v>
      </c>
      <c r="BW272" t="n">
        <v>1.55</v>
      </c>
      <c r="BX272" t="n">
        <v>2.295</v>
      </c>
      <c r="BY272" t="n">
        <v>1.922</v>
      </c>
      <c r="BZ272" t="n">
        <v>0.183</v>
      </c>
      <c r="CA272" t="n">
        <v>4.224</v>
      </c>
      <c r="CB272" t="n">
        <v>0.402</v>
      </c>
      <c r="CC272" t="n">
        <v>22</v>
      </c>
      <c r="CD272" t="n">
        <v>3</v>
      </c>
      <c r="CE272" t="n">
        <v>21</v>
      </c>
      <c r="CF272" t="n">
        <v>8</v>
      </c>
      <c r="CG272" t="n">
        <v>1</v>
      </c>
      <c r="CH272" t="n">
        <v>20</v>
      </c>
      <c r="CI272" t="n">
        <v>5.312</v>
      </c>
      <c r="CJ272" t="n">
        <v>2.318</v>
      </c>
      <c r="CK272" t="n">
        <v>9</v>
      </c>
      <c r="CL272" t="n">
        <v>46</v>
      </c>
      <c r="CM272" t="n">
        <v>10</v>
      </c>
      <c r="CN272" t="n">
        <v>6</v>
      </c>
      <c r="CO272" t="n">
        <v>4</v>
      </c>
      <c r="CP272" t="n">
        <v>2</v>
      </c>
      <c r="CQ272" t="n">
        <v>2</v>
      </c>
      <c r="CR272" t="n">
        <v>37</v>
      </c>
      <c r="CS272" t="n">
        <v>6</v>
      </c>
      <c r="CT272" t="n">
        <v>0.9</v>
      </c>
      <c r="CW272" t="n">
        <v>17.96</v>
      </c>
      <c r="CX272" t="n">
        <v>1.71</v>
      </c>
      <c r="CY272" t="n">
        <v>0</v>
      </c>
      <c r="DB272" t="n">
        <v>0</v>
      </c>
      <c r="DE272" t="n">
        <v>6.53</v>
      </c>
      <c r="DF272" t="n">
        <v>5</v>
      </c>
      <c r="DG272" t="n">
        <v>0</v>
      </c>
      <c r="DH272" t="n">
        <v>18</v>
      </c>
      <c r="DI272" t="n">
        <v>10</v>
      </c>
      <c r="DL272" t="n">
        <v>11</v>
      </c>
      <c r="DM272" t="n">
        <v>15</v>
      </c>
      <c r="DN272" t="n">
        <v>2</v>
      </c>
      <c r="DO272" t="n">
        <v>1.1</v>
      </c>
      <c r="DP272" t="n">
        <v>65.56</v>
      </c>
      <c r="DQ272" t="n">
        <v>41.25</v>
      </c>
      <c r="DR272" t="n">
        <v>82.5</v>
      </c>
      <c r="DS272" t="n">
        <v>-16.94</v>
      </c>
      <c r="DT272" t="n">
        <v>935</v>
      </c>
      <c r="DU272" t="n">
        <v>24.6</v>
      </c>
      <c r="DV272" t="inlineStr">
        <is>
          <t>fade (losing his place)</t>
        </is>
      </c>
      <c r="DW272" t="n">
        <v>73.7</v>
      </c>
      <c r="DX272" t="n">
        <v>82.38</v>
      </c>
      <c r="DY272" t="n">
        <v>23.34</v>
      </c>
      <c r="DZ272" t="n">
        <v>26</v>
      </c>
      <c r="EA272" t="n">
        <v>119</v>
      </c>
      <c r="EB272" t="n">
        <v>61</v>
      </c>
      <c r="EC272" t="n">
        <v>29.3</v>
      </c>
      <c r="ED272" t="n">
        <v>0</v>
      </c>
      <c r="EE272" t="n">
        <v>100</v>
      </c>
      <c r="EF272" t="n">
        <v>55.6</v>
      </c>
      <c r="EG272" t="n">
        <v>30.5</v>
      </c>
      <c r="EH272" t="n">
        <v>45</v>
      </c>
      <c r="EI272" t="n">
        <v>410.6</v>
      </c>
      <c r="EJ272" t="n">
        <v>491.6</v>
      </c>
      <c r="EK272" t="n">
        <v>223.7</v>
      </c>
      <c r="EL272" t="n">
        <v>23</v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n">
        <v>5</v>
      </c>
      <c r="F273" t="b">
        <v>1</v>
      </c>
      <c r="G273" t="b">
        <v>1</v>
      </c>
      <c r="H273" t="n">
        <v>35.6</v>
      </c>
      <c r="I273" t="inlineStr">
        <is>
          <t>i</t>
        </is>
      </c>
      <c r="J273" t="inlineStr">
        <is>
          <t>Knee injury - Expected back 10 Oct</t>
        </is>
      </c>
      <c r="K273" t="n">
        <v>0</v>
      </c>
      <c r="L273" t="inlineStr">
        <is>
          <t>p76357</t>
        </is>
      </c>
      <c r="M273" t="n">
        <v>266</v>
      </c>
      <c r="Q273" t="n">
        <v>756</v>
      </c>
      <c r="R273" t="n">
        <v>24</v>
      </c>
      <c r="S273" t="n">
        <v>6</v>
      </c>
      <c r="T273" t="n">
        <v>8.4</v>
      </c>
      <c r="U273" t="n">
        <v>31.5</v>
      </c>
      <c r="V273" t="n">
        <v>41</v>
      </c>
      <c r="W273" t="n">
        <v>4.881</v>
      </c>
      <c r="X273" t="n">
        <v>2</v>
      </c>
      <c r="Y273" t="n">
        <v>0</v>
      </c>
      <c r="AA273" t="n">
        <v>2</v>
      </c>
      <c r="AB273" t="n">
        <v>10</v>
      </c>
      <c r="AC273" t="n">
        <v>1</v>
      </c>
      <c r="AD273" t="n">
        <v>1</v>
      </c>
      <c r="AE273" t="n">
        <v>0</v>
      </c>
      <c r="AF273" t="n">
        <v>181</v>
      </c>
      <c r="AG273" t="n">
        <v>177</v>
      </c>
      <c r="AH273" t="n">
        <v>-4</v>
      </c>
      <c r="AI273" t="n">
        <v>41</v>
      </c>
      <c r="AJ273" t="n">
        <v>0.024</v>
      </c>
      <c r="AK273" t="n">
        <v>0.025</v>
      </c>
      <c r="AL273" t="n">
        <v>61</v>
      </c>
      <c r="AM273" t="n">
        <v>7.262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0.158</v>
      </c>
      <c r="AT273" t="n">
        <v>0.292</v>
      </c>
      <c r="AU273" t="n">
        <v>20</v>
      </c>
      <c r="AV273" t="n">
        <v>0</v>
      </c>
      <c r="AW273" t="n">
        <v>1.46</v>
      </c>
      <c r="AX273" t="n">
        <v>6</v>
      </c>
      <c r="AY273" t="n">
        <v>1.21</v>
      </c>
      <c r="AZ273" t="n">
        <v>0.8120000000000001</v>
      </c>
      <c r="BA273" t="n">
        <v>1.011</v>
      </c>
      <c r="BB273" t="n">
        <v>0.8120000000000001</v>
      </c>
      <c r="BC273" t="n">
        <v>0.144</v>
      </c>
      <c r="BD273" t="n">
        <v>0.097</v>
      </c>
      <c r="BE273" t="n">
        <v>0.12</v>
      </c>
      <c r="BF273" t="n">
        <v>0.9</v>
      </c>
      <c r="BG273" t="n">
        <v>0.107</v>
      </c>
      <c r="BH273" t="n">
        <v>1.023</v>
      </c>
      <c r="BI273" t="n">
        <v>4.41</v>
      </c>
      <c r="BJ273" t="n">
        <v>1.238</v>
      </c>
      <c r="BK273" t="n">
        <v>0.147</v>
      </c>
      <c r="BL273" t="n">
        <v>0.989</v>
      </c>
      <c r="BM273" t="n">
        <v>-0.31</v>
      </c>
      <c r="BN273" t="n">
        <v>1.1</v>
      </c>
      <c r="BO273" t="n">
        <v>0.398</v>
      </c>
      <c r="BP273" t="n">
        <v>17</v>
      </c>
      <c r="BQ273" t="n">
        <v>2</v>
      </c>
      <c r="BS273" t="n">
        <v>11</v>
      </c>
      <c r="BT273" t="n">
        <v>1.31</v>
      </c>
      <c r="BW273" t="n">
        <v>0.8100000000000001</v>
      </c>
      <c r="BX273" t="n">
        <v>0.6889999999999999</v>
      </c>
      <c r="BY273" t="n">
        <v>0.749</v>
      </c>
      <c r="BZ273" t="n">
        <v>0.089</v>
      </c>
      <c r="CA273" t="n">
        <v>1.761</v>
      </c>
      <c r="CB273" t="n">
        <v>0.21</v>
      </c>
      <c r="CC273" t="n">
        <v>11</v>
      </c>
      <c r="CE273" t="n">
        <v>11</v>
      </c>
      <c r="CF273" t="n">
        <v>2</v>
      </c>
      <c r="CG273" t="n">
        <v>2</v>
      </c>
      <c r="CH273" t="n">
        <v>4</v>
      </c>
      <c r="CI273" t="n">
        <v>4.333</v>
      </c>
      <c r="CJ273" t="n">
        <v>3.376</v>
      </c>
      <c r="CK273" t="n">
        <v>12</v>
      </c>
      <c r="CL273" t="n">
        <v>42</v>
      </c>
      <c r="CM273" t="n">
        <v>7</v>
      </c>
      <c r="CN273" t="n">
        <v>3</v>
      </c>
      <c r="CO273" t="n">
        <v>4</v>
      </c>
      <c r="CP273" t="n">
        <v>7</v>
      </c>
      <c r="CQ273" t="n">
        <v>1</v>
      </c>
      <c r="CR273" t="n">
        <v>32</v>
      </c>
      <c r="CS273" t="n">
        <v>10</v>
      </c>
      <c r="CT273" t="n">
        <v>0.4</v>
      </c>
      <c r="CW273" t="n">
        <v>11.67</v>
      </c>
      <c r="CX273" t="n">
        <v>1.389</v>
      </c>
      <c r="CY273" t="n">
        <v>0</v>
      </c>
      <c r="DB273" t="n">
        <v>0</v>
      </c>
      <c r="DF273" t="n">
        <v>3</v>
      </c>
      <c r="DG273" t="n">
        <v>0</v>
      </c>
      <c r="DH273" t="n">
        <v>10</v>
      </c>
      <c r="DI273" t="n">
        <v>11</v>
      </c>
      <c r="DJ273" t="n">
        <v>0</v>
      </c>
      <c r="DL273" t="n">
        <v>4</v>
      </c>
      <c r="DM273" t="n">
        <v>4</v>
      </c>
      <c r="DO273" t="n">
        <v>0</v>
      </c>
      <c r="DP273" t="n">
        <v>26.88</v>
      </c>
      <c r="DQ273" t="n">
        <v>13.48</v>
      </c>
      <c r="DR273" t="n">
        <v>26.96</v>
      </c>
      <c r="DS273" t="n">
        <v>-0.08</v>
      </c>
      <c r="DT273" t="n">
        <v>324</v>
      </c>
      <c r="DU273" t="n">
        <v>8.529999999999999</v>
      </c>
      <c r="DV273" t="inlineStr">
        <is>
          <t>flat</t>
        </is>
      </c>
      <c r="EF273" t="n">
        <v>44.5</v>
      </c>
      <c r="EG273" t="n">
        <v>68.7</v>
      </c>
      <c r="EH273" t="n">
        <v>68.7</v>
      </c>
      <c r="EI273" t="n">
        <v>747.6</v>
      </c>
      <c r="EJ273" t="n">
        <v>1008.8</v>
      </c>
      <c r="EK273" t="n">
        <v>429.4</v>
      </c>
      <c r="EL273" t="n">
        <v>18.4</v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n">
        <v>6</v>
      </c>
      <c r="F274" t="b">
        <v>1</v>
      </c>
      <c r="G274" t="b">
        <v>1</v>
      </c>
      <c r="H274" t="n">
        <v>34.7</v>
      </c>
      <c r="I274" t="inlineStr">
        <is>
          <t>a</t>
        </is>
      </c>
      <c r="L274" t="inlineStr">
        <is>
          <t>p60689</t>
        </is>
      </c>
      <c r="M274" t="n">
        <v>490</v>
      </c>
      <c r="N274" t="n">
        <v>1</v>
      </c>
      <c r="Q274" t="n">
        <v>896</v>
      </c>
      <c r="R274" t="n">
        <v>15</v>
      </c>
      <c r="S274" t="n">
        <v>11</v>
      </c>
      <c r="T274" t="n">
        <v>9.956</v>
      </c>
      <c r="U274" t="n">
        <v>59.7</v>
      </c>
      <c r="V274" t="n">
        <v>41</v>
      </c>
      <c r="W274" t="n">
        <v>4.118</v>
      </c>
      <c r="X274" t="n">
        <v>3</v>
      </c>
      <c r="Y274" t="n">
        <v>0</v>
      </c>
      <c r="AA274" t="n">
        <v>2</v>
      </c>
      <c r="AB274" t="n">
        <v>14</v>
      </c>
      <c r="AC274" t="n">
        <v>4</v>
      </c>
      <c r="AD274" t="n">
        <v>4</v>
      </c>
      <c r="AE274" t="n">
        <v>0</v>
      </c>
      <c r="AF274" t="n">
        <v>145</v>
      </c>
      <c r="AG274" t="n">
        <v>141</v>
      </c>
      <c r="AH274" t="n">
        <v>-4</v>
      </c>
      <c r="AI274" t="n">
        <v>41</v>
      </c>
      <c r="AJ274" t="n">
        <v>0.098</v>
      </c>
      <c r="AK274" t="n">
        <v>0.108</v>
      </c>
      <c r="AL274" t="n">
        <v>29</v>
      </c>
      <c r="AM274" t="n">
        <v>2.913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0.289</v>
      </c>
      <c r="AT274" t="n">
        <v>0.667</v>
      </c>
      <c r="AU274" t="n">
        <v>13</v>
      </c>
      <c r="AV274" t="n">
        <v>1</v>
      </c>
      <c r="AW274" t="n">
        <v>2.39</v>
      </c>
      <c r="AX274" t="n">
        <v>13</v>
      </c>
      <c r="AY274" t="n">
        <v>4.29</v>
      </c>
      <c r="AZ274" t="n">
        <v>3.365</v>
      </c>
      <c r="BA274" t="n">
        <v>3.828</v>
      </c>
      <c r="BB274" t="n">
        <v>3.365</v>
      </c>
      <c r="BC274" t="n">
        <v>0.431</v>
      </c>
      <c r="BD274" t="n">
        <v>0.338</v>
      </c>
      <c r="BE274" t="n">
        <v>0.384</v>
      </c>
      <c r="BF274" t="n">
        <v>2.6</v>
      </c>
      <c r="BG274" t="n">
        <v>0.261</v>
      </c>
      <c r="BH274" t="n">
        <v>1.004</v>
      </c>
      <c r="BI274" t="n">
        <v>32.13</v>
      </c>
      <c r="BJ274" t="n">
        <v>4.308</v>
      </c>
      <c r="BK274" t="n">
        <v>0.433</v>
      </c>
      <c r="BL274" t="n">
        <v>-0.828</v>
      </c>
      <c r="BM274" t="n">
        <v>-1.69</v>
      </c>
      <c r="BN274" t="n">
        <v>0.4</v>
      </c>
      <c r="BO274" t="n">
        <v>0.925</v>
      </c>
      <c r="BP274" t="n">
        <v>23</v>
      </c>
      <c r="BQ274" t="n">
        <v>9</v>
      </c>
      <c r="BR274" t="n">
        <v>4</v>
      </c>
      <c r="BS274" t="n">
        <v>37</v>
      </c>
      <c r="BT274" t="n">
        <v>3.717</v>
      </c>
      <c r="BW274" t="n">
        <v>0.32</v>
      </c>
      <c r="BX274" t="n">
        <v>0.322</v>
      </c>
      <c r="BY274" t="n">
        <v>0.321</v>
      </c>
      <c r="BZ274" t="n">
        <v>0.032</v>
      </c>
      <c r="CA274" t="n">
        <v>4.148</v>
      </c>
      <c r="CB274" t="n">
        <v>0.417</v>
      </c>
      <c r="CC274" t="n">
        <v>5</v>
      </c>
      <c r="CE274" t="n">
        <v>5</v>
      </c>
      <c r="CI274" t="n">
        <v>3.268</v>
      </c>
      <c r="CJ274" t="n">
        <v>0.507</v>
      </c>
      <c r="CK274" t="n">
        <v>14</v>
      </c>
      <c r="CL274" t="n">
        <v>14</v>
      </c>
      <c r="CM274" t="n">
        <v>1</v>
      </c>
      <c r="CN274" t="n">
        <v>1</v>
      </c>
      <c r="CO274" t="n">
        <v>1</v>
      </c>
      <c r="CP274" t="n">
        <v>9</v>
      </c>
      <c r="CQ274" t="n">
        <v>4</v>
      </c>
      <c r="CR274" t="n">
        <v>34</v>
      </c>
      <c r="CS274" t="n">
        <v>26</v>
      </c>
      <c r="CV274" t="n">
        <v>1</v>
      </c>
      <c r="CW274" t="n">
        <v>14.44</v>
      </c>
      <c r="CX274" t="n">
        <v>1.45</v>
      </c>
      <c r="CY274" t="n">
        <v>0</v>
      </c>
      <c r="DB274" t="n">
        <v>0</v>
      </c>
      <c r="DF274" t="n">
        <v>0</v>
      </c>
      <c r="DG274" t="n">
        <v>0</v>
      </c>
      <c r="DH274" t="n">
        <v>6</v>
      </c>
      <c r="DI274" t="n">
        <v>6</v>
      </c>
      <c r="DL274" t="n">
        <v>1</v>
      </c>
      <c r="DM274" t="n">
        <v>2</v>
      </c>
      <c r="DN274" t="n">
        <v>4</v>
      </c>
      <c r="DO274" t="n">
        <v>1.7</v>
      </c>
      <c r="DP274" t="n">
        <v>54.04</v>
      </c>
      <c r="DQ274" t="n">
        <v>27.02</v>
      </c>
      <c r="DR274" t="n">
        <v>54.04</v>
      </c>
      <c r="DS274" t="n">
        <v>0</v>
      </c>
      <c r="DT274" t="n">
        <v>523</v>
      </c>
      <c r="DU274" t="n">
        <v>13.77</v>
      </c>
      <c r="DV274" t="inlineStr">
        <is>
          <t>flat</t>
        </is>
      </c>
      <c r="DW274" t="n">
        <v>68.66</v>
      </c>
      <c r="DX274" t="n">
        <v>81.54000000000001</v>
      </c>
      <c r="DY274" t="n">
        <v>27.96</v>
      </c>
      <c r="DZ274" t="n">
        <v>10</v>
      </c>
      <c r="EA274" t="n">
        <v>120</v>
      </c>
      <c r="EB274" t="n">
        <v>118</v>
      </c>
      <c r="EC274" t="n">
        <v>56.7</v>
      </c>
      <c r="ED274" t="n">
        <v>20.3</v>
      </c>
      <c r="EE274" t="n">
        <v>101</v>
      </c>
      <c r="EF274" t="n">
        <v>39</v>
      </c>
      <c r="EG274" t="n">
        <v>24.2</v>
      </c>
      <c r="EH274" t="n">
        <v>179.2</v>
      </c>
      <c r="EI274" t="n">
        <v>234.1</v>
      </c>
      <c r="EJ274" t="n">
        <v>2792.6</v>
      </c>
      <c r="EK274" t="n">
        <v>216</v>
      </c>
      <c r="EL274" t="n">
        <v>21.9</v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n">
        <v>9</v>
      </c>
      <c r="F275" t="b">
        <v>1</v>
      </c>
      <c r="G275" t="b">
        <v>1</v>
      </c>
      <c r="H275" t="n">
        <v>26.9</v>
      </c>
      <c r="I275" t="inlineStr">
        <is>
          <t>a</t>
        </is>
      </c>
      <c r="L275" t="inlineStr">
        <is>
          <t>p219168</t>
        </is>
      </c>
      <c r="M275" t="n">
        <v>379</v>
      </c>
      <c r="N275" t="n">
        <v>1</v>
      </c>
      <c r="Q275" t="n">
        <v>694</v>
      </c>
      <c r="R275" t="n">
        <v>14</v>
      </c>
      <c r="S275" t="n">
        <v>8</v>
      </c>
      <c r="T275" t="n">
        <v>7.711</v>
      </c>
      <c r="U275" t="n">
        <v>49.6</v>
      </c>
      <c r="V275" t="n">
        <v>41</v>
      </c>
      <c r="W275" t="n">
        <v>5.317</v>
      </c>
      <c r="X275" t="n">
        <v>3</v>
      </c>
      <c r="Y275" t="n">
        <v>1</v>
      </c>
      <c r="Z275" t="n">
        <v>1</v>
      </c>
      <c r="AA275" t="n">
        <v>1</v>
      </c>
      <c r="AB275" t="n">
        <v>9</v>
      </c>
      <c r="AC275" t="n">
        <v>4</v>
      </c>
      <c r="AD275" t="n">
        <v>4</v>
      </c>
      <c r="AE275" t="n">
        <v>0</v>
      </c>
      <c r="AF275" t="n">
        <v>140</v>
      </c>
      <c r="AG275" t="n">
        <v>137</v>
      </c>
      <c r="AH275" t="n">
        <v>-3</v>
      </c>
      <c r="AI275" t="n">
        <v>41</v>
      </c>
      <c r="AJ275" t="n">
        <v>0.098</v>
      </c>
      <c r="AK275" t="n">
        <v>0.108</v>
      </c>
      <c r="AL275" t="n">
        <v>30</v>
      </c>
      <c r="AM275" t="n">
        <v>3.89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0.211</v>
      </c>
      <c r="AT275" t="n">
        <v>0.571</v>
      </c>
      <c r="AU275" t="n">
        <v>10</v>
      </c>
      <c r="AV275" t="n">
        <v>0</v>
      </c>
      <c r="AW275" t="n">
        <v>2.05</v>
      </c>
      <c r="AX275" t="n">
        <v>8</v>
      </c>
      <c r="AY275" t="n">
        <v>2.59</v>
      </c>
      <c r="AZ275" t="n">
        <v>3.245</v>
      </c>
      <c r="BA275" t="n">
        <v>2.918</v>
      </c>
      <c r="BB275" t="n">
        <v>3.245</v>
      </c>
      <c r="BC275" t="n">
        <v>0.336</v>
      </c>
      <c r="BD275" t="n">
        <v>0.421</v>
      </c>
      <c r="BE275" t="n">
        <v>0.378</v>
      </c>
      <c r="BF275" t="n">
        <v>2.8</v>
      </c>
      <c r="BG275" t="n">
        <v>0.363</v>
      </c>
      <c r="BH275" t="n">
        <v>1.056</v>
      </c>
      <c r="BI275" t="n">
        <v>51.25</v>
      </c>
      <c r="BJ275" t="n">
        <v>2.736</v>
      </c>
      <c r="BK275" t="n">
        <v>0.355</v>
      </c>
      <c r="BL275" t="n">
        <v>0.082</v>
      </c>
      <c r="BM275" t="n">
        <v>0.21</v>
      </c>
      <c r="BN275" t="n">
        <v>0.2</v>
      </c>
      <c r="BO275" t="n">
        <v>-0.655</v>
      </c>
      <c r="BP275" t="n">
        <v>17</v>
      </c>
      <c r="BQ275" t="n">
        <v>6</v>
      </c>
      <c r="BR275" t="n">
        <v>5</v>
      </c>
      <c r="BS275" t="n">
        <v>30</v>
      </c>
      <c r="BT275" t="n">
        <v>3.89</v>
      </c>
      <c r="BW275" t="n">
        <v>0.08</v>
      </c>
      <c r="BX275" t="n">
        <v>0.846</v>
      </c>
      <c r="BY275" t="n">
        <v>0.463</v>
      </c>
      <c r="BZ275" t="n">
        <v>0.06</v>
      </c>
      <c r="CA275" t="n">
        <v>3.381</v>
      </c>
      <c r="CB275" t="n">
        <v>0.438</v>
      </c>
      <c r="CC275" t="n">
        <v>2</v>
      </c>
      <c r="CD275" t="n">
        <v>1</v>
      </c>
      <c r="CE275" t="n">
        <v>2</v>
      </c>
      <c r="CI275" t="n">
        <v>4.253</v>
      </c>
      <c r="CJ275" t="n">
        <v>0.98</v>
      </c>
      <c r="CK275" t="n">
        <v>10</v>
      </c>
      <c r="CL275" t="n">
        <v>13</v>
      </c>
      <c r="CM275" t="n">
        <v>7</v>
      </c>
      <c r="CN275" t="n">
        <v>6</v>
      </c>
      <c r="CP275" t="n">
        <v>9</v>
      </c>
      <c r="CQ275" t="n">
        <v>1</v>
      </c>
      <c r="CR275" t="n">
        <v>17</v>
      </c>
      <c r="CS275" t="n">
        <v>8</v>
      </c>
      <c r="CW275" t="n">
        <v>8.380000000000001</v>
      </c>
      <c r="CX275" t="n">
        <v>1.087</v>
      </c>
      <c r="CY275" t="n">
        <v>0</v>
      </c>
      <c r="DB275" t="n">
        <v>0</v>
      </c>
      <c r="DF275" t="n">
        <v>0</v>
      </c>
      <c r="DG275" t="n">
        <v>0</v>
      </c>
      <c r="DH275" t="n">
        <v>5</v>
      </c>
      <c r="DI275" t="n">
        <v>1</v>
      </c>
      <c r="DL275" t="n">
        <v>1</v>
      </c>
      <c r="DM275" t="n">
        <v>7</v>
      </c>
      <c r="DO275" t="n">
        <v>13.9</v>
      </c>
      <c r="DP275" t="n">
        <v>159.04</v>
      </c>
      <c r="DQ275" t="n">
        <v>83.47</v>
      </c>
      <c r="DR275" t="n">
        <v>166.94</v>
      </c>
      <c r="DS275" t="n">
        <v>-7.9</v>
      </c>
      <c r="DT275" t="n">
        <v>2177</v>
      </c>
      <c r="DU275" t="n">
        <v>57.3</v>
      </c>
      <c r="DV275" t="inlineStr">
        <is>
          <t>flat</t>
        </is>
      </c>
      <c r="DW275" t="n">
        <v>5.95</v>
      </c>
      <c r="DX275" t="n">
        <v>5.46</v>
      </c>
      <c r="DY275" t="n">
        <v>8.539999999999999</v>
      </c>
      <c r="DZ275" t="n">
        <v>1</v>
      </c>
      <c r="EA275" t="n">
        <v>102.67</v>
      </c>
      <c r="EB275" t="n">
        <v>172</v>
      </c>
      <c r="EC275" t="n">
        <v>82.7</v>
      </c>
      <c r="ED275" t="n">
        <v>19.6</v>
      </c>
      <c r="EE275" t="n">
        <v>5</v>
      </c>
      <c r="EF275" t="n">
        <v>40.8</v>
      </c>
      <c r="EG275" t="n">
        <v>23.1</v>
      </c>
      <c r="EH275" t="n">
        <v>347</v>
      </c>
      <c r="EI275" t="n">
        <v>237.9</v>
      </c>
      <c r="EJ275" t="n">
        <v>1498.7</v>
      </c>
      <c r="EK275" t="n">
        <v>205.3</v>
      </c>
      <c r="EL275" t="n">
        <v>16.9</v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n">
        <v>5</v>
      </c>
      <c r="F276" t="b">
        <v>1</v>
      </c>
      <c r="G276" t="b">
        <v>1</v>
      </c>
      <c r="H276" t="n">
        <v>22.6</v>
      </c>
      <c r="I276" t="inlineStr">
        <is>
          <t>a</t>
        </is>
      </c>
      <c r="L276" t="inlineStr">
        <is>
          <t>p515597</t>
        </is>
      </c>
      <c r="M276" t="n">
        <v>35</v>
      </c>
      <c r="Q276" t="n">
        <v>1042</v>
      </c>
      <c r="R276" t="n">
        <v>28</v>
      </c>
      <c r="S276" t="n">
        <v>11</v>
      </c>
      <c r="T276" t="n">
        <v>11.578</v>
      </c>
      <c r="U276" t="n">
        <v>37.2</v>
      </c>
      <c r="V276" t="n">
        <v>40</v>
      </c>
      <c r="W276" t="n">
        <v>3.455</v>
      </c>
      <c r="X276" t="n">
        <v>0</v>
      </c>
      <c r="Y276" t="n">
        <v>0</v>
      </c>
      <c r="AA276" t="n">
        <v>2</v>
      </c>
      <c r="AB276" t="n">
        <v>17</v>
      </c>
      <c r="AC276" t="n">
        <v>4</v>
      </c>
      <c r="AD276" t="n">
        <v>4</v>
      </c>
      <c r="AE276" t="n">
        <v>0</v>
      </c>
      <c r="AF276" t="n">
        <v>121</v>
      </c>
      <c r="AG276" t="n">
        <v>117</v>
      </c>
      <c r="AH276" t="n">
        <v>-4</v>
      </c>
      <c r="AI276" t="n">
        <v>40</v>
      </c>
      <c r="AJ276" t="n">
        <v>0.1</v>
      </c>
      <c r="AK276" t="n">
        <v>0.111</v>
      </c>
      <c r="AL276" t="n">
        <v>60</v>
      </c>
      <c r="AM276" t="n">
        <v>5.182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0.289</v>
      </c>
      <c r="AT276" t="n">
        <v>0.357</v>
      </c>
      <c r="AU276" t="n">
        <v>26</v>
      </c>
      <c r="AV276" t="n">
        <v>0</v>
      </c>
      <c r="AW276" t="n">
        <v>1.82</v>
      </c>
      <c r="AX276" t="n">
        <v>9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H276" t="n">
        <v>1.008</v>
      </c>
      <c r="BI276" t="n">
        <v>0.04</v>
      </c>
      <c r="BJ276" t="n">
        <v>0</v>
      </c>
      <c r="BK276" t="n">
        <v>0</v>
      </c>
      <c r="BL276" t="n">
        <v>0</v>
      </c>
      <c r="BO276" t="n">
        <v>0</v>
      </c>
      <c r="BS276" t="n">
        <v>7</v>
      </c>
      <c r="BT276" t="n">
        <v>0.605</v>
      </c>
      <c r="BW276" t="n">
        <v>0.2</v>
      </c>
      <c r="BX276" t="n">
        <v>0.041</v>
      </c>
      <c r="BY276" t="n">
        <v>0.121</v>
      </c>
      <c r="BZ276" t="n">
        <v>0.01</v>
      </c>
      <c r="CA276" t="n">
        <v>0.121</v>
      </c>
      <c r="CB276" t="n">
        <v>0.01</v>
      </c>
      <c r="CC276" t="n">
        <v>2</v>
      </c>
      <c r="CE276" t="n">
        <v>2</v>
      </c>
      <c r="CF276" t="n">
        <v>1</v>
      </c>
      <c r="CI276" t="n">
        <v>1.957</v>
      </c>
      <c r="CJ276" t="n">
        <v>1.916</v>
      </c>
      <c r="CK276" t="n">
        <v>34</v>
      </c>
      <c r="CL276" t="n">
        <v>43</v>
      </c>
      <c r="CM276" t="n">
        <v>26</v>
      </c>
      <c r="CN276" t="n">
        <v>18</v>
      </c>
      <c r="CO276" t="n">
        <v>5</v>
      </c>
      <c r="CP276" t="n">
        <v>23</v>
      </c>
      <c r="CQ276" t="n">
        <v>6</v>
      </c>
      <c r="CR276" t="n">
        <v>57</v>
      </c>
      <c r="CS276" t="n">
        <v>9</v>
      </c>
      <c r="CT276" t="n">
        <v>0.3</v>
      </c>
      <c r="CU276" t="n">
        <v>1</v>
      </c>
      <c r="CV276" t="n">
        <v>2</v>
      </c>
      <c r="CW276" t="n">
        <v>15.38</v>
      </c>
      <c r="CX276" t="n">
        <v>1.328</v>
      </c>
      <c r="CY276" t="n">
        <v>0</v>
      </c>
      <c r="DB276" t="n">
        <v>0</v>
      </c>
      <c r="DF276" t="n">
        <v>5</v>
      </c>
      <c r="DG276" t="n">
        <v>0</v>
      </c>
      <c r="DH276" t="n">
        <v>17</v>
      </c>
      <c r="DI276" t="n">
        <v>20</v>
      </c>
      <c r="DL276" t="n">
        <v>2</v>
      </c>
      <c r="DM276" t="n">
        <v>10</v>
      </c>
      <c r="DO276" t="n">
        <v>0.1</v>
      </c>
      <c r="DP276" t="n">
        <v>24.43</v>
      </c>
      <c r="DQ276" t="n">
        <v>13.9</v>
      </c>
      <c r="DR276" t="n">
        <v>27.8</v>
      </c>
      <c r="DS276" t="n">
        <v>-3.37</v>
      </c>
      <c r="DT276" t="n">
        <v>272</v>
      </c>
      <c r="DU276" t="n">
        <v>7.16</v>
      </c>
      <c r="DV276" t="inlineStr">
        <is>
          <t>flat</t>
        </is>
      </c>
      <c r="EG276" t="n">
        <v>148.9</v>
      </c>
      <c r="EH276" t="n">
        <v>521</v>
      </c>
      <c r="EJ276" t="n">
        <v>8641.799999999999</v>
      </c>
      <c r="EK276" t="n">
        <v>8641.799999999999</v>
      </c>
      <c r="EL276" t="n">
        <v>26</v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n">
        <v>5.5</v>
      </c>
      <c r="F277" t="b">
        <v>1</v>
      </c>
      <c r="G277" t="b">
        <v>1</v>
      </c>
      <c r="H277" t="n">
        <v>22.1</v>
      </c>
      <c r="I277" t="inlineStr">
        <is>
          <t>a</t>
        </is>
      </c>
      <c r="L277" t="inlineStr">
        <is>
          <t>p500040</t>
        </is>
      </c>
      <c r="M277" t="n">
        <v>11</v>
      </c>
      <c r="Q277" t="n">
        <v>986</v>
      </c>
      <c r="R277" t="n">
        <v>20</v>
      </c>
      <c r="S277" t="n">
        <v>9</v>
      </c>
      <c r="T277" t="n">
        <v>10.956</v>
      </c>
      <c r="U277" t="n">
        <v>49.3</v>
      </c>
      <c r="V277" t="n">
        <v>40</v>
      </c>
      <c r="W277" t="n">
        <v>3.651</v>
      </c>
      <c r="X277" t="n">
        <v>0</v>
      </c>
      <c r="Y277" t="n">
        <v>0</v>
      </c>
      <c r="AA277" t="n">
        <v>3</v>
      </c>
      <c r="AB277" t="n">
        <v>8</v>
      </c>
      <c r="AC277" t="n">
        <v>1</v>
      </c>
      <c r="AD277" t="n">
        <v>1</v>
      </c>
      <c r="AE277" t="n">
        <v>0</v>
      </c>
      <c r="AF277" t="n">
        <v>195</v>
      </c>
      <c r="AG277" t="n">
        <v>183</v>
      </c>
      <c r="AH277" t="n">
        <v>-12</v>
      </c>
      <c r="AI277" t="n">
        <v>40</v>
      </c>
      <c r="AJ277" t="n">
        <v>0.025</v>
      </c>
      <c r="AK277" t="n">
        <v>0.026</v>
      </c>
      <c r="AL277" t="n">
        <v>95</v>
      </c>
      <c r="AM277" t="n">
        <v>8.670999999999999</v>
      </c>
      <c r="AN277" t="n">
        <v>2</v>
      </c>
      <c r="AO277" t="n">
        <v>4</v>
      </c>
      <c r="AP277" t="n">
        <v>0.222</v>
      </c>
      <c r="AQ277" t="n">
        <v>0.222</v>
      </c>
      <c r="AR277" t="n">
        <v>0.111</v>
      </c>
      <c r="AS277" t="n">
        <v>0.237</v>
      </c>
      <c r="AT277" t="n">
        <v>0.4</v>
      </c>
      <c r="AU277" t="n">
        <v>15</v>
      </c>
      <c r="AV277" t="n">
        <v>0</v>
      </c>
      <c r="AW277" t="n">
        <v>1.77</v>
      </c>
      <c r="AX277" t="n">
        <v>7</v>
      </c>
      <c r="AY277" t="n">
        <v>0.1</v>
      </c>
      <c r="AZ277" t="n">
        <v>0.08599999999999999</v>
      </c>
      <c r="BA277" t="n">
        <v>0.093</v>
      </c>
      <c r="BB277" t="n">
        <v>0.08599999999999999</v>
      </c>
      <c r="BC277" t="n">
        <v>0.008999999999999999</v>
      </c>
      <c r="BD277" t="n">
        <v>0.008</v>
      </c>
      <c r="BE277" t="n">
        <v>0.008</v>
      </c>
      <c r="BH277" t="n">
        <v>0.988</v>
      </c>
      <c r="BI277" t="n">
        <v>0.1</v>
      </c>
      <c r="BJ277" t="n">
        <v>0.099</v>
      </c>
      <c r="BK277" t="n">
        <v>0.008999999999999999</v>
      </c>
      <c r="BL277" t="n">
        <v>-0.093</v>
      </c>
      <c r="BO277" t="n">
        <v>0.014</v>
      </c>
      <c r="BP277" t="n">
        <v>1</v>
      </c>
      <c r="BS277" t="n">
        <v>9</v>
      </c>
      <c r="BT277" t="n">
        <v>0.822</v>
      </c>
      <c r="BW277" t="n">
        <v>0.63</v>
      </c>
      <c r="BX277" t="n">
        <v>0.293</v>
      </c>
      <c r="BY277" t="n">
        <v>0.462</v>
      </c>
      <c r="BZ277" t="n">
        <v>0.042</v>
      </c>
      <c r="CA277" t="n">
        <v>0.555</v>
      </c>
      <c r="CB277" t="n">
        <v>0.051</v>
      </c>
      <c r="CC277" t="n">
        <v>5</v>
      </c>
      <c r="CE277" t="n">
        <v>5</v>
      </c>
      <c r="CF277" t="n">
        <v>1</v>
      </c>
      <c r="CG277" t="n">
        <v>1</v>
      </c>
      <c r="CI277" t="n">
        <v>5.388</v>
      </c>
      <c r="CJ277" t="n">
        <v>5.185</v>
      </c>
      <c r="CK277" t="n">
        <v>63</v>
      </c>
      <c r="CL277" t="n">
        <v>35</v>
      </c>
      <c r="CM277" t="n">
        <v>32</v>
      </c>
      <c r="CN277" t="n">
        <v>19</v>
      </c>
      <c r="CO277" t="n">
        <v>8</v>
      </c>
      <c r="CP277" t="n">
        <v>47</v>
      </c>
      <c r="CQ277" t="n">
        <v>7</v>
      </c>
      <c r="CR277" t="n">
        <v>60</v>
      </c>
      <c r="CS277" t="n">
        <v>20</v>
      </c>
      <c r="CV277" t="n">
        <v>1</v>
      </c>
      <c r="CW277" t="n">
        <v>9.039999999999999</v>
      </c>
      <c r="CX277" t="n">
        <v>0.825</v>
      </c>
      <c r="CY277" t="n">
        <v>0</v>
      </c>
      <c r="DB277" t="n">
        <v>0</v>
      </c>
      <c r="DF277" t="n">
        <v>4</v>
      </c>
      <c r="DG277" t="n">
        <v>0</v>
      </c>
      <c r="DH277" t="n">
        <v>17</v>
      </c>
      <c r="DI277" t="n">
        <v>7</v>
      </c>
      <c r="DL277" t="n">
        <v>1</v>
      </c>
      <c r="DM277" t="n">
        <v>8</v>
      </c>
      <c r="DN277" t="n">
        <v>1</v>
      </c>
      <c r="DO277" t="n">
        <v>13.7</v>
      </c>
      <c r="DP277" t="n">
        <v>37.43</v>
      </c>
      <c r="DQ277" t="n">
        <v>29.03</v>
      </c>
      <c r="DR277" t="n">
        <v>58.06</v>
      </c>
      <c r="DS277" t="n">
        <v>-20.63</v>
      </c>
      <c r="DT277" t="n">
        <v>295</v>
      </c>
      <c r="DU277" t="n">
        <v>7.77</v>
      </c>
      <c r="DV277" t="inlineStr">
        <is>
          <t>fade (losing his place)</t>
        </is>
      </c>
      <c r="DW277" t="n">
        <v>66.15000000000001</v>
      </c>
      <c r="DX277" t="n">
        <v>71.67</v>
      </c>
      <c r="DY277" t="n">
        <v>23.01</v>
      </c>
      <c r="DZ277" t="n">
        <v>18.4</v>
      </c>
      <c r="EA277" t="n">
        <v>116</v>
      </c>
      <c r="EB277" t="n">
        <v>161</v>
      </c>
      <c r="EC277" t="n">
        <v>77.40000000000001</v>
      </c>
      <c r="ED277" t="n">
        <v>13.4</v>
      </c>
      <c r="EE277" t="n">
        <v>178</v>
      </c>
      <c r="EF277" t="n">
        <v>986</v>
      </c>
      <c r="EG277" t="n">
        <v>109.6</v>
      </c>
      <c r="EH277" t="n">
        <v>197.2</v>
      </c>
      <c r="EI277" t="n">
        <v>10610.5</v>
      </c>
      <c r="EJ277" t="n">
        <v>2135.5</v>
      </c>
      <c r="EK277" t="n">
        <v>1777.7</v>
      </c>
      <c r="EL277" t="n">
        <v>24.6</v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n">
        <v>6</v>
      </c>
      <c r="F278" t="b">
        <v>1</v>
      </c>
      <c r="G278" t="b">
        <v>1</v>
      </c>
      <c r="H278" t="n">
        <v>28.9</v>
      </c>
      <c r="I278" t="inlineStr">
        <is>
          <t>a</t>
        </is>
      </c>
      <c r="L278" t="inlineStr">
        <is>
          <t>p154566</t>
        </is>
      </c>
      <c r="M278" t="n">
        <v>526</v>
      </c>
      <c r="N278" t="n">
        <v>1</v>
      </c>
      <c r="Q278" t="n">
        <v>997</v>
      </c>
      <c r="R278" t="n">
        <v>15</v>
      </c>
      <c r="S278" t="n">
        <v>11</v>
      </c>
      <c r="T278" t="n">
        <v>11.078</v>
      </c>
      <c r="U278" t="n">
        <v>66.5</v>
      </c>
      <c r="V278" t="n">
        <v>40</v>
      </c>
      <c r="W278" t="n">
        <v>3.611</v>
      </c>
      <c r="X278" t="n">
        <v>3</v>
      </c>
      <c r="Y278" t="n">
        <v>0</v>
      </c>
      <c r="AA278" t="n">
        <v>0</v>
      </c>
      <c r="AB278" t="n">
        <v>21</v>
      </c>
      <c r="AC278" t="n">
        <v>4</v>
      </c>
      <c r="AD278" t="n">
        <v>4</v>
      </c>
      <c r="AE278" t="n">
        <v>0</v>
      </c>
      <c r="AF278" t="n">
        <v>187</v>
      </c>
      <c r="AG278" t="n">
        <v>182</v>
      </c>
      <c r="AH278" t="n">
        <v>-5</v>
      </c>
      <c r="AI278" t="n">
        <v>40</v>
      </c>
      <c r="AJ278" t="n">
        <v>0.1</v>
      </c>
      <c r="AK278" t="n">
        <v>0.111</v>
      </c>
      <c r="AL278" t="n">
        <v>71</v>
      </c>
      <c r="AM278" t="n">
        <v>6.409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0.289</v>
      </c>
      <c r="AT278" t="n">
        <v>0.667</v>
      </c>
      <c r="AU278" t="n">
        <v>13</v>
      </c>
      <c r="AV278" t="n">
        <v>1</v>
      </c>
      <c r="AW278" t="n">
        <v>2.25</v>
      </c>
      <c r="AX278" t="n">
        <v>12</v>
      </c>
      <c r="AY278" t="n">
        <v>2.97</v>
      </c>
      <c r="AZ278" t="n">
        <v>3.586</v>
      </c>
      <c r="BA278" t="n">
        <v>3.278</v>
      </c>
      <c r="BB278" t="n">
        <v>3.586</v>
      </c>
      <c r="BC278" t="n">
        <v>0.268</v>
      </c>
      <c r="BD278" t="n">
        <v>0.324</v>
      </c>
      <c r="BE278" t="n">
        <v>0.296</v>
      </c>
      <c r="BF278" t="n">
        <v>4.1</v>
      </c>
      <c r="BG278" t="n">
        <v>0.37</v>
      </c>
      <c r="BH278" t="n">
        <v>0.917</v>
      </c>
      <c r="BI278" t="n">
        <v>42.59</v>
      </c>
      <c r="BJ278" t="n">
        <v>2.724</v>
      </c>
      <c r="BK278" t="n">
        <v>0.246</v>
      </c>
      <c r="BL278" t="n">
        <v>-0.278</v>
      </c>
      <c r="BM278" t="n">
        <v>1.13</v>
      </c>
      <c r="BN278" t="n">
        <v>-1.1</v>
      </c>
      <c r="BO278" t="n">
        <v>-0.616</v>
      </c>
      <c r="BP278" t="n">
        <v>20</v>
      </c>
      <c r="BQ278" t="n">
        <v>11</v>
      </c>
      <c r="BR278" t="n">
        <v>3</v>
      </c>
      <c r="BS278" t="n">
        <v>55</v>
      </c>
      <c r="BT278" t="n">
        <v>4.965</v>
      </c>
      <c r="BW278" t="n">
        <v>0.34</v>
      </c>
      <c r="BX278" t="n">
        <v>0.598</v>
      </c>
      <c r="BY278" t="n">
        <v>0.469</v>
      </c>
      <c r="BZ278" t="n">
        <v>0.042</v>
      </c>
      <c r="CA278" t="n">
        <v>3.747</v>
      </c>
      <c r="CB278" t="n">
        <v>0.338</v>
      </c>
      <c r="CC278" t="n">
        <v>6</v>
      </c>
      <c r="CD278" t="n">
        <v>1</v>
      </c>
      <c r="CE278" t="n">
        <v>6</v>
      </c>
      <c r="CH278" t="n">
        <v>0</v>
      </c>
      <c r="CI278" t="n">
        <v>4.705</v>
      </c>
      <c r="CJ278" t="n">
        <v>1.691</v>
      </c>
      <c r="CK278" t="n">
        <v>16</v>
      </c>
      <c r="CL278" t="n">
        <v>33</v>
      </c>
      <c r="CM278" t="n">
        <v>22</v>
      </c>
      <c r="CN278" t="n">
        <v>16</v>
      </c>
      <c r="CO278" t="n">
        <v>3</v>
      </c>
      <c r="CP278" t="n">
        <v>11</v>
      </c>
      <c r="CQ278" t="n">
        <v>2</v>
      </c>
      <c r="CR278" t="n">
        <v>64</v>
      </c>
      <c r="CS278" t="n">
        <v>20</v>
      </c>
      <c r="CV278" t="n">
        <v>1</v>
      </c>
      <c r="CW278" t="n">
        <v>17.8</v>
      </c>
      <c r="CX278" t="n">
        <v>1.607</v>
      </c>
      <c r="CY278" t="n">
        <v>0</v>
      </c>
      <c r="DB278" t="n">
        <v>0</v>
      </c>
      <c r="DF278" t="n">
        <v>1</v>
      </c>
      <c r="DG278" t="n">
        <v>0</v>
      </c>
      <c r="DH278" t="n">
        <v>12</v>
      </c>
      <c r="DI278" t="n">
        <v>9</v>
      </c>
      <c r="DL278" t="n">
        <v>13</v>
      </c>
      <c r="DM278" t="n">
        <v>13</v>
      </c>
      <c r="DN278" t="n">
        <v>3</v>
      </c>
      <c r="DO278" t="n">
        <v>2.1</v>
      </c>
      <c r="DP278" t="n">
        <v>148.36</v>
      </c>
      <c r="DQ278" t="n">
        <v>70.88</v>
      </c>
      <c r="DR278" t="n">
        <v>141.76</v>
      </c>
      <c r="DS278" t="n">
        <v>6.6</v>
      </c>
      <c r="DT278" t="n">
        <v>2747</v>
      </c>
      <c r="DU278" t="n">
        <v>72.3</v>
      </c>
      <c r="DV278" t="inlineStr">
        <is>
          <t>flat</t>
        </is>
      </c>
      <c r="DW278" t="n">
        <v>55.64</v>
      </c>
      <c r="DX278" t="n">
        <v>66.94</v>
      </c>
      <c r="DY278" t="n">
        <v>29.98</v>
      </c>
      <c r="DZ278" t="n">
        <v>8</v>
      </c>
      <c r="EA278" t="n">
        <v>120</v>
      </c>
      <c r="EB278" t="n">
        <v>167</v>
      </c>
      <c r="EC278" t="n">
        <v>80.3</v>
      </c>
      <c r="ED278" t="n">
        <v>10.2</v>
      </c>
      <c r="EE278" t="n">
        <v>102</v>
      </c>
      <c r="EF278" t="n">
        <v>49.8</v>
      </c>
      <c r="EG278" t="n">
        <v>18.1</v>
      </c>
      <c r="EH278" t="n">
        <v>166.2</v>
      </c>
      <c r="EI278" t="n">
        <v>304.1</v>
      </c>
      <c r="EJ278" t="n">
        <v>2126.6</v>
      </c>
      <c r="EK278" t="n">
        <v>266.1</v>
      </c>
      <c r="EL278" t="n">
        <v>24.9</v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n">
        <v>5</v>
      </c>
      <c r="F279" t="b">
        <v>1</v>
      </c>
      <c r="G279" t="b">
        <v>1</v>
      </c>
      <c r="H279" t="n">
        <v>29.5</v>
      </c>
      <c r="I279" t="inlineStr">
        <is>
          <t>a</t>
        </is>
      </c>
      <c r="L279" t="inlineStr">
        <is>
          <t>p155408</t>
        </is>
      </c>
      <c r="M279" t="n">
        <v>71</v>
      </c>
      <c r="O279" t="n">
        <v>5</v>
      </c>
      <c r="Q279" t="n">
        <v>872</v>
      </c>
      <c r="R279" t="n">
        <v>18</v>
      </c>
      <c r="S279" t="n">
        <v>8</v>
      </c>
      <c r="T279" t="n">
        <v>9.689</v>
      </c>
      <c r="U279" t="n">
        <v>48.4</v>
      </c>
      <c r="V279" t="n">
        <v>40</v>
      </c>
      <c r="W279" t="n">
        <v>4.128</v>
      </c>
      <c r="X279" t="n">
        <v>0</v>
      </c>
      <c r="Y279" t="n">
        <v>1</v>
      </c>
      <c r="Z279" t="n">
        <v>1</v>
      </c>
      <c r="AA279" t="n">
        <v>1</v>
      </c>
      <c r="AB279" t="n">
        <v>19</v>
      </c>
      <c r="AC279" t="n">
        <v>0</v>
      </c>
      <c r="AD279" t="n">
        <v>0</v>
      </c>
      <c r="AE279" t="n">
        <v>0</v>
      </c>
      <c r="AF279" t="n">
        <v>190</v>
      </c>
      <c r="AG279" t="n">
        <v>181</v>
      </c>
      <c r="AH279" t="n">
        <v>-9</v>
      </c>
      <c r="AI279" t="n">
        <v>40</v>
      </c>
      <c r="AJ279" t="n">
        <v>0</v>
      </c>
      <c r="AK279" t="n">
        <v>0</v>
      </c>
      <c r="AL279" t="n">
        <v>143</v>
      </c>
      <c r="AM279" t="n">
        <v>14.759</v>
      </c>
      <c r="AN279" t="n">
        <v>7</v>
      </c>
      <c r="AO279" t="n">
        <v>14</v>
      </c>
      <c r="AP279" t="n">
        <v>0.875</v>
      </c>
      <c r="AQ279" t="n">
        <v>0.875</v>
      </c>
      <c r="AR279" t="n">
        <v>0.875</v>
      </c>
      <c r="AS279" t="n">
        <v>0.211</v>
      </c>
      <c r="AT279" t="n">
        <v>0.444</v>
      </c>
      <c r="AU279" t="n">
        <v>9</v>
      </c>
      <c r="AV279" t="n">
        <v>0</v>
      </c>
      <c r="AW279" t="n">
        <v>1.64</v>
      </c>
      <c r="AX279" t="n">
        <v>4</v>
      </c>
      <c r="AY279" t="n">
        <v>0.07000000000000001</v>
      </c>
      <c r="AZ279" t="n">
        <v>0.06</v>
      </c>
      <c r="BA279" t="n">
        <v>0.065</v>
      </c>
      <c r="BB279" t="n">
        <v>0.06</v>
      </c>
      <c r="BC279" t="n">
        <v>0.007</v>
      </c>
      <c r="BD279" t="n">
        <v>0.006</v>
      </c>
      <c r="BE279" t="n">
        <v>0.007</v>
      </c>
      <c r="BH279" t="n">
        <v>0.993</v>
      </c>
      <c r="BI279" t="n">
        <v>1.67</v>
      </c>
      <c r="BJ279" t="n">
        <v>0.06900000000000001</v>
      </c>
      <c r="BK279" t="n">
        <v>0.007</v>
      </c>
      <c r="BL279" t="n">
        <v>-0.065</v>
      </c>
      <c r="BO279" t="n">
        <v>0.01</v>
      </c>
      <c r="BP279" t="n">
        <v>3</v>
      </c>
      <c r="BS279" t="n">
        <v>4</v>
      </c>
      <c r="BT279" t="n">
        <v>0.413</v>
      </c>
      <c r="BW279" t="n">
        <v>0.52</v>
      </c>
      <c r="BX279" t="n">
        <v>0.347</v>
      </c>
      <c r="BY279" t="n">
        <v>0.433</v>
      </c>
      <c r="BZ279" t="n">
        <v>0.045</v>
      </c>
      <c r="CA279" t="n">
        <v>0.498</v>
      </c>
      <c r="CB279" t="n">
        <v>0.051</v>
      </c>
      <c r="CC279" t="n">
        <v>11</v>
      </c>
      <c r="CD279" t="n">
        <v>0</v>
      </c>
      <c r="CE279" t="n">
        <v>11</v>
      </c>
      <c r="CF279" t="n">
        <v>10</v>
      </c>
      <c r="CH279" t="n">
        <v>26</v>
      </c>
      <c r="CI279" t="n">
        <v>2.539</v>
      </c>
      <c r="CJ279" t="n">
        <v>2.387</v>
      </c>
      <c r="CK279" t="n">
        <v>56</v>
      </c>
      <c r="CL279" t="n">
        <v>62</v>
      </c>
      <c r="CM279" t="n">
        <v>25</v>
      </c>
      <c r="CN279" t="n">
        <v>16</v>
      </c>
      <c r="CO279" t="n">
        <v>24</v>
      </c>
      <c r="CP279" t="n">
        <v>26</v>
      </c>
      <c r="CQ279" t="n">
        <v>6</v>
      </c>
      <c r="CR279" t="n">
        <v>42</v>
      </c>
      <c r="CS279" t="n">
        <v>9</v>
      </c>
      <c r="CW279" t="n">
        <v>14</v>
      </c>
      <c r="CX279" t="n">
        <v>1.445</v>
      </c>
      <c r="CY279" t="n">
        <v>0</v>
      </c>
      <c r="DB279" t="n">
        <v>0</v>
      </c>
      <c r="DF279" t="n">
        <v>1</v>
      </c>
      <c r="DG279" t="n">
        <v>1</v>
      </c>
      <c r="DH279" t="n">
        <v>8</v>
      </c>
      <c r="DI279" t="n">
        <v>5</v>
      </c>
      <c r="DL279" t="n">
        <v>3</v>
      </c>
      <c r="DM279" t="n">
        <v>3</v>
      </c>
      <c r="DO279" t="n">
        <v>0.1</v>
      </c>
      <c r="DP279" t="n">
        <v>39.27</v>
      </c>
      <c r="DQ279" t="n">
        <v>20.06</v>
      </c>
      <c r="DR279" t="n">
        <v>40.12</v>
      </c>
      <c r="DS279" t="n">
        <v>-0.85</v>
      </c>
      <c r="DT279" t="n">
        <v>451</v>
      </c>
      <c r="DU279" t="n">
        <v>11.87</v>
      </c>
      <c r="DV279" t="inlineStr">
        <is>
          <t>flat</t>
        </is>
      </c>
      <c r="EF279" t="n">
        <v>290.7</v>
      </c>
      <c r="EG279" t="n">
        <v>218</v>
      </c>
      <c r="EH279" t="n">
        <v>79.3</v>
      </c>
      <c r="EI279" t="n">
        <v>13452</v>
      </c>
      <c r="EJ279" t="n">
        <v>2011.7</v>
      </c>
      <c r="EK279" t="n">
        <v>1750</v>
      </c>
      <c r="EL279" t="n">
        <v>21.8</v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n">
        <v>4.5</v>
      </c>
      <c r="F280" t="b">
        <v>1</v>
      </c>
      <c r="G280" t="b">
        <v>1</v>
      </c>
      <c r="H280" t="n">
        <v>20.3</v>
      </c>
      <c r="I280" t="inlineStr">
        <is>
          <t>a</t>
        </is>
      </c>
      <c r="L280" t="inlineStr">
        <is>
          <t>p577016</t>
        </is>
      </c>
      <c r="M280" t="n">
        <v>151</v>
      </c>
      <c r="Q280" t="n">
        <v>657</v>
      </c>
      <c r="R280" t="n">
        <v>17</v>
      </c>
      <c r="S280" t="n">
        <v>8</v>
      </c>
      <c r="T280" t="n">
        <v>7.3</v>
      </c>
      <c r="U280" t="n">
        <v>38.6</v>
      </c>
      <c r="V280" t="n">
        <v>39</v>
      </c>
      <c r="W280" t="n">
        <v>5.342</v>
      </c>
      <c r="X280" t="n">
        <v>1</v>
      </c>
      <c r="Y280" t="n">
        <v>0</v>
      </c>
      <c r="AA280" t="n">
        <v>2</v>
      </c>
      <c r="AB280" t="n">
        <v>13</v>
      </c>
      <c r="AC280" t="n">
        <v>5</v>
      </c>
      <c r="AD280" t="n">
        <v>5</v>
      </c>
      <c r="AE280" t="n">
        <v>0</v>
      </c>
      <c r="AF280" t="n">
        <v>118</v>
      </c>
      <c r="AG280" t="n">
        <v>113</v>
      </c>
      <c r="AH280" t="n">
        <v>-5</v>
      </c>
      <c r="AI280" t="n">
        <v>39</v>
      </c>
      <c r="AJ280" t="n">
        <v>0.128</v>
      </c>
      <c r="AK280" t="n">
        <v>0.147</v>
      </c>
      <c r="AL280" t="n">
        <v>44</v>
      </c>
      <c r="AM280" t="n">
        <v>6.027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0.211</v>
      </c>
      <c r="AT280" t="n">
        <v>0.412</v>
      </c>
      <c r="AU280" t="n">
        <v>15</v>
      </c>
      <c r="AV280" t="n">
        <v>1</v>
      </c>
      <c r="AW280" t="n">
        <v>2.66</v>
      </c>
      <c r="AX280" t="n">
        <v>14</v>
      </c>
      <c r="AY280" t="n">
        <v>0.62</v>
      </c>
      <c r="AZ280" t="n">
        <v>0.671</v>
      </c>
      <c r="BA280" t="n">
        <v>0.645</v>
      </c>
      <c r="BB280" t="n">
        <v>0.671</v>
      </c>
      <c r="BC280" t="n">
        <v>0.08500000000000001</v>
      </c>
      <c r="BD280" t="n">
        <v>0.092</v>
      </c>
      <c r="BE280" t="n">
        <v>0.08799999999999999</v>
      </c>
      <c r="BF280" t="n">
        <v>1</v>
      </c>
      <c r="BG280" t="n">
        <v>0.137</v>
      </c>
      <c r="BH280" t="n">
        <v>1.018</v>
      </c>
      <c r="BI280" t="n">
        <v>0.84</v>
      </c>
      <c r="BJ280" t="n">
        <v>0.631</v>
      </c>
      <c r="BK280" t="n">
        <v>0.08599999999999999</v>
      </c>
      <c r="BL280" t="n">
        <v>0.355</v>
      </c>
      <c r="BM280" t="n">
        <v>0.38</v>
      </c>
      <c r="BN280" t="n">
        <v>0</v>
      </c>
      <c r="BO280" t="n">
        <v>-0.051</v>
      </c>
      <c r="BP280" t="n">
        <v>4</v>
      </c>
      <c r="BQ280" t="n">
        <v>2</v>
      </c>
      <c r="BS280" t="n">
        <v>8</v>
      </c>
      <c r="BT280" t="n">
        <v>1.096</v>
      </c>
      <c r="BV280" t="n">
        <v>1</v>
      </c>
      <c r="BW280" t="n">
        <v>0.13</v>
      </c>
      <c r="BX280" t="n">
        <v>0.138</v>
      </c>
      <c r="BY280" t="n">
        <v>0.134</v>
      </c>
      <c r="BZ280" t="n">
        <v>0.018</v>
      </c>
      <c r="CA280" t="n">
        <v>0.779</v>
      </c>
      <c r="CB280" t="n">
        <v>0.107</v>
      </c>
      <c r="CC280" t="n">
        <v>2</v>
      </c>
      <c r="CE280" t="n">
        <v>2</v>
      </c>
      <c r="CF280" t="n">
        <v>1</v>
      </c>
      <c r="CI280" t="n">
        <v>2.122</v>
      </c>
      <c r="CJ280" t="n">
        <v>2.05</v>
      </c>
      <c r="CK280" t="n">
        <v>33</v>
      </c>
      <c r="CL280" t="n">
        <v>26</v>
      </c>
      <c r="CM280" t="n">
        <v>11</v>
      </c>
      <c r="CN280" t="n">
        <v>8</v>
      </c>
      <c r="CO280" t="n">
        <v>11</v>
      </c>
      <c r="CP280" t="n">
        <v>20</v>
      </c>
      <c r="CQ280" t="n">
        <v>2</v>
      </c>
      <c r="CR280" t="n">
        <v>42</v>
      </c>
      <c r="CS280" t="n">
        <v>11</v>
      </c>
      <c r="CU280" t="n">
        <v>2</v>
      </c>
      <c r="CV280" t="n">
        <v>3</v>
      </c>
      <c r="CW280" t="n">
        <v>15.66</v>
      </c>
      <c r="CX280" t="n">
        <v>2.145</v>
      </c>
      <c r="CY280" t="n">
        <v>0</v>
      </c>
      <c r="DB280" t="n">
        <v>0</v>
      </c>
      <c r="DF280" t="n">
        <v>1</v>
      </c>
      <c r="DG280" t="n">
        <v>0</v>
      </c>
      <c r="DH280" t="n">
        <v>2</v>
      </c>
      <c r="DI280" t="n">
        <v>9</v>
      </c>
      <c r="DL280" t="n">
        <v>11</v>
      </c>
      <c r="DM280" t="n">
        <v>8</v>
      </c>
      <c r="DN280" t="n">
        <v>2</v>
      </c>
      <c r="DO280" t="n">
        <v>0.3</v>
      </c>
      <c r="DP280" t="n">
        <v>9.32</v>
      </c>
      <c r="DQ280" t="n">
        <v>5.01</v>
      </c>
      <c r="DR280" t="n">
        <v>10.02</v>
      </c>
      <c r="DS280" t="n">
        <v>-0.7</v>
      </c>
      <c r="DT280" t="n">
        <v>136</v>
      </c>
      <c r="DU280" t="n">
        <v>3.58</v>
      </c>
      <c r="DV280" t="inlineStr">
        <is>
          <t>flat</t>
        </is>
      </c>
      <c r="EF280" t="n">
        <v>164.2</v>
      </c>
      <c r="EG280" t="n">
        <v>82.09999999999999</v>
      </c>
      <c r="EH280" t="n">
        <v>328.5</v>
      </c>
      <c r="EI280" t="n">
        <v>1017.9</v>
      </c>
      <c r="EJ280" t="n">
        <v>4903.6</v>
      </c>
      <c r="EK280" t="n">
        <v>842.9</v>
      </c>
      <c r="EL280" t="n">
        <v>16.8</v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n">
        <v>4.5</v>
      </c>
      <c r="F281" t="b">
        <v>1</v>
      </c>
      <c r="G281" t="b">
        <v>1</v>
      </c>
      <c r="H281" t="n">
        <v>23.4</v>
      </c>
      <c r="I281" t="inlineStr">
        <is>
          <t>i</t>
        </is>
      </c>
      <c r="J281" t="inlineStr">
        <is>
          <t>Knee injury - Unknown return date</t>
        </is>
      </c>
      <c r="K281" t="n">
        <v>0</v>
      </c>
      <c r="L281" t="inlineStr">
        <is>
          <t>p500151</t>
        </is>
      </c>
      <c r="M281" t="n">
        <v>475</v>
      </c>
      <c r="Q281" t="n">
        <v>1025</v>
      </c>
      <c r="R281" t="n">
        <v>14</v>
      </c>
      <c r="S281" t="n">
        <v>11</v>
      </c>
      <c r="T281" t="n">
        <v>11.389</v>
      </c>
      <c r="U281" t="n">
        <v>73.2</v>
      </c>
      <c r="V281" t="n">
        <v>39</v>
      </c>
      <c r="W281" t="n">
        <v>3.424</v>
      </c>
      <c r="X281" t="n">
        <v>2</v>
      </c>
      <c r="Y281" t="n">
        <v>0</v>
      </c>
      <c r="AA281" t="n">
        <v>3</v>
      </c>
      <c r="AB281" t="n">
        <v>18</v>
      </c>
      <c r="AC281" t="n">
        <v>0</v>
      </c>
      <c r="AD281" t="n">
        <v>0</v>
      </c>
      <c r="AE281" t="n">
        <v>0</v>
      </c>
      <c r="AF281" t="n">
        <v>131</v>
      </c>
      <c r="AG281" t="n">
        <v>127</v>
      </c>
      <c r="AH281" t="n">
        <v>-4</v>
      </c>
      <c r="AI281" t="n">
        <v>39</v>
      </c>
      <c r="AJ281" t="n">
        <v>0</v>
      </c>
      <c r="AK281" t="n">
        <v>0</v>
      </c>
      <c r="AL281" t="n">
        <v>57</v>
      </c>
      <c r="AM281" t="n">
        <v>5.005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0.289</v>
      </c>
      <c r="AT281" t="n">
        <v>0.714</v>
      </c>
      <c r="AU281" t="n">
        <v>10</v>
      </c>
      <c r="AV281" t="n">
        <v>1</v>
      </c>
      <c r="AW281" t="n">
        <v>2.58</v>
      </c>
      <c r="AX281" t="n">
        <v>12</v>
      </c>
      <c r="AY281" t="n">
        <v>1.34</v>
      </c>
      <c r="AZ281" t="n">
        <v>1.235</v>
      </c>
      <c r="BA281" t="n">
        <v>1.288</v>
      </c>
      <c r="BB281" t="n">
        <v>1.235</v>
      </c>
      <c r="BC281" t="n">
        <v>0.118</v>
      </c>
      <c r="BD281" t="n">
        <v>0.108</v>
      </c>
      <c r="BE281" t="n">
        <v>0.113</v>
      </c>
      <c r="BF281" t="n">
        <v>1.6</v>
      </c>
      <c r="BG281" t="n">
        <v>0.14</v>
      </c>
      <c r="BH281" t="n">
        <v>1.028</v>
      </c>
      <c r="BI281" t="n">
        <v>1.34</v>
      </c>
      <c r="BJ281" t="n">
        <v>1.377</v>
      </c>
      <c r="BK281" t="n">
        <v>0.121</v>
      </c>
      <c r="BL281" t="n">
        <v>0.712</v>
      </c>
      <c r="BM281" t="n">
        <v>0.26</v>
      </c>
      <c r="BN281" t="n">
        <v>0.4</v>
      </c>
      <c r="BO281" t="n">
        <v>0.105</v>
      </c>
      <c r="BP281" t="n">
        <v>5</v>
      </c>
      <c r="BQ281" t="n">
        <v>3</v>
      </c>
      <c r="BS281" t="n">
        <v>15</v>
      </c>
      <c r="BT281" t="n">
        <v>1.317</v>
      </c>
      <c r="BW281" t="n">
        <v>0.45</v>
      </c>
      <c r="BX281" t="n">
        <v>0.594</v>
      </c>
      <c r="BY281" t="n">
        <v>0.522</v>
      </c>
      <c r="BZ281" t="n">
        <v>0.046</v>
      </c>
      <c r="CA281" t="n">
        <v>1.81</v>
      </c>
      <c r="CB281" t="n">
        <v>0.159</v>
      </c>
      <c r="CC281" t="n">
        <v>6</v>
      </c>
      <c r="CD281" t="n">
        <v>1</v>
      </c>
      <c r="CE281" t="n">
        <v>7</v>
      </c>
      <c r="CF281" t="n">
        <v>8</v>
      </c>
      <c r="CI281" t="n">
        <v>3.006</v>
      </c>
      <c r="CJ281" t="n">
        <v>1.537</v>
      </c>
      <c r="CK281" t="n">
        <v>37</v>
      </c>
      <c r="CL281" t="n">
        <v>27</v>
      </c>
      <c r="CM281" t="n">
        <v>20</v>
      </c>
      <c r="CN281" t="n">
        <v>12</v>
      </c>
      <c r="CO281" t="n">
        <v>4</v>
      </c>
      <c r="CP281" t="n">
        <v>29</v>
      </c>
      <c r="CQ281" t="n">
        <v>3</v>
      </c>
      <c r="CR281" t="n">
        <v>34</v>
      </c>
      <c r="CS281" t="n">
        <v>7</v>
      </c>
      <c r="CW281" t="n">
        <v>15.04</v>
      </c>
      <c r="CX281" t="n">
        <v>1.321</v>
      </c>
      <c r="CY281" t="n">
        <v>0</v>
      </c>
      <c r="DB281" t="n">
        <v>0</v>
      </c>
      <c r="DF281" t="n">
        <v>2</v>
      </c>
      <c r="DG281" t="n">
        <v>0</v>
      </c>
      <c r="DH281" t="n">
        <v>12</v>
      </c>
      <c r="DI281" t="n">
        <v>5</v>
      </c>
      <c r="DL281" t="n">
        <v>2</v>
      </c>
      <c r="DM281" t="n">
        <v>2</v>
      </c>
      <c r="DN281" t="n">
        <v>1</v>
      </c>
      <c r="DO281" t="n">
        <v>0</v>
      </c>
      <c r="DP281" t="n">
        <v>25.74</v>
      </c>
      <c r="DQ281" t="n">
        <v>12.64</v>
      </c>
      <c r="DR281" t="n">
        <v>25.28</v>
      </c>
      <c r="DS281" t="n">
        <v>0.46</v>
      </c>
      <c r="DT281" t="n">
        <v>395</v>
      </c>
      <c r="DU281" t="n">
        <v>10.4</v>
      </c>
      <c r="DV281" t="inlineStr">
        <is>
          <t>flat</t>
        </is>
      </c>
      <c r="EF281" t="n">
        <v>205</v>
      </c>
      <c r="EG281" t="n">
        <v>68.3</v>
      </c>
      <c r="EH281" t="n">
        <v>146.4</v>
      </c>
      <c r="EI281" t="n">
        <v>796</v>
      </c>
      <c r="EJ281" t="n">
        <v>1962.7</v>
      </c>
      <c r="EK281" t="n">
        <v>566.3</v>
      </c>
      <c r="EL281" t="n">
        <v>26.3</v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n">
        <v>4.5</v>
      </c>
      <c r="F282" t="b">
        <v>1</v>
      </c>
      <c r="G282" t="b">
        <v>1</v>
      </c>
      <c r="H282" t="n">
        <v>26.8</v>
      </c>
      <c r="I282" t="inlineStr">
        <is>
          <t>a</t>
        </is>
      </c>
      <c r="L282" t="inlineStr">
        <is>
          <t>p246301</t>
        </is>
      </c>
      <c r="M282" t="n">
        <v>255</v>
      </c>
      <c r="Q282" t="n">
        <v>935</v>
      </c>
      <c r="R282" t="n">
        <v>15</v>
      </c>
      <c r="S282" t="n">
        <v>11</v>
      </c>
      <c r="T282" t="n">
        <v>10.389</v>
      </c>
      <c r="U282" t="n">
        <v>62.3</v>
      </c>
      <c r="V282" t="n">
        <v>39</v>
      </c>
      <c r="W282" t="n">
        <v>3.754</v>
      </c>
      <c r="X282" t="n">
        <v>0</v>
      </c>
      <c r="Y282" t="n">
        <v>0</v>
      </c>
      <c r="AA282" t="n">
        <v>2</v>
      </c>
      <c r="AB282" t="n">
        <v>11</v>
      </c>
      <c r="AC282" t="n">
        <v>1</v>
      </c>
      <c r="AD282" t="n">
        <v>1</v>
      </c>
      <c r="AE282" t="n">
        <v>0</v>
      </c>
      <c r="AF282" t="n">
        <v>155</v>
      </c>
      <c r="AG282" t="n">
        <v>138</v>
      </c>
      <c r="AH282" t="n">
        <v>-17</v>
      </c>
      <c r="AI282" t="n">
        <v>39</v>
      </c>
      <c r="AJ282" t="n">
        <v>0.026</v>
      </c>
      <c r="AK282" t="n">
        <v>0.026</v>
      </c>
      <c r="AL282" t="n">
        <v>117</v>
      </c>
      <c r="AM282" t="n">
        <v>11.262</v>
      </c>
      <c r="AN282" t="n">
        <v>7</v>
      </c>
      <c r="AO282" t="n">
        <v>14</v>
      </c>
      <c r="AP282" t="n">
        <v>0.636</v>
      </c>
      <c r="AQ282" t="n">
        <v>0.636</v>
      </c>
      <c r="AR282" t="n">
        <v>0.364</v>
      </c>
      <c r="AS282" t="n">
        <v>0.289</v>
      </c>
      <c r="AT282" t="n">
        <v>0.667</v>
      </c>
      <c r="AU282" t="n">
        <v>8</v>
      </c>
      <c r="AV282" t="n">
        <v>0</v>
      </c>
      <c r="AW282" t="n">
        <v>1.92</v>
      </c>
      <c r="AX282" t="n">
        <v>9</v>
      </c>
      <c r="AY282" t="n">
        <v>0.05</v>
      </c>
      <c r="AZ282" t="n">
        <v>0.051</v>
      </c>
      <c r="BA282" t="n">
        <v>0.05</v>
      </c>
      <c r="BB282" t="n">
        <v>0.051</v>
      </c>
      <c r="BC282" t="n">
        <v>0.005</v>
      </c>
      <c r="BD282" t="n">
        <v>0.005</v>
      </c>
      <c r="BE282" t="n">
        <v>0.005</v>
      </c>
      <c r="BH282" t="n">
        <v>0.991</v>
      </c>
      <c r="BI282" t="n">
        <v>0.07000000000000001</v>
      </c>
      <c r="BJ282" t="n">
        <v>0.05</v>
      </c>
      <c r="BK282" t="n">
        <v>0.005</v>
      </c>
      <c r="BL282" t="n">
        <v>-0.05</v>
      </c>
      <c r="BO282" t="n">
        <v>-0.001</v>
      </c>
      <c r="BP282" t="n">
        <v>1</v>
      </c>
      <c r="BQ282" t="n">
        <v>0</v>
      </c>
      <c r="BS282" t="n">
        <v>6</v>
      </c>
      <c r="BT282" t="n">
        <v>0.578</v>
      </c>
      <c r="BW282" t="n">
        <v>0.53</v>
      </c>
      <c r="BX282" t="n">
        <v>0.516</v>
      </c>
      <c r="BY282" t="n">
        <v>0.523</v>
      </c>
      <c r="BZ282" t="n">
        <v>0.05</v>
      </c>
      <c r="CA282" t="n">
        <v>0.573</v>
      </c>
      <c r="CB282" t="n">
        <v>0.055</v>
      </c>
      <c r="CC282" t="n">
        <v>3</v>
      </c>
      <c r="CD282" t="n">
        <v>1</v>
      </c>
      <c r="CE282" t="n">
        <v>3</v>
      </c>
      <c r="CF282" t="n">
        <v>1</v>
      </c>
      <c r="CI282" t="n">
        <v>2.31</v>
      </c>
      <c r="CJ282" t="n">
        <v>2.31</v>
      </c>
      <c r="CK282" t="n">
        <v>101</v>
      </c>
      <c r="CL282" t="n">
        <v>40</v>
      </c>
      <c r="CM282" t="n">
        <v>16</v>
      </c>
      <c r="CN282" t="n">
        <v>9</v>
      </c>
      <c r="CO282" t="n">
        <v>16</v>
      </c>
      <c r="CP282" t="n">
        <v>75</v>
      </c>
      <c r="CQ282" t="n">
        <v>10</v>
      </c>
      <c r="CR282" t="n">
        <v>36</v>
      </c>
      <c r="CS282" t="n">
        <v>17</v>
      </c>
      <c r="CW282" t="n">
        <v>14.7</v>
      </c>
      <c r="CX282" t="n">
        <v>1.415</v>
      </c>
      <c r="CY282" t="n">
        <v>0</v>
      </c>
      <c r="DB282" t="n">
        <v>0</v>
      </c>
      <c r="DF282" t="n">
        <v>6</v>
      </c>
      <c r="DG282" t="n">
        <v>0</v>
      </c>
      <c r="DH282" t="n">
        <v>10</v>
      </c>
      <c r="DI282" t="n">
        <v>1</v>
      </c>
      <c r="DK282" t="n">
        <v>0</v>
      </c>
      <c r="DL282" t="n">
        <v>2</v>
      </c>
      <c r="DN282" t="n">
        <v>1</v>
      </c>
      <c r="DO282" t="n">
        <v>0</v>
      </c>
      <c r="DP282" t="n">
        <v>39.81</v>
      </c>
      <c r="DQ282" t="n">
        <v>20.87</v>
      </c>
      <c r="DR282" t="n">
        <v>41.74</v>
      </c>
      <c r="DS282" t="n">
        <v>-1.93</v>
      </c>
      <c r="DT282" t="n">
        <v>889</v>
      </c>
      <c r="DU282" t="n">
        <v>23.4</v>
      </c>
      <c r="DV282" t="inlineStr">
        <is>
          <t>fade (losing his place)</t>
        </is>
      </c>
      <c r="EF282" t="n">
        <v>935</v>
      </c>
      <c r="EG282" t="n">
        <v>155.8</v>
      </c>
      <c r="EH282" t="n">
        <v>311.7</v>
      </c>
      <c r="EI282" t="n">
        <v>18547.6</v>
      </c>
      <c r="EJ282" t="n">
        <v>1788</v>
      </c>
      <c r="EK282" t="n">
        <v>1630.8</v>
      </c>
      <c r="EL282" t="n">
        <v>24</v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n">
        <v>4.5</v>
      </c>
      <c r="F283" t="b">
        <v>1</v>
      </c>
      <c r="G283" t="b">
        <v>1</v>
      </c>
      <c r="H283" t="n">
        <v>28.8</v>
      </c>
      <c r="I283" t="inlineStr">
        <is>
          <t>a</t>
        </is>
      </c>
      <c r="L283" t="inlineStr">
        <is>
          <t>p204120</t>
        </is>
      </c>
      <c r="M283" t="n">
        <v>114</v>
      </c>
      <c r="Q283" t="n">
        <v>799</v>
      </c>
      <c r="R283" t="n">
        <v>12</v>
      </c>
      <c r="S283" t="n">
        <v>9</v>
      </c>
      <c r="T283" t="n">
        <v>8.878</v>
      </c>
      <c r="U283" t="n">
        <v>66.59999999999999</v>
      </c>
      <c r="V283" t="n">
        <v>39</v>
      </c>
      <c r="W283" t="n">
        <v>4.393</v>
      </c>
      <c r="X283" t="n">
        <v>0</v>
      </c>
      <c r="Y283" t="n">
        <v>1</v>
      </c>
      <c r="Z283" t="n">
        <v>1</v>
      </c>
      <c r="AA283" t="n">
        <v>3</v>
      </c>
      <c r="AB283" t="n">
        <v>10</v>
      </c>
      <c r="AC283" t="n">
        <v>4</v>
      </c>
      <c r="AD283" t="n">
        <v>3</v>
      </c>
      <c r="AE283" t="n">
        <v>-1</v>
      </c>
      <c r="AF283" t="n">
        <v>171</v>
      </c>
      <c r="AG283" t="n">
        <v>159</v>
      </c>
      <c r="AH283" t="n">
        <v>-12</v>
      </c>
      <c r="AI283" t="n">
        <v>38</v>
      </c>
      <c r="AJ283" t="n">
        <v>0.103</v>
      </c>
      <c r="AK283" t="n">
        <v>0.114</v>
      </c>
      <c r="AL283" t="n">
        <v>78</v>
      </c>
      <c r="AM283" t="n">
        <v>8.786</v>
      </c>
      <c r="AN283" t="n">
        <v>2</v>
      </c>
      <c r="AO283" t="n">
        <v>4</v>
      </c>
      <c r="AP283" t="n">
        <v>0.222</v>
      </c>
      <c r="AQ283" t="n">
        <v>0.222</v>
      </c>
      <c r="AR283" t="n">
        <v>0.111</v>
      </c>
      <c r="AS283" t="n">
        <v>0.237</v>
      </c>
      <c r="AT283" t="n">
        <v>0.667</v>
      </c>
      <c r="AU283" t="n">
        <v>7</v>
      </c>
      <c r="AV283" t="n">
        <v>1</v>
      </c>
      <c r="AW283" t="n">
        <v>2.37</v>
      </c>
      <c r="AX283" t="n">
        <v>10</v>
      </c>
      <c r="AY283" t="n">
        <v>0.05</v>
      </c>
      <c r="AZ283" t="n">
        <v>0.021</v>
      </c>
      <c r="BA283" t="n">
        <v>0.035</v>
      </c>
      <c r="BB283" t="n">
        <v>0.021</v>
      </c>
      <c r="BC283" t="n">
        <v>0.006</v>
      </c>
      <c r="BD283" t="n">
        <v>0.002</v>
      </c>
      <c r="BE283" t="n">
        <v>0.004</v>
      </c>
      <c r="BH283" t="n">
        <v>0.994</v>
      </c>
      <c r="BI283" t="n">
        <v>0.05</v>
      </c>
      <c r="BJ283" t="n">
        <v>0.05</v>
      </c>
      <c r="BK283" t="n">
        <v>0.006</v>
      </c>
      <c r="BL283" t="n">
        <v>-0.035</v>
      </c>
      <c r="BO283" t="n">
        <v>0.029</v>
      </c>
      <c r="BP283" t="n">
        <v>1</v>
      </c>
      <c r="BS283" t="n">
        <v>5</v>
      </c>
      <c r="BT283" t="n">
        <v>0.5629999999999999</v>
      </c>
      <c r="BW283" t="n">
        <v>0.47</v>
      </c>
      <c r="BX283" t="n">
        <v>0.148</v>
      </c>
      <c r="BY283" t="n">
        <v>0.309</v>
      </c>
      <c r="BZ283" t="n">
        <v>0.035</v>
      </c>
      <c r="CA283" t="n">
        <v>0.344</v>
      </c>
      <c r="CB283" t="n">
        <v>0.039</v>
      </c>
      <c r="CC283" t="n">
        <v>3</v>
      </c>
      <c r="CE283" t="n">
        <v>4</v>
      </c>
      <c r="CF283" t="n">
        <v>5</v>
      </c>
      <c r="CH283" t="n">
        <v>4</v>
      </c>
      <c r="CI283" t="n">
        <v>3.546</v>
      </c>
      <c r="CJ283" t="n">
        <v>3.509</v>
      </c>
      <c r="CK283" t="n">
        <v>62</v>
      </c>
      <c r="CL283" t="n">
        <v>54</v>
      </c>
      <c r="CM283" t="n">
        <v>16</v>
      </c>
      <c r="CN283" t="n">
        <v>9</v>
      </c>
      <c r="CO283" t="n">
        <v>18</v>
      </c>
      <c r="CP283" t="n">
        <v>42</v>
      </c>
      <c r="CQ283" t="n">
        <v>2</v>
      </c>
      <c r="CR283" t="n">
        <v>46</v>
      </c>
      <c r="CS283" t="n">
        <v>17</v>
      </c>
      <c r="CW283" t="n">
        <v>10.87</v>
      </c>
      <c r="CX283" t="n">
        <v>1.224</v>
      </c>
      <c r="CY283" t="n">
        <v>0</v>
      </c>
      <c r="DB283" t="n">
        <v>0</v>
      </c>
      <c r="DF283" t="n">
        <v>2</v>
      </c>
      <c r="DG283" t="n">
        <v>0</v>
      </c>
      <c r="DH283" t="n">
        <v>7</v>
      </c>
      <c r="DI283" t="n">
        <v>11</v>
      </c>
      <c r="DL283" t="n">
        <v>2</v>
      </c>
      <c r="DM283" t="n">
        <v>1</v>
      </c>
      <c r="DO283" t="n">
        <v>0.2</v>
      </c>
      <c r="DP283" t="n">
        <v>43.26</v>
      </c>
      <c r="DQ283" t="n">
        <v>23.19</v>
      </c>
      <c r="DR283" t="n">
        <v>46.38</v>
      </c>
      <c r="DS283" t="n">
        <v>-3.12</v>
      </c>
      <c r="DT283" t="n">
        <v>826</v>
      </c>
      <c r="DU283" t="n">
        <v>21.75</v>
      </c>
      <c r="DV283" t="inlineStr">
        <is>
          <t>fade (losing his place)</t>
        </is>
      </c>
      <c r="EF283" t="n">
        <v>799</v>
      </c>
      <c r="EG283" t="n">
        <v>159.8</v>
      </c>
      <c r="EH283" t="n">
        <v>199.8</v>
      </c>
      <c r="EI283" t="n">
        <v>22597.7</v>
      </c>
      <c r="EJ283" t="n">
        <v>2587.5</v>
      </c>
      <c r="EK283" t="n">
        <v>2321.7</v>
      </c>
      <c r="EL283" t="n">
        <v>20.5</v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n">
        <v>5</v>
      </c>
      <c r="F284" t="b">
        <v>1</v>
      </c>
      <c r="G284" t="b">
        <v>1</v>
      </c>
      <c r="H284" t="n">
        <v>27</v>
      </c>
      <c r="I284" t="inlineStr">
        <is>
          <t>a</t>
        </is>
      </c>
      <c r="L284" t="inlineStr">
        <is>
          <t>p200089</t>
        </is>
      </c>
      <c r="M284" t="n">
        <v>460</v>
      </c>
      <c r="Q284" t="n">
        <v>972</v>
      </c>
      <c r="R284" t="n">
        <v>24</v>
      </c>
      <c r="S284" t="n">
        <v>10</v>
      </c>
      <c r="T284" t="n">
        <v>10.8</v>
      </c>
      <c r="U284" t="n">
        <v>40.5</v>
      </c>
      <c r="V284" t="n">
        <v>38</v>
      </c>
      <c r="W284" t="n">
        <v>3.519</v>
      </c>
      <c r="X284" t="n">
        <v>0</v>
      </c>
      <c r="Y284" t="n">
        <v>2</v>
      </c>
      <c r="Z284" t="n">
        <v>2</v>
      </c>
      <c r="AA284" t="n">
        <v>3</v>
      </c>
      <c r="AB284" t="n">
        <v>18</v>
      </c>
      <c r="AC284" t="n">
        <v>0</v>
      </c>
      <c r="AD284" t="n">
        <v>0</v>
      </c>
      <c r="AE284" t="n">
        <v>0</v>
      </c>
      <c r="AF284" t="n">
        <v>166</v>
      </c>
      <c r="AG284" t="n">
        <v>164</v>
      </c>
      <c r="AH284" t="n">
        <v>-2</v>
      </c>
      <c r="AI284" t="n">
        <v>38</v>
      </c>
      <c r="AJ284" t="n">
        <v>0</v>
      </c>
      <c r="AK284" t="n">
        <v>0</v>
      </c>
      <c r="AL284" t="n">
        <v>89</v>
      </c>
      <c r="AM284" t="n">
        <v>8.241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0.263</v>
      </c>
      <c r="AT284" t="n">
        <v>0.333</v>
      </c>
      <c r="AU284" t="n">
        <v>20</v>
      </c>
      <c r="AV284" t="n">
        <v>0</v>
      </c>
      <c r="AW284" t="n">
        <v>1.32</v>
      </c>
      <c r="AX284" t="n">
        <v>6</v>
      </c>
      <c r="AY284" t="n">
        <v>1.26</v>
      </c>
      <c r="AZ284" t="n">
        <v>1.386</v>
      </c>
      <c r="BA284" t="n">
        <v>1.323</v>
      </c>
      <c r="BB284" t="n">
        <v>1.386</v>
      </c>
      <c r="BC284" t="n">
        <v>0.117</v>
      </c>
      <c r="BD284" t="n">
        <v>0.128</v>
      </c>
      <c r="BE284" t="n">
        <v>0.122</v>
      </c>
      <c r="BF284" t="n">
        <v>0.8</v>
      </c>
      <c r="BG284" t="n">
        <v>0.074</v>
      </c>
      <c r="BH284" t="n">
        <v>0.922</v>
      </c>
      <c r="BI284" t="n">
        <v>11.09</v>
      </c>
      <c r="BJ284" t="n">
        <v>1.162</v>
      </c>
      <c r="BK284" t="n">
        <v>0.108</v>
      </c>
      <c r="BL284" t="n">
        <v>-1.323</v>
      </c>
      <c r="BM284" t="n">
        <v>-0.46</v>
      </c>
      <c r="BN284" t="n">
        <v>-0.8</v>
      </c>
      <c r="BO284" t="n">
        <v>-0.126</v>
      </c>
      <c r="BP284" t="n">
        <v>17</v>
      </c>
      <c r="BQ284" t="n">
        <v>6</v>
      </c>
      <c r="BR284" t="n">
        <v>1</v>
      </c>
      <c r="BS284" t="n">
        <v>43</v>
      </c>
      <c r="BT284" t="n">
        <v>3.981</v>
      </c>
      <c r="BW284" t="n">
        <v>1.07</v>
      </c>
      <c r="BX284" t="n">
        <v>2.098</v>
      </c>
      <c r="BY284" t="n">
        <v>1.584</v>
      </c>
      <c r="BZ284" t="n">
        <v>0.147</v>
      </c>
      <c r="CA284" t="n">
        <v>2.907</v>
      </c>
      <c r="CB284" t="n">
        <v>0.269</v>
      </c>
      <c r="CC284" t="n">
        <v>14</v>
      </c>
      <c r="CD284" t="n">
        <v>4</v>
      </c>
      <c r="CE284" t="n">
        <v>14</v>
      </c>
      <c r="CF284" t="n">
        <v>3</v>
      </c>
      <c r="CG284" t="n">
        <v>1</v>
      </c>
      <c r="CI284" t="n">
        <v>5.043</v>
      </c>
      <c r="CJ284" t="n">
        <v>3.406</v>
      </c>
      <c r="CK284" t="n">
        <v>17</v>
      </c>
      <c r="CL284" t="n">
        <v>52</v>
      </c>
      <c r="CM284" t="n">
        <v>20</v>
      </c>
      <c r="CN284" t="n">
        <v>14</v>
      </c>
      <c r="CO284" t="n">
        <v>9</v>
      </c>
      <c r="CP284" t="n">
        <v>6</v>
      </c>
      <c r="CQ284" t="n">
        <v>2</v>
      </c>
      <c r="CR284" t="n">
        <v>48</v>
      </c>
      <c r="CS284" t="n">
        <v>10</v>
      </c>
      <c r="CT284" t="n">
        <v>0.8</v>
      </c>
      <c r="CW284" t="n">
        <v>17.83</v>
      </c>
      <c r="CX284" t="n">
        <v>1.651</v>
      </c>
      <c r="CY284" t="n">
        <v>0</v>
      </c>
      <c r="DB284" t="n">
        <v>0</v>
      </c>
      <c r="DE284" t="n">
        <v>6.57</v>
      </c>
      <c r="DF284" t="n">
        <v>3</v>
      </c>
      <c r="DG284" t="n">
        <v>0</v>
      </c>
      <c r="DH284" t="n">
        <v>16</v>
      </c>
      <c r="DI284" t="n">
        <v>11</v>
      </c>
      <c r="DL284" t="n">
        <v>7</v>
      </c>
      <c r="DM284" t="n">
        <v>12</v>
      </c>
      <c r="DN284" t="n">
        <v>2</v>
      </c>
      <c r="DO284" t="n">
        <v>0.1</v>
      </c>
      <c r="DP284" t="n">
        <v>40.64</v>
      </c>
      <c r="DQ284" t="n">
        <v>20.34</v>
      </c>
      <c r="DR284" t="n">
        <v>40.68</v>
      </c>
      <c r="DS284" t="n">
        <v>-0.04</v>
      </c>
      <c r="DT284" t="n">
        <v>912</v>
      </c>
      <c r="DU284" t="n">
        <v>24</v>
      </c>
      <c r="DV284" t="inlineStr">
        <is>
          <t>flat</t>
        </is>
      </c>
      <c r="DW284" t="n">
        <v>109.5</v>
      </c>
      <c r="DZ284" t="n">
        <v>109.5</v>
      </c>
      <c r="EA284" t="n">
        <v>109.5</v>
      </c>
      <c r="EB284" t="n">
        <v>1</v>
      </c>
      <c r="EC284" t="n">
        <v>0.5</v>
      </c>
      <c r="ED284" t="n">
        <v>0</v>
      </c>
      <c r="EE284" t="n">
        <v>294</v>
      </c>
      <c r="EF284" t="n">
        <v>57.2</v>
      </c>
      <c r="EG284" t="n">
        <v>22.6</v>
      </c>
      <c r="EH284" t="n">
        <v>69.40000000000001</v>
      </c>
      <c r="EI284" t="n">
        <v>734.7</v>
      </c>
      <c r="EJ284" t="n">
        <v>613.7</v>
      </c>
      <c r="EK284" t="n">
        <v>334.4</v>
      </c>
      <c r="EL284" t="n">
        <v>25.6</v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n">
        <v>5</v>
      </c>
      <c r="F285" t="b">
        <v>1</v>
      </c>
      <c r="G285" t="b">
        <v>1</v>
      </c>
      <c r="H285" t="n">
        <v>25.4</v>
      </c>
      <c r="I285" t="inlineStr">
        <is>
          <t>i</t>
        </is>
      </c>
      <c r="J285" t="inlineStr">
        <is>
          <t>Knee injury - Unknown return date</t>
        </is>
      </c>
      <c r="K285" t="n">
        <v>0</v>
      </c>
      <c r="L285" t="inlineStr">
        <is>
          <t>p232112</t>
        </is>
      </c>
      <c r="M285" t="n">
        <v>433</v>
      </c>
      <c r="Q285" t="n">
        <v>876</v>
      </c>
      <c r="R285" t="n">
        <v>22</v>
      </c>
      <c r="S285" t="n">
        <v>8</v>
      </c>
      <c r="T285" t="n">
        <v>9.733000000000001</v>
      </c>
      <c r="U285" t="n">
        <v>39.8</v>
      </c>
      <c r="V285" t="n">
        <v>38</v>
      </c>
      <c r="W285" t="n">
        <v>3.904</v>
      </c>
      <c r="X285" t="n">
        <v>0</v>
      </c>
      <c r="Y285" t="n">
        <v>0</v>
      </c>
      <c r="AA285" t="n">
        <v>1</v>
      </c>
      <c r="AB285" t="n">
        <v>23</v>
      </c>
      <c r="AC285" t="n">
        <v>0</v>
      </c>
      <c r="AD285" t="n">
        <v>0</v>
      </c>
      <c r="AE285" t="n">
        <v>0</v>
      </c>
      <c r="AF285" t="n">
        <v>183</v>
      </c>
      <c r="AG285" t="n">
        <v>174</v>
      </c>
      <c r="AH285" t="n">
        <v>-9</v>
      </c>
      <c r="AI285" t="n">
        <v>38</v>
      </c>
      <c r="AJ285" t="n">
        <v>0</v>
      </c>
      <c r="AK285" t="n">
        <v>0</v>
      </c>
      <c r="AL285" t="n">
        <v>142</v>
      </c>
      <c r="AM285" t="n">
        <v>14.589</v>
      </c>
      <c r="AN285" t="n">
        <v>4</v>
      </c>
      <c r="AO285" t="n">
        <v>8</v>
      </c>
      <c r="AP285" t="n">
        <v>0.5</v>
      </c>
      <c r="AQ285" t="n">
        <v>0.75</v>
      </c>
      <c r="AR285" t="n">
        <v>0.5</v>
      </c>
      <c r="AS285" t="n">
        <v>0.211</v>
      </c>
      <c r="AT285" t="n">
        <v>0.364</v>
      </c>
      <c r="AU285" t="n">
        <v>18</v>
      </c>
      <c r="AV285" t="n">
        <v>0</v>
      </c>
      <c r="AW285" t="n">
        <v>1.29</v>
      </c>
      <c r="AX285" t="n">
        <v>5</v>
      </c>
      <c r="AY285" t="n">
        <v>0.72</v>
      </c>
      <c r="AZ285" t="n">
        <v>0.838</v>
      </c>
      <c r="BA285" t="n">
        <v>0.779</v>
      </c>
      <c r="BB285" t="n">
        <v>0.838</v>
      </c>
      <c r="BC285" t="n">
        <v>0.074</v>
      </c>
      <c r="BD285" t="n">
        <v>0.08599999999999999</v>
      </c>
      <c r="BE285" t="n">
        <v>0.08</v>
      </c>
      <c r="BF285" t="n">
        <v>0</v>
      </c>
      <c r="BG285" t="n">
        <v>0</v>
      </c>
      <c r="BH285" t="n">
        <v>0.864</v>
      </c>
      <c r="BI285" t="n">
        <v>1.72</v>
      </c>
      <c r="BJ285" t="n">
        <v>0.622</v>
      </c>
      <c r="BK285" t="n">
        <v>0.064</v>
      </c>
      <c r="BL285" t="n">
        <v>-0.779</v>
      </c>
      <c r="BM285" t="n">
        <v>-0.72</v>
      </c>
      <c r="BN285" t="n">
        <v>0</v>
      </c>
      <c r="BO285" t="n">
        <v>-0.118</v>
      </c>
      <c r="BP285" t="n">
        <v>13</v>
      </c>
      <c r="BQ285" t="n">
        <v>1</v>
      </c>
      <c r="BR285" t="n">
        <v>1</v>
      </c>
      <c r="BS285" t="n">
        <v>9</v>
      </c>
      <c r="BT285" t="n">
        <v>0.925</v>
      </c>
      <c r="BW285" t="n">
        <v>0.16</v>
      </c>
      <c r="BX285" t="n">
        <v>0.129</v>
      </c>
      <c r="BY285" t="n">
        <v>0.144</v>
      </c>
      <c r="BZ285" t="n">
        <v>0.015</v>
      </c>
      <c r="CA285" t="n">
        <v>0.923</v>
      </c>
      <c r="CB285" t="n">
        <v>0.095</v>
      </c>
      <c r="CC285" t="n">
        <v>3</v>
      </c>
      <c r="CE285" t="n">
        <v>3</v>
      </c>
      <c r="CI285" t="n">
        <v>3.853</v>
      </c>
      <c r="CJ285" t="n">
        <v>3.155</v>
      </c>
      <c r="CK285" t="n">
        <v>45</v>
      </c>
      <c r="CL285" t="n">
        <v>51</v>
      </c>
      <c r="CM285" t="n">
        <v>46</v>
      </c>
      <c r="CN285" t="n">
        <v>29</v>
      </c>
      <c r="CO285" t="n">
        <v>20</v>
      </c>
      <c r="CP285" t="n">
        <v>20</v>
      </c>
      <c r="CQ285" t="n">
        <v>5</v>
      </c>
      <c r="CR285" t="n">
        <v>79</v>
      </c>
      <c r="CS285" t="n">
        <v>11</v>
      </c>
      <c r="CT285" t="n">
        <v>0.1</v>
      </c>
      <c r="CV285" t="n">
        <v>1</v>
      </c>
      <c r="CW285" t="n">
        <v>18.22</v>
      </c>
      <c r="CX285" t="n">
        <v>1.872</v>
      </c>
      <c r="CY285" t="n">
        <v>0</v>
      </c>
      <c r="DB285" t="n">
        <v>0</v>
      </c>
      <c r="DF285" t="n">
        <v>1</v>
      </c>
      <c r="DG285" t="n">
        <v>0</v>
      </c>
      <c r="DH285" t="n">
        <v>24</v>
      </c>
      <c r="DI285" t="n">
        <v>15</v>
      </c>
      <c r="DL285" t="n">
        <v>7</v>
      </c>
      <c r="DM285" t="n">
        <v>11</v>
      </c>
      <c r="DO285" t="n">
        <v>0</v>
      </c>
      <c r="DP285" t="n">
        <v>19.94</v>
      </c>
      <c r="DQ285" t="n">
        <v>9.869999999999999</v>
      </c>
      <c r="DR285" t="n">
        <v>19.74</v>
      </c>
      <c r="DS285" t="n">
        <v>0.2</v>
      </c>
      <c r="DT285" t="n">
        <v>89</v>
      </c>
      <c r="DU285" t="n">
        <v>2.34</v>
      </c>
      <c r="DV285" t="inlineStr">
        <is>
          <t>flat</t>
        </is>
      </c>
      <c r="EF285" t="n">
        <v>67.40000000000001</v>
      </c>
      <c r="EG285" t="n">
        <v>97.3</v>
      </c>
      <c r="EH285" t="n">
        <v>292</v>
      </c>
      <c r="EI285" t="n">
        <v>1124.6</v>
      </c>
      <c r="EJ285" t="n">
        <v>6066.6</v>
      </c>
      <c r="EK285" t="n">
        <v>948.7</v>
      </c>
      <c r="EL285" t="n">
        <v>23.1</v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n">
        <v>5.5</v>
      </c>
      <c r="F286" t="b">
        <v>1</v>
      </c>
      <c r="G286" t="b">
        <v>1</v>
      </c>
      <c r="H286" t="n">
        <v>28.8</v>
      </c>
      <c r="I286" t="inlineStr">
        <is>
          <t>a</t>
        </is>
      </c>
      <c r="L286" t="inlineStr">
        <is>
          <t>p223541</t>
        </is>
      </c>
      <c r="M286" t="n">
        <v>370</v>
      </c>
      <c r="Q286" t="n">
        <v>317</v>
      </c>
      <c r="R286" t="n">
        <v>26</v>
      </c>
      <c r="S286" t="n">
        <v>1</v>
      </c>
      <c r="T286" t="n">
        <v>3.522</v>
      </c>
      <c r="U286" t="n">
        <v>12.2</v>
      </c>
      <c r="V286" t="n">
        <v>37</v>
      </c>
      <c r="W286" t="n">
        <v>10.505</v>
      </c>
      <c r="X286" t="n">
        <v>2</v>
      </c>
      <c r="Y286" t="n">
        <v>1</v>
      </c>
      <c r="Z286" t="n">
        <v>1</v>
      </c>
      <c r="AA286" t="n">
        <v>0</v>
      </c>
      <c r="AB286" t="n">
        <v>9</v>
      </c>
      <c r="AC286" t="n">
        <v>0</v>
      </c>
      <c r="AD286" t="n">
        <v>0</v>
      </c>
      <c r="AE286" t="n">
        <v>0</v>
      </c>
      <c r="AF286" t="n">
        <v>135</v>
      </c>
      <c r="AG286" t="n">
        <v>135</v>
      </c>
      <c r="AH286" t="n">
        <v>0</v>
      </c>
      <c r="AI286" t="n">
        <v>37</v>
      </c>
      <c r="AJ286" t="n">
        <v>0</v>
      </c>
      <c r="AK286" t="n">
        <v>0</v>
      </c>
      <c r="AL286" t="n">
        <v>30</v>
      </c>
      <c r="AM286" t="n">
        <v>8.516999999999999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0.026</v>
      </c>
      <c r="AT286" t="n">
        <v>0.038</v>
      </c>
      <c r="AU286" t="n">
        <v>23</v>
      </c>
      <c r="AV286" t="n">
        <v>0</v>
      </c>
      <c r="AW286" t="n">
        <v>1.33</v>
      </c>
      <c r="AX286" t="n">
        <v>6</v>
      </c>
      <c r="AY286" t="n">
        <v>1.45</v>
      </c>
      <c r="AZ286" t="n">
        <v>1.666</v>
      </c>
      <c r="BA286" t="n">
        <v>1.558</v>
      </c>
      <c r="BB286" t="n">
        <v>1.666</v>
      </c>
      <c r="BC286" t="n">
        <v>0.412</v>
      </c>
      <c r="BD286" t="n">
        <v>0.473</v>
      </c>
      <c r="BE286" t="n">
        <v>0.442</v>
      </c>
      <c r="BF286" t="n">
        <v>2</v>
      </c>
      <c r="BG286" t="n">
        <v>0.5679999999999999</v>
      </c>
      <c r="BH286" t="n">
        <v>1.042</v>
      </c>
      <c r="BI286" t="n">
        <v>1.79</v>
      </c>
      <c r="BJ286" t="n">
        <v>1.511</v>
      </c>
      <c r="BK286" t="n">
        <v>0.429</v>
      </c>
      <c r="BL286" t="n">
        <v>0.442</v>
      </c>
      <c r="BM286" t="n">
        <v>0.55</v>
      </c>
      <c r="BN286" t="n">
        <v>0</v>
      </c>
      <c r="BO286" t="n">
        <v>-0.216</v>
      </c>
      <c r="BP286" t="n">
        <v>17</v>
      </c>
      <c r="BQ286" t="n">
        <v>5</v>
      </c>
      <c r="BR286" t="n">
        <v>1</v>
      </c>
      <c r="BS286" t="n">
        <v>36</v>
      </c>
      <c r="BT286" t="n">
        <v>10.221</v>
      </c>
      <c r="BW286" t="n">
        <v>0.61</v>
      </c>
      <c r="BX286" t="n">
        <v>1.472</v>
      </c>
      <c r="BY286" t="n">
        <v>1.041</v>
      </c>
      <c r="BZ286" t="n">
        <v>0.296</v>
      </c>
      <c r="CA286" t="n">
        <v>2.599</v>
      </c>
      <c r="CB286" t="n">
        <v>0.738</v>
      </c>
      <c r="CC286" t="n">
        <v>3</v>
      </c>
      <c r="CD286" t="n">
        <v>2</v>
      </c>
      <c r="CE286" t="n">
        <v>3</v>
      </c>
      <c r="CI286" t="n">
        <v>3.723</v>
      </c>
      <c r="CJ286" t="n">
        <v>0.754</v>
      </c>
      <c r="CK286" t="n">
        <v>13</v>
      </c>
      <c r="CL286" t="n">
        <v>9</v>
      </c>
      <c r="CM286" t="n">
        <v>8</v>
      </c>
      <c r="CN286" t="n">
        <v>6</v>
      </c>
      <c r="CO286" t="n">
        <v>4</v>
      </c>
      <c r="CP286" t="n">
        <v>7</v>
      </c>
      <c r="CQ286" t="n">
        <v>2</v>
      </c>
      <c r="CR286" t="n">
        <v>20</v>
      </c>
      <c r="CS286" t="n">
        <v>3</v>
      </c>
      <c r="CT286" t="n">
        <v>0.3</v>
      </c>
      <c r="CW286" t="n">
        <v>6.5</v>
      </c>
      <c r="CX286" t="n">
        <v>1.845</v>
      </c>
      <c r="CY286" t="n">
        <v>0</v>
      </c>
      <c r="DB286" t="n">
        <v>0</v>
      </c>
      <c r="DF286" t="n">
        <v>3</v>
      </c>
      <c r="DG286" t="n">
        <v>0</v>
      </c>
      <c r="DH286" t="n">
        <v>11</v>
      </c>
      <c r="DI286" t="n">
        <v>7</v>
      </c>
      <c r="DL286" t="n">
        <v>2</v>
      </c>
      <c r="DM286" t="n">
        <v>4</v>
      </c>
      <c r="DN286" t="n">
        <v>2</v>
      </c>
      <c r="DO286" t="n">
        <v>0.2</v>
      </c>
      <c r="DP286" t="n">
        <v>19.45</v>
      </c>
      <c r="DQ286" t="n">
        <v>10.6</v>
      </c>
      <c r="DR286" t="n">
        <v>21.2</v>
      </c>
      <c r="DS286" t="n">
        <v>-1.75</v>
      </c>
      <c r="DT286" t="n">
        <v>40</v>
      </c>
      <c r="DU286" t="n">
        <v>1.06</v>
      </c>
      <c r="DV286" t="inlineStr">
        <is>
          <t>flat</t>
        </is>
      </c>
      <c r="DW286" t="n">
        <v>85.25</v>
      </c>
      <c r="DY286" t="n">
        <v>26.52</v>
      </c>
      <c r="DZ286" t="n">
        <v>66.5</v>
      </c>
      <c r="EA286" t="n">
        <v>104</v>
      </c>
      <c r="EB286" t="n">
        <v>2</v>
      </c>
      <c r="EC286" t="n">
        <v>1</v>
      </c>
      <c r="ED286" t="n">
        <v>0</v>
      </c>
      <c r="EE286" t="n">
        <v>179</v>
      </c>
      <c r="EF286" t="n">
        <v>18.6</v>
      </c>
      <c r="EG286" t="n">
        <v>8.800000000000001</v>
      </c>
      <c r="EH286" t="n">
        <v>105.7</v>
      </c>
      <c r="EI286" t="n">
        <v>203.5</v>
      </c>
      <c r="EJ286" t="n">
        <v>304.5</v>
      </c>
      <c r="EK286" t="n">
        <v>122</v>
      </c>
      <c r="EL286" t="n">
        <v>8.6</v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n">
        <v>4.5</v>
      </c>
      <c r="F287" t="b">
        <v>1</v>
      </c>
      <c r="G287" t="b">
        <v>1</v>
      </c>
      <c r="H287" t="n">
        <v>24.2</v>
      </c>
      <c r="I287" t="inlineStr">
        <is>
          <t>a</t>
        </is>
      </c>
      <c r="L287" t="inlineStr">
        <is>
          <t>p472713</t>
        </is>
      </c>
      <c r="M287" t="n">
        <v>90</v>
      </c>
      <c r="Q287" t="n">
        <v>679</v>
      </c>
      <c r="R287" t="n">
        <v>21</v>
      </c>
      <c r="S287" t="n">
        <v>8</v>
      </c>
      <c r="T287" t="n">
        <v>7.544</v>
      </c>
      <c r="U287" t="n">
        <v>32.3</v>
      </c>
      <c r="V287" t="n">
        <v>37</v>
      </c>
      <c r="W287" t="n">
        <v>4.904</v>
      </c>
      <c r="X287" t="n">
        <v>0</v>
      </c>
      <c r="Y287" t="n">
        <v>0</v>
      </c>
      <c r="AA287" t="n">
        <v>2</v>
      </c>
      <c r="AB287" t="n">
        <v>9</v>
      </c>
      <c r="AC287" t="n">
        <v>0</v>
      </c>
      <c r="AD287" t="n">
        <v>0</v>
      </c>
      <c r="AE287" t="n">
        <v>0</v>
      </c>
      <c r="AF287" t="n">
        <v>105</v>
      </c>
      <c r="AG287" t="n">
        <v>98</v>
      </c>
      <c r="AH287" t="n">
        <v>-7</v>
      </c>
      <c r="AI287" t="n">
        <v>37</v>
      </c>
      <c r="AJ287" t="n">
        <v>0</v>
      </c>
      <c r="AK287" t="n">
        <v>0</v>
      </c>
      <c r="AL287" t="n">
        <v>51</v>
      </c>
      <c r="AM287" t="n">
        <v>6.76</v>
      </c>
      <c r="AN287" t="n">
        <v>1</v>
      </c>
      <c r="AO287" t="n">
        <v>2</v>
      </c>
      <c r="AP287" t="n">
        <v>0.125</v>
      </c>
      <c r="AQ287" t="n">
        <v>0.125</v>
      </c>
      <c r="AR287" t="n">
        <v>0</v>
      </c>
      <c r="AS287" t="n">
        <v>0.211</v>
      </c>
      <c r="AT287" t="n">
        <v>0.333</v>
      </c>
      <c r="AU287" t="n">
        <v>19</v>
      </c>
      <c r="AV287" t="n">
        <v>0</v>
      </c>
      <c r="AW287" t="n">
        <v>1.62</v>
      </c>
      <c r="AX287" t="n">
        <v>8</v>
      </c>
      <c r="AY287" t="n">
        <v>0.44</v>
      </c>
      <c r="AZ287" t="n">
        <v>0.55</v>
      </c>
      <c r="BA287" t="n">
        <v>0.495</v>
      </c>
      <c r="BB287" t="n">
        <v>0.55</v>
      </c>
      <c r="BC287" t="n">
        <v>0.058</v>
      </c>
      <c r="BD287" t="n">
        <v>0.073</v>
      </c>
      <c r="BE287" t="n">
        <v>0.066</v>
      </c>
      <c r="BF287" t="n">
        <v>0.2</v>
      </c>
      <c r="BG287" t="n">
        <v>0.027</v>
      </c>
      <c r="BH287" t="n">
        <v>0.9419999999999999</v>
      </c>
      <c r="BI287" t="n">
        <v>1.02</v>
      </c>
      <c r="BJ287" t="n">
        <v>0.415</v>
      </c>
      <c r="BK287" t="n">
        <v>0.055</v>
      </c>
      <c r="BL287" t="n">
        <v>-0.495</v>
      </c>
      <c r="BM287" t="n">
        <v>-0.24</v>
      </c>
      <c r="BN287" t="n">
        <v>-0.2</v>
      </c>
      <c r="BO287" t="n">
        <v>-0.11</v>
      </c>
      <c r="BP287" t="n">
        <v>6</v>
      </c>
      <c r="BQ287" t="n">
        <v>1</v>
      </c>
      <c r="BR287" t="n">
        <v>1</v>
      </c>
      <c r="BS287" t="n">
        <v>10</v>
      </c>
      <c r="BT287" t="n">
        <v>1.325</v>
      </c>
      <c r="BW287" t="n">
        <v>0.17</v>
      </c>
      <c r="BX287" t="n">
        <v>0.604</v>
      </c>
      <c r="BY287" t="n">
        <v>0.387</v>
      </c>
      <c r="BZ287" t="n">
        <v>0.051</v>
      </c>
      <c r="CA287" t="n">
        <v>0.882</v>
      </c>
      <c r="CB287" t="n">
        <v>0.117</v>
      </c>
      <c r="CC287" t="n">
        <v>1</v>
      </c>
      <c r="CD287" t="n">
        <v>0</v>
      </c>
      <c r="CE287" t="n">
        <v>0</v>
      </c>
      <c r="CI287" t="n">
        <v>2.696</v>
      </c>
      <c r="CJ287" t="n">
        <v>2.248</v>
      </c>
      <c r="CK287" t="n">
        <v>36</v>
      </c>
      <c r="CL287" t="n">
        <v>35</v>
      </c>
      <c r="CM287" t="n">
        <v>15</v>
      </c>
      <c r="CN287" t="n">
        <v>7</v>
      </c>
      <c r="CO287" t="n">
        <v>8</v>
      </c>
      <c r="CP287" t="n">
        <v>23</v>
      </c>
      <c r="CQ287" t="n">
        <v>6</v>
      </c>
      <c r="CR287" t="n">
        <v>33</v>
      </c>
      <c r="CS287" t="n">
        <v>9</v>
      </c>
      <c r="CW287" t="n">
        <v>9.029999999999999</v>
      </c>
      <c r="CX287" t="n">
        <v>1.197</v>
      </c>
      <c r="CY287" t="n">
        <v>0</v>
      </c>
      <c r="DB287" t="n">
        <v>0</v>
      </c>
      <c r="DF287" t="n">
        <v>1</v>
      </c>
      <c r="DG287" t="n">
        <v>0</v>
      </c>
      <c r="DH287" t="n">
        <v>7</v>
      </c>
      <c r="DI287" t="n">
        <v>9</v>
      </c>
      <c r="DL287" t="n">
        <v>0</v>
      </c>
      <c r="DM287" t="n">
        <v>5</v>
      </c>
      <c r="DO287" t="n">
        <v>0.1</v>
      </c>
      <c r="DP287" t="n">
        <v>23.18</v>
      </c>
      <c r="DQ287" t="n">
        <v>11.79</v>
      </c>
      <c r="DR287" t="n">
        <v>23.58</v>
      </c>
      <c r="DS287" t="n">
        <v>-0.4</v>
      </c>
      <c r="DT287" t="n">
        <v>166</v>
      </c>
      <c r="DU287" t="n">
        <v>4.38</v>
      </c>
      <c r="DV287" t="inlineStr">
        <is>
          <t>flat</t>
        </is>
      </c>
      <c r="EF287" t="n">
        <v>113.2</v>
      </c>
      <c r="EG287" t="n">
        <v>67.90000000000001</v>
      </c>
      <c r="EI287" t="n">
        <v>1371.9</v>
      </c>
      <c r="EJ287" t="n">
        <v>1754.9</v>
      </c>
      <c r="EK287" t="n">
        <v>770</v>
      </c>
      <c r="EL287" t="n">
        <v>18.4</v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n">
        <v>5</v>
      </c>
      <c r="F288" t="b">
        <v>1</v>
      </c>
      <c r="G288" t="b">
        <v>1</v>
      </c>
      <c r="H288" t="n">
        <v>19.2</v>
      </c>
      <c r="I288" t="inlineStr">
        <is>
          <t>a</t>
        </is>
      </c>
      <c r="L288" t="inlineStr">
        <is>
          <t>p554197</t>
        </is>
      </c>
      <c r="M288" t="n">
        <v>548</v>
      </c>
      <c r="Q288" t="n">
        <v>758</v>
      </c>
      <c r="R288" t="n">
        <v>18</v>
      </c>
      <c r="S288" t="n">
        <v>11</v>
      </c>
      <c r="T288" t="n">
        <v>8.422000000000001</v>
      </c>
      <c r="U288" t="n">
        <v>42.1</v>
      </c>
      <c r="V288" t="n">
        <v>36</v>
      </c>
      <c r="W288" t="n">
        <v>4.274</v>
      </c>
      <c r="X288" t="n">
        <v>1</v>
      </c>
      <c r="Y288" t="n">
        <v>1</v>
      </c>
      <c r="Z288" t="n">
        <v>1</v>
      </c>
      <c r="AA288" t="n">
        <v>3</v>
      </c>
      <c r="AB288" t="n">
        <v>11</v>
      </c>
      <c r="AC288" t="n">
        <v>1</v>
      </c>
      <c r="AD288" t="n">
        <v>0</v>
      </c>
      <c r="AE288" t="n">
        <v>-1</v>
      </c>
      <c r="AF288" t="n">
        <v>136</v>
      </c>
      <c r="AG288" t="n">
        <v>133</v>
      </c>
      <c r="AH288" t="n">
        <v>-3</v>
      </c>
      <c r="AI288" t="n">
        <v>35</v>
      </c>
      <c r="AJ288" t="n">
        <v>0.028</v>
      </c>
      <c r="AK288" t="n">
        <v>0.029</v>
      </c>
      <c r="AL288" t="n">
        <v>57</v>
      </c>
      <c r="AM288" t="n">
        <v>6.768</v>
      </c>
      <c r="AN288" t="n">
        <v>0</v>
      </c>
      <c r="AO288" t="n">
        <v>0</v>
      </c>
      <c r="AP288" t="n">
        <v>0</v>
      </c>
      <c r="AQ288" t="n">
        <v>0.091</v>
      </c>
      <c r="AR288" t="n">
        <v>0</v>
      </c>
      <c r="AS288" t="n">
        <v>0.289</v>
      </c>
      <c r="AT288" t="n">
        <v>0.389</v>
      </c>
      <c r="AU288" t="n">
        <v>13</v>
      </c>
      <c r="AV288" t="n">
        <v>0</v>
      </c>
      <c r="AW288" t="n">
        <v>1.47</v>
      </c>
      <c r="AX288" t="n">
        <v>7</v>
      </c>
      <c r="AY288" t="n">
        <v>0.86</v>
      </c>
      <c r="AZ288" t="n">
        <v>0.8</v>
      </c>
      <c r="BA288" t="n">
        <v>0.83</v>
      </c>
      <c r="BB288" t="n">
        <v>0.8</v>
      </c>
      <c r="BC288" t="n">
        <v>0.102</v>
      </c>
      <c r="BD288" t="n">
        <v>0.095</v>
      </c>
      <c r="BE288" t="n">
        <v>0.099</v>
      </c>
      <c r="BF288" t="n">
        <v>0.9</v>
      </c>
      <c r="BG288" t="n">
        <v>0.107</v>
      </c>
      <c r="BH288" t="n">
        <v>1.004</v>
      </c>
      <c r="BI288" t="n">
        <v>0.86</v>
      </c>
      <c r="BJ288" t="n">
        <v>0.864</v>
      </c>
      <c r="BK288" t="n">
        <v>0.103</v>
      </c>
      <c r="BL288" t="n">
        <v>0.17</v>
      </c>
      <c r="BM288" t="n">
        <v>0.04</v>
      </c>
      <c r="BN288" t="n">
        <v>0.1</v>
      </c>
      <c r="BO288" t="n">
        <v>0.06</v>
      </c>
      <c r="BP288" t="n">
        <v>12</v>
      </c>
      <c r="BQ288" t="n">
        <v>3</v>
      </c>
      <c r="BS288" t="n">
        <v>20</v>
      </c>
      <c r="BT288" t="n">
        <v>2.375</v>
      </c>
      <c r="BW288" t="n">
        <v>0.93</v>
      </c>
      <c r="BX288" t="n">
        <v>1.189</v>
      </c>
      <c r="BY288" t="n">
        <v>1.06</v>
      </c>
      <c r="BZ288" t="n">
        <v>0.126</v>
      </c>
      <c r="CA288" t="n">
        <v>1.89</v>
      </c>
      <c r="CB288" t="n">
        <v>0.224</v>
      </c>
      <c r="CC288" t="n">
        <v>9</v>
      </c>
      <c r="CD288" t="n">
        <v>2</v>
      </c>
      <c r="CE288" t="n">
        <v>9</v>
      </c>
      <c r="CF288" t="n">
        <v>4</v>
      </c>
      <c r="CG288" t="n">
        <v>1</v>
      </c>
      <c r="CI288" t="n">
        <v>1.969</v>
      </c>
      <c r="CJ288" t="n">
        <v>0.725</v>
      </c>
      <c r="CK288" t="n">
        <v>15</v>
      </c>
      <c r="CL288" t="n">
        <v>29</v>
      </c>
      <c r="CM288" t="n">
        <v>13</v>
      </c>
      <c r="CN288" t="n">
        <v>8</v>
      </c>
      <c r="CO288" t="n">
        <v>4</v>
      </c>
      <c r="CP288" t="n">
        <v>10</v>
      </c>
      <c r="CQ288" t="n">
        <v>1</v>
      </c>
      <c r="CR288" t="n">
        <v>32</v>
      </c>
      <c r="CS288" t="n">
        <v>4</v>
      </c>
      <c r="CV288" t="n">
        <v>1</v>
      </c>
      <c r="CW288" t="n">
        <v>12.46</v>
      </c>
      <c r="CX288" t="n">
        <v>1.479</v>
      </c>
      <c r="CY288" t="n">
        <v>0</v>
      </c>
      <c r="DB288" t="n">
        <v>0</v>
      </c>
      <c r="DF288" t="n">
        <v>1</v>
      </c>
      <c r="DG288" t="n">
        <v>0</v>
      </c>
      <c r="DH288" t="n">
        <v>8</v>
      </c>
      <c r="DI288" t="n">
        <v>8</v>
      </c>
      <c r="DL288" t="n">
        <v>7</v>
      </c>
      <c r="DM288" t="n">
        <v>5</v>
      </c>
      <c r="DN288" t="n">
        <v>2</v>
      </c>
      <c r="DO288" t="n">
        <v>0.1</v>
      </c>
      <c r="DP288" t="n">
        <v>11.82</v>
      </c>
      <c r="DQ288" t="n">
        <v>5.91</v>
      </c>
      <c r="DR288" t="n">
        <v>11.82</v>
      </c>
      <c r="DS288" t="n">
        <v>0</v>
      </c>
      <c r="DT288" t="n">
        <v>144</v>
      </c>
      <c r="DU288" t="n">
        <v>3.78</v>
      </c>
      <c r="DV288" t="inlineStr">
        <is>
          <t>flat</t>
        </is>
      </c>
      <c r="DW288" t="n">
        <v>119.33</v>
      </c>
      <c r="DZ288" t="n">
        <v>119.33</v>
      </c>
      <c r="EA288" t="n">
        <v>119.33</v>
      </c>
      <c r="EB288" t="n">
        <v>1</v>
      </c>
      <c r="EC288" t="n">
        <v>0.5</v>
      </c>
      <c r="ED288" t="n">
        <v>0</v>
      </c>
      <c r="EE288" t="n">
        <v>297</v>
      </c>
      <c r="EF288" t="n">
        <v>63.2</v>
      </c>
      <c r="EG288" t="n">
        <v>37.9</v>
      </c>
      <c r="EH288" t="n">
        <v>84.2</v>
      </c>
      <c r="EI288" t="n">
        <v>913.2</v>
      </c>
      <c r="EJ288" t="n">
        <v>715.4</v>
      </c>
      <c r="EK288" t="n">
        <v>401.1</v>
      </c>
      <c r="EL288" t="n">
        <v>21.1</v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n">
        <v>5.5</v>
      </c>
      <c r="F289" t="b">
        <v>1</v>
      </c>
      <c r="G289" t="b">
        <v>1</v>
      </c>
      <c r="H289" t="n">
        <v>25.3</v>
      </c>
      <c r="I289" t="inlineStr">
        <is>
          <t>a</t>
        </is>
      </c>
      <c r="L289" t="inlineStr">
        <is>
          <t>p244042</t>
        </is>
      </c>
      <c r="M289" t="n">
        <v>271</v>
      </c>
      <c r="Q289" t="n">
        <v>987</v>
      </c>
      <c r="R289" t="n">
        <v>21</v>
      </c>
      <c r="S289" t="n">
        <v>10</v>
      </c>
      <c r="T289" t="n">
        <v>10.967</v>
      </c>
      <c r="U289" t="n">
        <v>47</v>
      </c>
      <c r="V289" t="n">
        <v>36</v>
      </c>
      <c r="W289" t="n">
        <v>3.283</v>
      </c>
      <c r="X289" t="n">
        <v>1</v>
      </c>
      <c r="Y289" t="n">
        <v>1</v>
      </c>
      <c r="Z289" t="n">
        <v>1</v>
      </c>
      <c r="AA289" t="n">
        <v>3</v>
      </c>
      <c r="AB289" t="n">
        <v>13</v>
      </c>
      <c r="AC289" t="n">
        <v>3</v>
      </c>
      <c r="AD289" t="n">
        <v>3</v>
      </c>
      <c r="AE289" t="n">
        <v>0</v>
      </c>
      <c r="AF289" t="n">
        <v>94</v>
      </c>
      <c r="AG289" t="n">
        <v>89</v>
      </c>
      <c r="AH289" t="n">
        <v>-5</v>
      </c>
      <c r="AI289" t="n">
        <v>36</v>
      </c>
      <c r="AJ289" t="n">
        <v>0.083</v>
      </c>
      <c r="AK289" t="n">
        <v>0.091</v>
      </c>
      <c r="AL289" t="n">
        <v>52</v>
      </c>
      <c r="AM289" t="n">
        <v>4.742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0.263</v>
      </c>
      <c r="AT289" t="n">
        <v>0.429</v>
      </c>
      <c r="AU289" t="n">
        <v>19</v>
      </c>
      <c r="AV289" t="n">
        <v>0</v>
      </c>
      <c r="AW289" t="n">
        <v>1.43</v>
      </c>
      <c r="AX289" t="n">
        <v>7</v>
      </c>
      <c r="AY289" t="n">
        <v>3.3</v>
      </c>
      <c r="AZ289" t="n">
        <v>4.545</v>
      </c>
      <c r="BA289" t="n">
        <v>3.923</v>
      </c>
      <c r="BB289" t="n">
        <v>4.545</v>
      </c>
      <c r="BC289" t="n">
        <v>0.301</v>
      </c>
      <c r="BD289" t="n">
        <v>0.414</v>
      </c>
      <c r="BE289" t="n">
        <v>0.358</v>
      </c>
      <c r="BF289" t="n">
        <v>0.8</v>
      </c>
      <c r="BG289" t="n">
        <v>0.073</v>
      </c>
      <c r="BH289" t="n">
        <v>0.994</v>
      </c>
      <c r="BI289" t="n">
        <v>17.97</v>
      </c>
      <c r="BJ289" t="n">
        <v>3.278</v>
      </c>
      <c r="BK289" t="n">
        <v>0.299</v>
      </c>
      <c r="BL289" t="n">
        <v>-2.923</v>
      </c>
      <c r="BM289" t="n">
        <v>-2.5</v>
      </c>
      <c r="BN289" t="n">
        <v>0.2</v>
      </c>
      <c r="BO289" t="n">
        <v>-1.245</v>
      </c>
      <c r="BP289" t="n">
        <v>32</v>
      </c>
      <c r="BQ289" t="n">
        <v>5</v>
      </c>
      <c r="BR289" t="n">
        <v>6</v>
      </c>
      <c r="BS289" t="n">
        <v>61</v>
      </c>
      <c r="BT289" t="n">
        <v>5.562</v>
      </c>
      <c r="BW289" t="n">
        <v>0.15</v>
      </c>
      <c r="BX289" t="n">
        <v>0.961</v>
      </c>
      <c r="BY289" t="n">
        <v>0.556</v>
      </c>
      <c r="BZ289" t="n">
        <v>0.051</v>
      </c>
      <c r="CA289" t="n">
        <v>4.478</v>
      </c>
      <c r="CB289" t="n">
        <v>0.408</v>
      </c>
      <c r="CC289" t="n">
        <v>8</v>
      </c>
      <c r="CD289" t="n">
        <v>1</v>
      </c>
      <c r="CE289" t="n">
        <v>8</v>
      </c>
      <c r="CI289" t="n">
        <v>4.831</v>
      </c>
      <c r="CJ289" t="n">
        <v>1.298</v>
      </c>
      <c r="CK289" t="n">
        <v>29</v>
      </c>
      <c r="CL289" t="n">
        <v>15</v>
      </c>
      <c r="CM289" t="n">
        <v>8</v>
      </c>
      <c r="CN289" t="n">
        <v>3</v>
      </c>
      <c r="CO289" t="n">
        <v>2</v>
      </c>
      <c r="CP289" t="n">
        <v>24</v>
      </c>
      <c r="CQ289" t="n">
        <v>3</v>
      </c>
      <c r="CR289" t="n">
        <v>108</v>
      </c>
      <c r="CS289" t="n">
        <v>78</v>
      </c>
      <c r="CT289" t="n">
        <v>0.5</v>
      </c>
      <c r="CW289" t="n">
        <v>13.83</v>
      </c>
      <c r="CX289" t="n">
        <v>1.261</v>
      </c>
      <c r="CY289" t="n">
        <v>0</v>
      </c>
      <c r="DB289" t="n">
        <v>0</v>
      </c>
      <c r="DE289" t="n">
        <v>6.33</v>
      </c>
      <c r="DF289" t="n">
        <v>2</v>
      </c>
      <c r="DG289" t="n">
        <v>0</v>
      </c>
      <c r="DH289" t="n">
        <v>21</v>
      </c>
      <c r="DI289" t="n">
        <v>18</v>
      </c>
      <c r="DL289" t="n">
        <v>5</v>
      </c>
      <c r="DM289" t="n">
        <v>12</v>
      </c>
      <c r="DN289" t="n">
        <v>5</v>
      </c>
      <c r="DO289" t="n">
        <v>0.7</v>
      </c>
      <c r="DP289" t="n">
        <v>50.42</v>
      </c>
      <c r="DQ289" t="n">
        <v>25.21</v>
      </c>
      <c r="DR289" t="n">
        <v>50.42</v>
      </c>
      <c r="DS289" t="n">
        <v>0</v>
      </c>
      <c r="DT289" t="n">
        <v>540</v>
      </c>
      <c r="DU289" t="n">
        <v>14.2</v>
      </c>
      <c r="DV289" t="inlineStr">
        <is>
          <t>flat</t>
        </is>
      </c>
      <c r="DW289" t="n">
        <v>91.45</v>
      </c>
      <c r="DX289" t="n">
        <v>95.45</v>
      </c>
      <c r="DY289" t="n">
        <v>24.23</v>
      </c>
      <c r="DZ289" t="n">
        <v>31</v>
      </c>
      <c r="EA289" t="n">
        <v>120</v>
      </c>
      <c r="EB289" t="n">
        <v>54</v>
      </c>
      <c r="EC289" t="n">
        <v>26</v>
      </c>
      <c r="ED289" t="n">
        <v>5.3</v>
      </c>
      <c r="EE289" t="n">
        <v>180</v>
      </c>
      <c r="EF289" t="n">
        <v>30.8</v>
      </c>
      <c r="EG289" t="n">
        <v>16.2</v>
      </c>
      <c r="EH289" t="n">
        <v>123.4</v>
      </c>
      <c r="EI289" t="n">
        <v>251.6</v>
      </c>
      <c r="EJ289" t="n">
        <v>1776</v>
      </c>
      <c r="EK289" t="n">
        <v>220.4</v>
      </c>
      <c r="EL289" t="n">
        <v>27.4</v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n">
        <v>7.5</v>
      </c>
      <c r="F290" t="b">
        <v>1</v>
      </c>
      <c r="G290" t="b">
        <v>1</v>
      </c>
      <c r="H290" t="n">
        <v>27.2</v>
      </c>
      <c r="I290" t="inlineStr">
        <is>
          <t>a</t>
        </is>
      </c>
      <c r="L290" t="inlineStr">
        <is>
          <t>p219847</t>
        </is>
      </c>
      <c r="M290" t="n">
        <v>26</v>
      </c>
      <c r="Q290" t="n">
        <v>577</v>
      </c>
      <c r="R290" t="n">
        <v>12</v>
      </c>
      <c r="S290" t="n">
        <v>7</v>
      </c>
      <c r="T290" t="n">
        <v>6.411</v>
      </c>
      <c r="U290" t="n">
        <v>48.1</v>
      </c>
      <c r="V290" t="n">
        <v>36</v>
      </c>
      <c r="W290" t="n">
        <v>5.615</v>
      </c>
      <c r="X290" t="n">
        <v>2</v>
      </c>
      <c r="Y290" t="n">
        <v>3</v>
      </c>
      <c r="Z290" t="n">
        <v>3</v>
      </c>
      <c r="AA290" t="n">
        <v>4</v>
      </c>
      <c r="AB290" t="n">
        <v>4</v>
      </c>
      <c r="AC290" t="n">
        <v>3</v>
      </c>
      <c r="AD290" t="n">
        <v>3</v>
      </c>
      <c r="AE290" t="n">
        <v>0</v>
      </c>
      <c r="AF290" t="n">
        <v>143</v>
      </c>
      <c r="AG290" t="n">
        <v>139</v>
      </c>
      <c r="AH290" t="n">
        <v>-4</v>
      </c>
      <c r="AI290" t="n">
        <v>36</v>
      </c>
      <c r="AJ290" t="n">
        <v>0.083</v>
      </c>
      <c r="AK290" t="n">
        <v>0.091</v>
      </c>
      <c r="AL290" t="n">
        <v>32</v>
      </c>
      <c r="AM290" t="n">
        <v>4.991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0.184</v>
      </c>
      <c r="AT290" t="n">
        <v>0.417</v>
      </c>
      <c r="AU290" t="n">
        <v>7</v>
      </c>
      <c r="AV290" t="n">
        <v>0</v>
      </c>
      <c r="AW290" t="n">
        <v>1.92</v>
      </c>
      <c r="AX290" t="n">
        <v>8</v>
      </c>
      <c r="AY290" t="n">
        <v>3.31</v>
      </c>
      <c r="AZ290" t="n">
        <v>4.896</v>
      </c>
      <c r="BA290" t="n">
        <v>4.103</v>
      </c>
      <c r="BB290" t="n">
        <v>4.896</v>
      </c>
      <c r="BC290" t="n">
        <v>0.516</v>
      </c>
      <c r="BD290" t="n">
        <v>0.764</v>
      </c>
      <c r="BE290" t="n">
        <v>0.64</v>
      </c>
      <c r="BF290" t="n">
        <v>2.3</v>
      </c>
      <c r="BG290" t="n">
        <v>0.359</v>
      </c>
      <c r="BH290" t="n">
        <v>0.92</v>
      </c>
      <c r="BI290" t="n">
        <v>36.78</v>
      </c>
      <c r="BJ290" t="n">
        <v>3.045</v>
      </c>
      <c r="BK290" t="n">
        <v>0.475</v>
      </c>
      <c r="BL290" t="n">
        <v>-2.103</v>
      </c>
      <c r="BM290" t="n">
        <v>-1.01</v>
      </c>
      <c r="BN290" t="n">
        <v>-0.3</v>
      </c>
      <c r="BO290" t="n">
        <v>-1.586</v>
      </c>
      <c r="BP290" t="n">
        <v>18</v>
      </c>
      <c r="BQ290" t="n">
        <v>4</v>
      </c>
      <c r="BR290" t="n">
        <v>6</v>
      </c>
      <c r="BS290" t="n">
        <v>39</v>
      </c>
      <c r="BT290" t="n">
        <v>6.083</v>
      </c>
      <c r="BV290" t="n">
        <v>1</v>
      </c>
      <c r="BW290" t="n">
        <v>0.64</v>
      </c>
      <c r="BX290" t="n">
        <v>1.457</v>
      </c>
      <c r="BY290" t="n">
        <v>1.048</v>
      </c>
      <c r="BZ290" t="n">
        <v>0.164</v>
      </c>
      <c r="CA290" t="n">
        <v>5.151</v>
      </c>
      <c r="CB290" t="n">
        <v>0.803</v>
      </c>
      <c r="CC290" t="n">
        <v>11</v>
      </c>
      <c r="CD290" t="n">
        <v>2</v>
      </c>
      <c r="CE290" t="n">
        <v>11</v>
      </c>
      <c r="CG290" t="n">
        <v>1</v>
      </c>
      <c r="CI290" t="n">
        <v>4.522</v>
      </c>
      <c r="CJ290" t="n">
        <v>0.752</v>
      </c>
      <c r="CK290" t="n">
        <v>10</v>
      </c>
      <c r="CL290" t="n">
        <v>14</v>
      </c>
      <c r="CM290" t="n">
        <v>8</v>
      </c>
      <c r="CN290" t="n">
        <v>5</v>
      </c>
      <c r="CO290" t="n">
        <v>1</v>
      </c>
      <c r="CP290" t="n">
        <v>8</v>
      </c>
      <c r="CQ290" t="n">
        <v>1</v>
      </c>
      <c r="CR290" t="n">
        <v>36</v>
      </c>
      <c r="CS290" t="n">
        <v>17</v>
      </c>
      <c r="CW290" t="n">
        <v>6.68</v>
      </c>
      <c r="CX290" t="n">
        <v>1.042</v>
      </c>
      <c r="CY290" t="n">
        <v>0</v>
      </c>
      <c r="DB290" t="n">
        <v>0</v>
      </c>
      <c r="DF290" t="n">
        <v>1</v>
      </c>
      <c r="DG290" t="n">
        <v>0</v>
      </c>
      <c r="DH290" t="n">
        <v>8</v>
      </c>
      <c r="DI290" t="n">
        <v>8</v>
      </c>
      <c r="DL290" t="n">
        <v>3</v>
      </c>
      <c r="DM290" t="n">
        <v>8</v>
      </c>
      <c r="DN290" t="n">
        <v>3</v>
      </c>
      <c r="DO290" t="n">
        <v>3.3</v>
      </c>
      <c r="DP290" t="n">
        <v>133.33</v>
      </c>
      <c r="DQ290" t="n">
        <v>66.68000000000001</v>
      </c>
      <c r="DR290" t="n">
        <v>133.36</v>
      </c>
      <c r="DS290" t="n">
        <v>-0.03</v>
      </c>
      <c r="DT290" t="n">
        <v>2394</v>
      </c>
      <c r="DU290" t="n">
        <v>63</v>
      </c>
      <c r="DV290" t="inlineStr">
        <is>
          <t>flat</t>
        </is>
      </c>
      <c r="DW290" t="n">
        <v>32.13</v>
      </c>
      <c r="DX290" t="n">
        <v>30.79</v>
      </c>
      <c r="DY290" t="n">
        <v>21.51</v>
      </c>
      <c r="DZ290" t="n">
        <v>5.54</v>
      </c>
      <c r="EA290" t="n">
        <v>106.67</v>
      </c>
      <c r="EB290" t="n">
        <v>160</v>
      </c>
      <c r="EC290" t="n">
        <v>76.90000000000001</v>
      </c>
      <c r="ED290" t="n">
        <v>23.8</v>
      </c>
      <c r="EE290" t="n">
        <v>22</v>
      </c>
      <c r="EF290" t="n">
        <v>32.1</v>
      </c>
      <c r="EG290" t="n">
        <v>14.8</v>
      </c>
      <c r="EH290" t="n">
        <v>52.5</v>
      </c>
      <c r="EI290" t="n">
        <v>140.6</v>
      </c>
      <c r="EJ290" t="n">
        <v>550.3</v>
      </c>
      <c r="EK290" t="n">
        <v>112</v>
      </c>
      <c r="EL290" t="n">
        <v>16</v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n">
        <v>5</v>
      </c>
      <c r="F291" t="b">
        <v>1</v>
      </c>
      <c r="G291" t="b">
        <v>1</v>
      </c>
      <c r="H291" t="n">
        <v>22.9</v>
      </c>
      <c r="I291" t="inlineStr">
        <is>
          <t>a</t>
        </is>
      </c>
      <c r="L291" t="inlineStr">
        <is>
          <t>p489706</t>
        </is>
      </c>
      <c r="M291" t="n">
        <v>215</v>
      </c>
      <c r="N291" t="n">
        <v>3</v>
      </c>
      <c r="P291" t="n">
        <v>2</v>
      </c>
      <c r="Q291" t="n">
        <v>785</v>
      </c>
      <c r="R291" t="n">
        <v>21</v>
      </c>
      <c r="S291" t="n">
        <v>7</v>
      </c>
      <c r="T291" t="n">
        <v>8.722</v>
      </c>
      <c r="U291" t="n">
        <v>37.4</v>
      </c>
      <c r="V291" t="n">
        <v>36</v>
      </c>
      <c r="W291" t="n">
        <v>4.127</v>
      </c>
      <c r="X291" t="n">
        <v>1</v>
      </c>
      <c r="Y291" t="n">
        <v>0</v>
      </c>
      <c r="AA291" t="n">
        <v>1</v>
      </c>
      <c r="AB291" t="n">
        <v>15</v>
      </c>
      <c r="AC291" t="n">
        <v>0</v>
      </c>
      <c r="AD291" t="n">
        <v>0</v>
      </c>
      <c r="AE291" t="n">
        <v>0</v>
      </c>
      <c r="AF291" t="n">
        <v>108</v>
      </c>
      <c r="AG291" t="n">
        <v>106</v>
      </c>
      <c r="AH291" t="n">
        <v>-2</v>
      </c>
      <c r="AI291" t="n">
        <v>36</v>
      </c>
      <c r="AJ291" t="n">
        <v>0</v>
      </c>
      <c r="AK291" t="n">
        <v>0</v>
      </c>
      <c r="AL291" t="n">
        <v>72</v>
      </c>
      <c r="AM291" t="n">
        <v>8.255000000000001</v>
      </c>
      <c r="AN291" t="n">
        <v>1</v>
      </c>
      <c r="AO291" t="n">
        <v>2</v>
      </c>
      <c r="AP291" t="n">
        <v>0.143</v>
      </c>
      <c r="AQ291" t="n">
        <v>0.143</v>
      </c>
      <c r="AR291" t="n">
        <v>0.143</v>
      </c>
      <c r="AS291" t="n">
        <v>0.184</v>
      </c>
      <c r="AT291" t="n">
        <v>0.333</v>
      </c>
      <c r="AU291" t="n">
        <v>18</v>
      </c>
      <c r="AV291" t="n">
        <v>0</v>
      </c>
      <c r="AW291" t="n">
        <v>1.27</v>
      </c>
      <c r="AX291" t="n">
        <v>6</v>
      </c>
      <c r="AY291" t="n">
        <v>2.38</v>
      </c>
      <c r="AZ291" t="n">
        <v>2.245</v>
      </c>
      <c r="BA291" t="n">
        <v>2.313</v>
      </c>
      <c r="BB291" t="n">
        <v>1.484</v>
      </c>
      <c r="BC291" t="n">
        <v>0.273</v>
      </c>
      <c r="BD291" t="n">
        <v>0.257</v>
      </c>
      <c r="BE291" t="n">
        <v>0.265</v>
      </c>
      <c r="BF291" t="n">
        <v>1</v>
      </c>
      <c r="BG291" t="n">
        <v>0.115</v>
      </c>
      <c r="BH291" t="n">
        <v>0.888</v>
      </c>
      <c r="BI291" t="n">
        <v>3.15</v>
      </c>
      <c r="BJ291" t="n">
        <v>2.113</v>
      </c>
      <c r="BK291" t="n">
        <v>0.242</v>
      </c>
      <c r="BL291" t="n">
        <v>-1.313</v>
      </c>
      <c r="BM291" t="n">
        <v>-1.38</v>
      </c>
      <c r="BN291" t="n">
        <v>0</v>
      </c>
      <c r="BO291" t="n">
        <v>0.135</v>
      </c>
      <c r="BP291" t="n">
        <v>13</v>
      </c>
      <c r="BQ291" t="n">
        <v>4</v>
      </c>
      <c r="BR291" t="n">
        <v>4</v>
      </c>
      <c r="BS291" t="n">
        <v>32</v>
      </c>
      <c r="BT291" t="n">
        <v>3.669</v>
      </c>
      <c r="BU291" t="n">
        <v>1</v>
      </c>
      <c r="BW291" t="n">
        <v>0.39</v>
      </c>
      <c r="BX291" t="n">
        <v>0.332</v>
      </c>
      <c r="BY291" t="n">
        <v>0.361</v>
      </c>
      <c r="BZ291" t="n">
        <v>0.041</v>
      </c>
      <c r="CA291" t="n">
        <v>2.674</v>
      </c>
      <c r="CB291" t="n">
        <v>0.307</v>
      </c>
      <c r="CC291" t="n">
        <v>7</v>
      </c>
      <c r="CE291" t="n">
        <v>7</v>
      </c>
      <c r="CF291" t="n">
        <v>0</v>
      </c>
      <c r="CH291" t="n">
        <v>1</v>
      </c>
      <c r="CI291" t="n">
        <v>3.624</v>
      </c>
      <c r="CJ291" t="n">
        <v>2.077</v>
      </c>
      <c r="CK291" t="n">
        <v>13</v>
      </c>
      <c r="CL291" t="n">
        <v>34</v>
      </c>
      <c r="CM291" t="n">
        <v>25</v>
      </c>
      <c r="CN291" t="n">
        <v>11</v>
      </c>
      <c r="CO291" t="n">
        <v>1</v>
      </c>
      <c r="CP291" t="n">
        <v>12</v>
      </c>
      <c r="CQ291" t="n">
        <v>0</v>
      </c>
      <c r="CR291" t="n">
        <v>46</v>
      </c>
      <c r="CS291" t="n">
        <v>8</v>
      </c>
      <c r="CT291" t="n">
        <v>0.5</v>
      </c>
      <c r="CW291" t="n">
        <v>14.71</v>
      </c>
      <c r="CX291" t="n">
        <v>1.686</v>
      </c>
      <c r="CY291" t="n">
        <v>0</v>
      </c>
      <c r="DB291" t="n">
        <v>0</v>
      </c>
      <c r="DF291" t="n">
        <v>0</v>
      </c>
      <c r="DG291" t="n">
        <v>0</v>
      </c>
      <c r="DH291" t="n">
        <v>11</v>
      </c>
      <c r="DI291" t="n">
        <v>10</v>
      </c>
      <c r="DL291" t="n">
        <v>3</v>
      </c>
      <c r="DM291" t="n">
        <v>11</v>
      </c>
      <c r="DN291" t="n">
        <v>1</v>
      </c>
      <c r="DO291" t="n">
        <v>0</v>
      </c>
      <c r="DP291" t="n">
        <v>18.62</v>
      </c>
      <c r="DQ291" t="n">
        <v>9.31</v>
      </c>
      <c r="DR291" t="n">
        <v>18.62</v>
      </c>
      <c r="DS291" t="n">
        <v>0</v>
      </c>
      <c r="DT291" t="n">
        <v>64</v>
      </c>
      <c r="DU291" t="n">
        <v>1.68</v>
      </c>
      <c r="DV291" t="inlineStr">
        <is>
          <t>flat</t>
        </is>
      </c>
      <c r="EF291" t="n">
        <v>60.4</v>
      </c>
      <c r="EG291" t="n">
        <v>24.5</v>
      </c>
      <c r="EH291" t="n">
        <v>112.1</v>
      </c>
      <c r="EI291" t="n">
        <v>339.4</v>
      </c>
      <c r="EJ291" t="n">
        <v>2173.1</v>
      </c>
      <c r="EK291" t="n">
        <v>293.6</v>
      </c>
      <c r="EL291" t="n">
        <v>21.8</v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n">
        <v>5</v>
      </c>
      <c r="F292" t="b">
        <v>1</v>
      </c>
      <c r="G292" t="b">
        <v>1</v>
      </c>
      <c r="H292" t="n">
        <v>24.1</v>
      </c>
      <c r="I292" t="inlineStr">
        <is>
          <t>a</t>
        </is>
      </c>
      <c r="L292" t="inlineStr">
        <is>
          <t>p513466</t>
        </is>
      </c>
      <c r="M292" t="n">
        <v>246</v>
      </c>
      <c r="Q292" t="n">
        <v>675</v>
      </c>
      <c r="R292" t="n">
        <v>16</v>
      </c>
      <c r="S292" t="n">
        <v>6</v>
      </c>
      <c r="T292" t="n">
        <v>7.5</v>
      </c>
      <c r="U292" t="n">
        <v>42.2</v>
      </c>
      <c r="V292" t="n">
        <v>36</v>
      </c>
      <c r="W292" t="n">
        <v>4.8</v>
      </c>
      <c r="X292" t="n">
        <v>1</v>
      </c>
      <c r="Y292" t="n">
        <v>1</v>
      </c>
      <c r="AA292" t="n">
        <v>2</v>
      </c>
      <c r="AB292" t="n">
        <v>13</v>
      </c>
      <c r="AC292" t="n">
        <v>2</v>
      </c>
      <c r="AD292" t="n">
        <v>2</v>
      </c>
      <c r="AE292" t="n">
        <v>0</v>
      </c>
      <c r="AF292" t="n">
        <v>98</v>
      </c>
      <c r="AG292" t="n">
        <v>93</v>
      </c>
      <c r="AH292" t="n">
        <v>-5</v>
      </c>
      <c r="AI292" t="n">
        <v>36</v>
      </c>
      <c r="AJ292" t="n">
        <v>0.056</v>
      </c>
      <c r="AK292" t="n">
        <v>0.059</v>
      </c>
      <c r="AL292" t="n">
        <v>68</v>
      </c>
      <c r="AM292" t="n">
        <v>9.067</v>
      </c>
      <c r="AN292" t="n">
        <v>1</v>
      </c>
      <c r="AO292" t="n">
        <v>2</v>
      </c>
      <c r="AP292" t="n">
        <v>0.167</v>
      </c>
      <c r="AQ292" t="n">
        <v>0.167</v>
      </c>
      <c r="AR292" t="n">
        <v>0.167</v>
      </c>
      <c r="AS292" t="n">
        <v>0.158</v>
      </c>
      <c r="AT292" t="n">
        <v>0.375</v>
      </c>
      <c r="AU292" t="n">
        <v>12</v>
      </c>
      <c r="AV292" t="n">
        <v>0</v>
      </c>
      <c r="AW292" t="n">
        <v>1.89</v>
      </c>
      <c r="AX292" t="n">
        <v>9</v>
      </c>
      <c r="AY292" t="n">
        <v>0.67</v>
      </c>
      <c r="AZ292" t="n">
        <v>0.5590000000000001</v>
      </c>
      <c r="BA292" t="n">
        <v>0.614</v>
      </c>
      <c r="BB292" t="n">
        <v>0.5590000000000001</v>
      </c>
      <c r="BC292" t="n">
        <v>0.089</v>
      </c>
      <c r="BD292" t="n">
        <v>0.074</v>
      </c>
      <c r="BE292" t="n">
        <v>0.082</v>
      </c>
      <c r="BF292" t="n">
        <v>0.3</v>
      </c>
      <c r="BG292" t="n">
        <v>0.04</v>
      </c>
      <c r="BH292" t="n">
        <v>0.957</v>
      </c>
      <c r="BI292" t="n">
        <v>0.67</v>
      </c>
      <c r="BJ292" t="n">
        <v>0.641</v>
      </c>
      <c r="BK292" t="n">
        <v>0.08500000000000001</v>
      </c>
      <c r="BL292" t="n">
        <v>0.386</v>
      </c>
      <c r="BM292" t="n">
        <v>-0.37</v>
      </c>
      <c r="BN292" t="n">
        <v>0.7</v>
      </c>
      <c r="BO292" t="n">
        <v>0.111</v>
      </c>
      <c r="BP292" t="n">
        <v>11</v>
      </c>
      <c r="BQ292" t="n">
        <v>1</v>
      </c>
      <c r="BR292" t="n">
        <v>1</v>
      </c>
      <c r="BS292" t="n">
        <v>20</v>
      </c>
      <c r="BT292" t="n">
        <v>2.667</v>
      </c>
      <c r="BW292" t="n">
        <v>0.35</v>
      </c>
      <c r="BX292" t="n">
        <v>0.361</v>
      </c>
      <c r="BY292" t="n">
        <v>0.355</v>
      </c>
      <c r="BZ292" t="n">
        <v>0.047</v>
      </c>
      <c r="CA292" t="n">
        <v>0.97</v>
      </c>
      <c r="CB292" t="n">
        <v>0.129</v>
      </c>
      <c r="CC292" t="n">
        <v>6</v>
      </c>
      <c r="CE292" t="n">
        <v>6</v>
      </c>
      <c r="CF292" t="n">
        <v>3</v>
      </c>
      <c r="CI292" t="n">
        <v>1.404</v>
      </c>
      <c r="CJ292" t="n">
        <v>0.696</v>
      </c>
      <c r="CK292" t="n">
        <v>15</v>
      </c>
      <c r="CL292" t="n">
        <v>28</v>
      </c>
      <c r="CM292" t="n">
        <v>25</v>
      </c>
      <c r="CN292" t="n">
        <v>12</v>
      </c>
      <c r="CO292" t="n">
        <v>4</v>
      </c>
      <c r="CP292" t="n">
        <v>9</v>
      </c>
      <c r="CQ292" t="n">
        <v>2</v>
      </c>
      <c r="CR292" t="n">
        <v>50</v>
      </c>
      <c r="CS292" t="n">
        <v>15</v>
      </c>
      <c r="CW292" t="n">
        <v>13.31</v>
      </c>
      <c r="CX292" t="n">
        <v>1.775</v>
      </c>
      <c r="CY292" t="n">
        <v>0</v>
      </c>
      <c r="DB292" t="n">
        <v>0</v>
      </c>
      <c r="DF292" t="n">
        <v>0</v>
      </c>
      <c r="DG292" t="n">
        <v>0</v>
      </c>
      <c r="DH292" t="n">
        <v>20</v>
      </c>
      <c r="DI292" t="n">
        <v>7</v>
      </c>
      <c r="DL292" t="n">
        <v>3</v>
      </c>
      <c r="DM292" t="n">
        <v>15</v>
      </c>
      <c r="DN292" t="n">
        <v>2</v>
      </c>
      <c r="DO292" t="n">
        <v>0.1</v>
      </c>
      <c r="DP292" t="n">
        <v>32.7</v>
      </c>
      <c r="DQ292" t="n">
        <v>16.82</v>
      </c>
      <c r="DR292" t="n">
        <v>33.64</v>
      </c>
      <c r="DS292" t="n">
        <v>-0.9399999999999999</v>
      </c>
      <c r="DT292" t="n">
        <v>727</v>
      </c>
      <c r="DU292" t="n">
        <v>19.14</v>
      </c>
      <c r="DV292" t="inlineStr">
        <is>
          <t>fade (losing his place)</t>
        </is>
      </c>
      <c r="DW292" t="n">
        <v>94.90000000000001</v>
      </c>
      <c r="DY292" t="n">
        <v>13.6</v>
      </c>
      <c r="DZ292" t="n">
        <v>79.2</v>
      </c>
      <c r="EA292" t="n">
        <v>103</v>
      </c>
      <c r="EB292" t="n">
        <v>3</v>
      </c>
      <c r="EC292" t="n">
        <v>1.4</v>
      </c>
      <c r="ED292" t="n">
        <v>0</v>
      </c>
      <c r="EE292" t="n">
        <v>296</v>
      </c>
      <c r="EF292" t="n">
        <v>61.4</v>
      </c>
      <c r="EG292" t="n">
        <v>33.8</v>
      </c>
      <c r="EH292" t="n">
        <v>112.5</v>
      </c>
      <c r="EI292" t="n">
        <v>1098.7</v>
      </c>
      <c r="EJ292" t="n">
        <v>1898.8</v>
      </c>
      <c r="EK292" t="n">
        <v>696</v>
      </c>
      <c r="EL292" t="n">
        <v>18.8</v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n">
        <v>5.5</v>
      </c>
      <c r="F293" t="b">
        <v>1</v>
      </c>
      <c r="G293" t="b">
        <v>1</v>
      </c>
      <c r="H293" t="n">
        <v>19.2</v>
      </c>
      <c r="I293" t="inlineStr">
        <is>
          <t>a</t>
        </is>
      </c>
      <c r="L293" t="inlineStr">
        <is>
          <t>p647850</t>
        </is>
      </c>
      <c r="M293" t="n">
        <v>138</v>
      </c>
      <c r="Q293" t="n">
        <v>351</v>
      </c>
      <c r="R293" t="n">
        <v>21</v>
      </c>
      <c r="S293" t="n">
        <v>2</v>
      </c>
      <c r="T293" t="n">
        <v>3.9</v>
      </c>
      <c r="U293" t="n">
        <v>16.7</v>
      </c>
      <c r="V293" t="n">
        <v>35</v>
      </c>
      <c r="W293" t="n">
        <v>8.974</v>
      </c>
      <c r="X293" t="n">
        <v>2</v>
      </c>
      <c r="Y293" t="n">
        <v>1</v>
      </c>
      <c r="Z293" t="n">
        <v>1</v>
      </c>
      <c r="AA293" t="n">
        <v>1</v>
      </c>
      <c r="AB293" t="n">
        <v>9</v>
      </c>
      <c r="AC293" t="n">
        <v>3</v>
      </c>
      <c r="AD293" t="n">
        <v>3</v>
      </c>
      <c r="AE293" t="n">
        <v>0</v>
      </c>
      <c r="AF293" t="n">
        <v>140</v>
      </c>
      <c r="AG293" t="n">
        <v>140</v>
      </c>
      <c r="AH293" t="n">
        <v>0</v>
      </c>
      <c r="AI293" t="n">
        <v>35</v>
      </c>
      <c r="AJ293" t="n">
        <v>0.08599999999999999</v>
      </c>
      <c r="AK293" t="n">
        <v>0.094</v>
      </c>
      <c r="AL293" t="n">
        <v>41</v>
      </c>
      <c r="AM293" t="n">
        <v>10.513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0.053</v>
      </c>
      <c r="AT293" t="n">
        <v>0.095</v>
      </c>
      <c r="AU293" t="n">
        <v>18</v>
      </c>
      <c r="AV293" t="n">
        <v>0</v>
      </c>
      <c r="AW293" t="n">
        <v>1.65</v>
      </c>
      <c r="AX293" t="n">
        <v>8</v>
      </c>
      <c r="AY293" t="n">
        <v>2.12</v>
      </c>
      <c r="AZ293" t="n">
        <v>2.257</v>
      </c>
      <c r="BA293" t="n">
        <v>2.188</v>
      </c>
      <c r="BB293" t="n">
        <v>2.257</v>
      </c>
      <c r="BC293" t="n">
        <v>0.544</v>
      </c>
      <c r="BD293" t="n">
        <v>0.579</v>
      </c>
      <c r="BE293" t="n">
        <v>0.5610000000000001</v>
      </c>
      <c r="BF293" t="n">
        <v>2.2</v>
      </c>
      <c r="BG293" t="n">
        <v>0.5639999999999999</v>
      </c>
      <c r="BH293" t="n">
        <v>1.008</v>
      </c>
      <c r="BI293" t="n">
        <v>2.12</v>
      </c>
      <c r="BJ293" t="n">
        <v>2.137</v>
      </c>
      <c r="BK293" t="n">
        <v>0.548</v>
      </c>
      <c r="BL293" t="n">
        <v>-0.188</v>
      </c>
      <c r="BM293" t="n">
        <v>0.08</v>
      </c>
      <c r="BN293" t="n">
        <v>-0.2</v>
      </c>
      <c r="BO293" t="n">
        <v>-0.137</v>
      </c>
      <c r="BP293" t="n">
        <v>21</v>
      </c>
      <c r="BQ293" t="n">
        <v>8</v>
      </c>
      <c r="BR293" t="n">
        <v>2</v>
      </c>
      <c r="BS293" t="n">
        <v>42</v>
      </c>
      <c r="BT293" t="n">
        <v>10.769</v>
      </c>
      <c r="BV293" t="n">
        <v>1</v>
      </c>
      <c r="BW293" t="n">
        <v>0.54</v>
      </c>
      <c r="BX293" t="n">
        <v>1.28</v>
      </c>
      <c r="BY293" t="n">
        <v>0.91</v>
      </c>
      <c r="BZ293" t="n">
        <v>0.233</v>
      </c>
      <c r="CA293" t="n">
        <v>3.099</v>
      </c>
      <c r="CB293" t="n">
        <v>0.794</v>
      </c>
      <c r="CC293" t="n">
        <v>10</v>
      </c>
      <c r="CD293" t="n">
        <v>3</v>
      </c>
      <c r="CE293" t="n">
        <v>10</v>
      </c>
      <c r="CH293" t="n">
        <v>1</v>
      </c>
      <c r="CI293" t="n">
        <v>3.496</v>
      </c>
      <c r="CJ293" t="n">
        <v>0.506</v>
      </c>
      <c r="CK293" t="n">
        <v>5</v>
      </c>
      <c r="CL293" t="n">
        <v>25</v>
      </c>
      <c r="CM293" t="n">
        <v>11</v>
      </c>
      <c r="CN293" t="n">
        <v>7</v>
      </c>
      <c r="CO293" t="n">
        <v>1</v>
      </c>
      <c r="CP293" t="n">
        <v>4</v>
      </c>
      <c r="CR293" t="n">
        <v>51</v>
      </c>
      <c r="CS293" t="n">
        <v>22</v>
      </c>
      <c r="CT293" t="n">
        <v>1.8</v>
      </c>
      <c r="CW293" t="n">
        <v>6.04</v>
      </c>
      <c r="CX293" t="n">
        <v>1.549</v>
      </c>
      <c r="CY293" t="n">
        <v>0</v>
      </c>
      <c r="DB293" t="n">
        <v>0</v>
      </c>
      <c r="DF293" t="n">
        <v>2</v>
      </c>
      <c r="DG293" t="n">
        <v>0</v>
      </c>
      <c r="DH293" t="n">
        <v>7</v>
      </c>
      <c r="DI293" t="n">
        <v>7</v>
      </c>
      <c r="DL293" t="n">
        <v>11</v>
      </c>
      <c r="DM293" t="n">
        <v>10</v>
      </c>
      <c r="DN293" t="n">
        <v>4</v>
      </c>
      <c r="DO293" t="n">
        <v>0.3</v>
      </c>
      <c r="DP293" t="n">
        <v>46.92</v>
      </c>
      <c r="DQ293" t="n">
        <v>24.85</v>
      </c>
      <c r="DR293" t="n">
        <v>49.7</v>
      </c>
      <c r="DS293" t="n">
        <v>-2.78</v>
      </c>
      <c r="DT293" t="n">
        <v>821</v>
      </c>
      <c r="DU293" t="n">
        <v>21.6</v>
      </c>
      <c r="DV293" t="inlineStr">
        <is>
          <t>fade (losing his place)</t>
        </is>
      </c>
      <c r="DW293" t="n">
        <v>93.77</v>
      </c>
      <c r="DX293" t="n">
        <v>99.29000000000001</v>
      </c>
      <c r="DY293" t="n">
        <v>21.21</v>
      </c>
      <c r="DZ293" t="n">
        <v>40</v>
      </c>
      <c r="EA293" t="n">
        <v>119.27</v>
      </c>
      <c r="EB293" t="n">
        <v>40</v>
      </c>
      <c r="EC293" t="n">
        <v>19.2</v>
      </c>
      <c r="ED293" t="n">
        <v>11.1</v>
      </c>
      <c r="EE293" t="n">
        <v>181</v>
      </c>
      <c r="EF293" t="n">
        <v>16.7</v>
      </c>
      <c r="EG293" t="n">
        <v>8.4</v>
      </c>
      <c r="EH293" t="n">
        <v>35.1</v>
      </c>
      <c r="EI293" t="n">
        <v>160.4</v>
      </c>
      <c r="EJ293" t="n">
        <v>385.7</v>
      </c>
      <c r="EK293" t="n">
        <v>113.3</v>
      </c>
      <c r="EL293" t="n">
        <v>10</v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n">
        <v>4.5</v>
      </c>
      <c r="F294" t="b">
        <v>1</v>
      </c>
      <c r="G294" t="b">
        <v>1</v>
      </c>
      <c r="H294" t="n">
        <v>28.9</v>
      </c>
      <c r="I294" t="inlineStr">
        <is>
          <t>a</t>
        </is>
      </c>
      <c r="L294" t="inlineStr">
        <is>
          <t>p109646</t>
        </is>
      </c>
      <c r="M294" t="n">
        <v>147</v>
      </c>
      <c r="Q294" t="n">
        <v>788</v>
      </c>
      <c r="R294" t="n">
        <v>16</v>
      </c>
      <c r="S294" t="n">
        <v>8</v>
      </c>
      <c r="T294" t="n">
        <v>8.756</v>
      </c>
      <c r="U294" t="n">
        <v>49.2</v>
      </c>
      <c r="V294" t="n">
        <v>34</v>
      </c>
      <c r="W294" t="n">
        <v>3.883</v>
      </c>
      <c r="X294" t="n">
        <v>0</v>
      </c>
      <c r="Y294" t="n">
        <v>0</v>
      </c>
      <c r="AA294" t="n">
        <v>2</v>
      </c>
      <c r="AB294" t="n">
        <v>14</v>
      </c>
      <c r="AC294" t="n">
        <v>2</v>
      </c>
      <c r="AD294" t="n">
        <v>2</v>
      </c>
      <c r="AE294" t="n">
        <v>0</v>
      </c>
      <c r="AF294" t="n">
        <v>130</v>
      </c>
      <c r="AG294" t="n">
        <v>116</v>
      </c>
      <c r="AH294" t="n">
        <v>-14</v>
      </c>
      <c r="AI294" t="n">
        <v>34</v>
      </c>
      <c r="AJ294" t="n">
        <v>0.059</v>
      </c>
      <c r="AK294" t="n">
        <v>0.062</v>
      </c>
      <c r="AL294" t="n">
        <v>97</v>
      </c>
      <c r="AM294" t="n">
        <v>11.079</v>
      </c>
      <c r="AN294" t="n">
        <v>4</v>
      </c>
      <c r="AO294" t="n">
        <v>8</v>
      </c>
      <c r="AP294" t="n">
        <v>0.5</v>
      </c>
      <c r="AQ294" t="n">
        <v>0.5</v>
      </c>
      <c r="AR294" t="n">
        <v>0.25</v>
      </c>
      <c r="AS294" t="n">
        <v>0.211</v>
      </c>
      <c r="AT294" t="n">
        <v>0.438</v>
      </c>
      <c r="AU294" t="n">
        <v>12</v>
      </c>
      <c r="AV294" t="n">
        <v>1</v>
      </c>
      <c r="AW294" t="n">
        <v>2.1</v>
      </c>
      <c r="AX294" t="n">
        <v>10</v>
      </c>
      <c r="AY294" t="n">
        <v>0.11</v>
      </c>
      <c r="AZ294" t="n">
        <v>0.07199999999999999</v>
      </c>
      <c r="BA294" t="n">
        <v>0.091</v>
      </c>
      <c r="BB294" t="n">
        <v>0.07199999999999999</v>
      </c>
      <c r="BC294" t="n">
        <v>0.013</v>
      </c>
      <c r="BD294" t="n">
        <v>0.008</v>
      </c>
      <c r="BE294" t="n">
        <v>0.01</v>
      </c>
      <c r="BH294" t="n">
        <v>0.997</v>
      </c>
      <c r="BI294" t="n">
        <v>2.53</v>
      </c>
      <c r="BJ294" t="n">
        <v>0.11</v>
      </c>
      <c r="BK294" t="n">
        <v>0.013</v>
      </c>
      <c r="BL294" t="n">
        <v>-0.091</v>
      </c>
      <c r="BO294" t="n">
        <v>0.038</v>
      </c>
      <c r="BP294" t="n">
        <v>2</v>
      </c>
      <c r="BS294" t="n">
        <v>4</v>
      </c>
      <c r="BT294" t="n">
        <v>0.457</v>
      </c>
      <c r="BW294" t="n">
        <v>0.4</v>
      </c>
      <c r="BX294" t="n">
        <v>0.416</v>
      </c>
      <c r="BY294" t="n">
        <v>0.408</v>
      </c>
      <c r="BZ294" t="n">
        <v>0.047</v>
      </c>
      <c r="CA294" t="n">
        <v>0.499</v>
      </c>
      <c r="CB294" t="n">
        <v>0.057</v>
      </c>
      <c r="CC294" t="n">
        <v>1</v>
      </c>
      <c r="CD294" t="n">
        <v>1</v>
      </c>
      <c r="CE294" t="n">
        <v>1</v>
      </c>
      <c r="CG294" t="n">
        <v>2</v>
      </c>
      <c r="CI294" t="n">
        <v>3.179</v>
      </c>
      <c r="CJ294" t="n">
        <v>3.179</v>
      </c>
      <c r="CK294" t="n">
        <v>80</v>
      </c>
      <c r="CL294" t="n">
        <v>22</v>
      </c>
      <c r="CM294" t="n">
        <v>17</v>
      </c>
      <c r="CN294" t="n">
        <v>8</v>
      </c>
      <c r="CO294" t="n">
        <v>9</v>
      </c>
      <c r="CP294" t="n">
        <v>66</v>
      </c>
      <c r="CQ294" t="n">
        <v>5</v>
      </c>
      <c r="CR294" t="n">
        <v>58</v>
      </c>
      <c r="CS294" t="n">
        <v>41</v>
      </c>
      <c r="CU294" t="n">
        <v>1</v>
      </c>
      <c r="CW294" t="n">
        <v>13.25</v>
      </c>
      <c r="CX294" t="n">
        <v>1.513</v>
      </c>
      <c r="CY294" t="n">
        <v>0</v>
      </c>
      <c r="DB294" t="n">
        <v>0</v>
      </c>
      <c r="DF294" t="n">
        <v>2</v>
      </c>
      <c r="DG294" t="n">
        <v>0</v>
      </c>
      <c r="DH294" t="n">
        <v>6</v>
      </c>
      <c r="DM294" t="n">
        <v>1</v>
      </c>
      <c r="DN294" t="n">
        <v>1</v>
      </c>
      <c r="DO294" t="n">
        <v>0.2</v>
      </c>
      <c r="DP294" t="n">
        <v>13.14</v>
      </c>
      <c r="DQ294" t="n">
        <v>7.11</v>
      </c>
      <c r="DR294" t="n">
        <v>14.22</v>
      </c>
      <c r="DS294" t="n">
        <v>-1.08</v>
      </c>
      <c r="DT294" t="n">
        <v>261</v>
      </c>
      <c r="DU294" t="n">
        <v>6.87</v>
      </c>
      <c r="DV294" t="inlineStr">
        <is>
          <t>flat</t>
        </is>
      </c>
      <c r="DW294" t="n">
        <v>70.5</v>
      </c>
      <c r="DZ294" t="n">
        <v>70.5</v>
      </c>
      <c r="EA294" t="n">
        <v>70.5</v>
      </c>
      <c r="EB294" t="n">
        <v>1</v>
      </c>
      <c r="EC294" t="n">
        <v>0.5</v>
      </c>
      <c r="ED294" t="n">
        <v>0</v>
      </c>
      <c r="EE294" t="n">
        <v>434</v>
      </c>
      <c r="EF294" t="n">
        <v>394</v>
      </c>
      <c r="EG294" t="n">
        <v>197</v>
      </c>
      <c r="EH294" t="n">
        <v>788</v>
      </c>
      <c r="EI294" t="n">
        <v>8639.5</v>
      </c>
      <c r="EJ294" t="n">
        <v>1931.4</v>
      </c>
      <c r="EK294" t="n">
        <v>1578.5</v>
      </c>
      <c r="EL294" t="n">
        <v>23.2</v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n">
        <v>5</v>
      </c>
      <c r="F295" t="b">
        <v>1</v>
      </c>
      <c r="G295" t="b">
        <v>1</v>
      </c>
      <c r="H295" t="n">
        <v>25.9</v>
      </c>
      <c r="I295" t="inlineStr">
        <is>
          <t>a</t>
        </is>
      </c>
      <c r="L295" t="inlineStr">
        <is>
          <t>p449027</t>
        </is>
      </c>
      <c r="M295" t="n">
        <v>351</v>
      </c>
      <c r="Q295" t="n">
        <v>867</v>
      </c>
      <c r="R295" t="n">
        <v>10</v>
      </c>
      <c r="S295" t="n">
        <v>10</v>
      </c>
      <c r="T295" t="n">
        <v>9.632999999999999</v>
      </c>
      <c r="U295" t="n">
        <v>86.7</v>
      </c>
      <c r="V295" t="n">
        <v>34</v>
      </c>
      <c r="W295" t="n">
        <v>3.529</v>
      </c>
      <c r="X295" t="n">
        <v>0</v>
      </c>
      <c r="Y295" t="n">
        <v>0</v>
      </c>
      <c r="AA295" t="n">
        <v>2</v>
      </c>
      <c r="AB295" t="n">
        <v>18</v>
      </c>
      <c r="AC295" t="n">
        <v>2</v>
      </c>
      <c r="AD295" t="n">
        <v>2</v>
      </c>
      <c r="AE295" t="n">
        <v>0</v>
      </c>
      <c r="AF295" t="n">
        <v>139</v>
      </c>
      <c r="AG295" t="n">
        <v>139</v>
      </c>
      <c r="AH295" t="n">
        <v>0</v>
      </c>
      <c r="AI295" t="n">
        <v>34</v>
      </c>
      <c r="AJ295" t="n">
        <v>0.059</v>
      </c>
      <c r="AK295" t="n">
        <v>0.062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0.263</v>
      </c>
      <c r="AT295" t="n">
        <v>0.9</v>
      </c>
      <c r="AU295" t="n">
        <v>7</v>
      </c>
      <c r="AV295" t="n">
        <v>0</v>
      </c>
      <c r="AW295" t="n">
        <v>2.13</v>
      </c>
      <c r="AX295" t="n">
        <v>9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H295" t="n">
        <v>1</v>
      </c>
      <c r="BI295" t="n">
        <v>0</v>
      </c>
      <c r="BJ295" t="n">
        <v>0</v>
      </c>
      <c r="BK295" t="n">
        <v>0</v>
      </c>
      <c r="BL295" t="n">
        <v>0</v>
      </c>
      <c r="BO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I295" t="n">
        <v>2.286</v>
      </c>
      <c r="CJ295" t="n">
        <v>2.286</v>
      </c>
      <c r="CK295" t="n">
        <v>10</v>
      </c>
      <c r="CL295" t="n">
        <v>76</v>
      </c>
      <c r="CM295" t="n">
        <v>1</v>
      </c>
      <c r="CN295" t="n">
        <v>1</v>
      </c>
      <c r="CO295" t="n">
        <v>1</v>
      </c>
      <c r="CP295" t="n">
        <v>9</v>
      </c>
      <c r="CR295" t="n">
        <v>5</v>
      </c>
      <c r="CS295" t="n">
        <v>2</v>
      </c>
      <c r="CV295" t="n">
        <v>1</v>
      </c>
      <c r="CW295" t="n">
        <v>13.29</v>
      </c>
      <c r="CX295" t="n">
        <v>1.38</v>
      </c>
      <c r="CY295" t="n">
        <v>34</v>
      </c>
      <c r="DB295" t="n">
        <v>1</v>
      </c>
      <c r="DC295" t="n">
        <v>3</v>
      </c>
      <c r="DD295" t="n">
        <v>3</v>
      </c>
      <c r="DF295" t="n">
        <v>0</v>
      </c>
      <c r="DG295" t="n">
        <v>0</v>
      </c>
      <c r="DH295" t="n">
        <v>1</v>
      </c>
      <c r="DI295" t="n">
        <v>2</v>
      </c>
      <c r="DK295" t="n">
        <v>1</v>
      </c>
      <c r="DO295" t="n">
        <v>0.2</v>
      </c>
      <c r="DP295" t="n">
        <v>1.58</v>
      </c>
      <c r="DQ295" t="n">
        <v>0.79</v>
      </c>
      <c r="DR295" t="n">
        <v>1.58</v>
      </c>
      <c r="DS295" t="n">
        <v>0</v>
      </c>
      <c r="DT295" t="n">
        <v>35</v>
      </c>
      <c r="DU295" t="n">
        <v>0.91</v>
      </c>
      <c r="DV295" t="inlineStr">
        <is>
          <t>flat</t>
        </is>
      </c>
      <c r="DW295" t="n">
        <v>110.54</v>
      </c>
      <c r="DX295" t="n">
        <v>116.71</v>
      </c>
      <c r="DY295" t="n">
        <v>16.58</v>
      </c>
      <c r="DZ295" t="n">
        <v>25</v>
      </c>
      <c r="EA295" t="n">
        <v>120</v>
      </c>
      <c r="EB295" t="n">
        <v>60</v>
      </c>
      <c r="EC295" t="n">
        <v>28.8</v>
      </c>
      <c r="ED295" t="n">
        <v>47.4</v>
      </c>
      <c r="EE295" t="n">
        <v>298</v>
      </c>
      <c r="EL295" t="n">
        <v>25.5</v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n">
        <v>5</v>
      </c>
      <c r="F296" t="b">
        <v>1</v>
      </c>
      <c r="G296" t="b">
        <v>1</v>
      </c>
      <c r="H296" t="n">
        <v>24.6</v>
      </c>
      <c r="I296" t="inlineStr">
        <is>
          <t>a</t>
        </is>
      </c>
      <c r="L296" t="inlineStr">
        <is>
          <t>p535818</t>
        </is>
      </c>
      <c r="M296" t="n">
        <v>546</v>
      </c>
      <c r="Q296" t="n">
        <v>649</v>
      </c>
      <c r="R296" t="n">
        <v>14</v>
      </c>
      <c r="S296" t="n">
        <v>9</v>
      </c>
      <c r="T296" t="n">
        <v>7.211</v>
      </c>
      <c r="U296" t="n">
        <v>46.4</v>
      </c>
      <c r="V296" t="n">
        <v>34</v>
      </c>
      <c r="W296" t="n">
        <v>4.715</v>
      </c>
      <c r="X296" t="n">
        <v>1</v>
      </c>
      <c r="Y296" t="n">
        <v>1</v>
      </c>
      <c r="Z296" t="n">
        <v>0</v>
      </c>
      <c r="AA296" t="n">
        <v>4</v>
      </c>
      <c r="AB296" t="n">
        <v>8</v>
      </c>
      <c r="AC296" t="n">
        <v>3</v>
      </c>
      <c r="AD296" t="n">
        <v>3</v>
      </c>
      <c r="AE296" t="n">
        <v>0</v>
      </c>
      <c r="AF296" t="n">
        <v>81</v>
      </c>
      <c r="AG296" t="n">
        <v>80</v>
      </c>
      <c r="AH296" t="n">
        <v>-1</v>
      </c>
      <c r="AI296" t="n">
        <v>34</v>
      </c>
      <c r="AJ296" t="n">
        <v>0.08799999999999999</v>
      </c>
      <c r="AK296" t="n">
        <v>0.097</v>
      </c>
      <c r="AL296" t="n">
        <v>45</v>
      </c>
      <c r="AM296" t="n">
        <v>6.24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0.237</v>
      </c>
      <c r="AT296" t="n">
        <v>0.5</v>
      </c>
      <c r="AU296" t="n">
        <v>10</v>
      </c>
      <c r="AV296" t="n">
        <v>1</v>
      </c>
      <c r="AW296" t="n">
        <v>1.94</v>
      </c>
      <c r="AX296" t="n">
        <v>10</v>
      </c>
      <c r="AY296" t="n">
        <v>0.35</v>
      </c>
      <c r="AZ296" t="n">
        <v>0.336</v>
      </c>
      <c r="BA296" t="n">
        <v>0.343</v>
      </c>
      <c r="BB296" t="n">
        <v>0.336</v>
      </c>
      <c r="BC296" t="n">
        <v>0.049</v>
      </c>
      <c r="BD296" t="n">
        <v>0.047</v>
      </c>
      <c r="BE296" t="n">
        <v>0.048</v>
      </c>
      <c r="BF296" t="n">
        <v>0.3</v>
      </c>
      <c r="BG296" t="n">
        <v>0.042</v>
      </c>
      <c r="BH296" t="n">
        <v>1.139</v>
      </c>
      <c r="BI296" t="n">
        <v>7.01</v>
      </c>
      <c r="BJ296" t="n">
        <v>0.399</v>
      </c>
      <c r="BK296" t="n">
        <v>0.055</v>
      </c>
      <c r="BL296" t="n">
        <v>0.657</v>
      </c>
      <c r="BM296" t="n">
        <v>-0.05</v>
      </c>
      <c r="BN296" t="n">
        <v>0.7</v>
      </c>
      <c r="BO296" t="n">
        <v>0.014</v>
      </c>
      <c r="BP296" t="n">
        <v>6</v>
      </c>
      <c r="BQ296" t="n">
        <v>2</v>
      </c>
      <c r="BR296" t="n">
        <v>1</v>
      </c>
      <c r="BS296" t="n">
        <v>16</v>
      </c>
      <c r="BT296" t="n">
        <v>2.219</v>
      </c>
      <c r="BW296" t="n">
        <v>0.62</v>
      </c>
      <c r="BX296" t="n">
        <v>0.732</v>
      </c>
      <c r="BY296" t="n">
        <v>0.676</v>
      </c>
      <c r="BZ296" t="n">
        <v>0.094</v>
      </c>
      <c r="CA296" t="n">
        <v>1.019</v>
      </c>
      <c r="CB296" t="n">
        <v>0.141</v>
      </c>
      <c r="CC296" t="n">
        <v>7</v>
      </c>
      <c r="CD296" t="n">
        <v>2</v>
      </c>
      <c r="CE296" t="n">
        <v>7</v>
      </c>
      <c r="CF296" t="n">
        <v>5</v>
      </c>
      <c r="CG296" t="n">
        <v>1</v>
      </c>
      <c r="CI296" t="n">
        <v>1.975</v>
      </c>
      <c r="CJ296" t="n">
        <v>1.053</v>
      </c>
      <c r="CK296" t="n">
        <v>13</v>
      </c>
      <c r="CL296" t="n">
        <v>21</v>
      </c>
      <c r="CM296" t="n">
        <v>11</v>
      </c>
      <c r="CN296" t="n">
        <v>8</v>
      </c>
      <c r="CO296" t="n">
        <v>2</v>
      </c>
      <c r="CP296" t="n">
        <v>11</v>
      </c>
      <c r="CR296" t="n">
        <v>30</v>
      </c>
      <c r="CS296" t="n">
        <v>9</v>
      </c>
      <c r="CW296" t="n">
        <v>11.3</v>
      </c>
      <c r="CX296" t="n">
        <v>1.567</v>
      </c>
      <c r="CY296" t="n">
        <v>0</v>
      </c>
      <c r="DB296" t="n">
        <v>0</v>
      </c>
      <c r="DF296" t="n">
        <v>2</v>
      </c>
      <c r="DG296" t="n">
        <v>0</v>
      </c>
      <c r="DH296" t="n">
        <v>17</v>
      </c>
      <c r="DI296" t="n">
        <v>3</v>
      </c>
      <c r="DL296" t="n">
        <v>7</v>
      </c>
      <c r="DM296" t="n">
        <v>12</v>
      </c>
      <c r="DN296" t="n">
        <v>4</v>
      </c>
      <c r="DO296" t="n">
        <v>0.3</v>
      </c>
      <c r="DP296" t="n">
        <v>17.08</v>
      </c>
      <c r="DQ296" t="n">
        <v>8.539999999999999</v>
      </c>
      <c r="DR296" t="n">
        <v>17.08</v>
      </c>
      <c r="DS296" t="n">
        <v>0</v>
      </c>
      <c r="DT296" t="n">
        <v>178</v>
      </c>
      <c r="DU296" t="n">
        <v>4.68</v>
      </c>
      <c r="DV296" t="inlineStr">
        <is>
          <t>flat</t>
        </is>
      </c>
      <c r="DW296" t="n">
        <v>54.67</v>
      </c>
      <c r="DZ296" t="n">
        <v>54.67</v>
      </c>
      <c r="EA296" t="n">
        <v>54.67</v>
      </c>
      <c r="EB296" t="n">
        <v>1</v>
      </c>
      <c r="EC296" t="n">
        <v>0.5</v>
      </c>
      <c r="ED296" t="n">
        <v>0</v>
      </c>
      <c r="EE296" t="n">
        <v>299</v>
      </c>
      <c r="EF296" t="n">
        <v>108.2</v>
      </c>
      <c r="EG296" t="n">
        <v>40.6</v>
      </c>
      <c r="EH296" t="n">
        <v>92.7</v>
      </c>
      <c r="EI296" t="n">
        <v>1893.2</v>
      </c>
      <c r="EJ296" t="n">
        <v>959.8</v>
      </c>
      <c r="EK296" t="n">
        <v>636.9</v>
      </c>
      <c r="EL296" t="n">
        <v>19.1</v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n">
        <v>5</v>
      </c>
      <c r="F297" t="b">
        <v>1</v>
      </c>
      <c r="G297" t="b">
        <v>1</v>
      </c>
      <c r="H297" t="n">
        <v>29.2</v>
      </c>
      <c r="I297" t="inlineStr">
        <is>
          <t>i</t>
        </is>
      </c>
      <c r="J297" t="inlineStr">
        <is>
          <t>Muscular injury - Unknown return date</t>
        </is>
      </c>
      <c r="K297" t="n">
        <v>0</v>
      </c>
      <c r="L297" t="inlineStr">
        <is>
          <t>p171287</t>
        </is>
      </c>
      <c r="M297" t="n">
        <v>359</v>
      </c>
      <c r="Q297" t="n">
        <v>594</v>
      </c>
      <c r="R297" t="n">
        <v>21</v>
      </c>
      <c r="S297" t="n">
        <v>7</v>
      </c>
      <c r="T297" t="n">
        <v>6.6</v>
      </c>
      <c r="U297" t="n">
        <v>28.3</v>
      </c>
      <c r="V297" t="n">
        <v>33</v>
      </c>
      <c r="W297" t="n">
        <v>5</v>
      </c>
      <c r="X297" t="n">
        <v>0</v>
      </c>
      <c r="Y297" t="n">
        <v>2</v>
      </c>
      <c r="Z297" t="n">
        <v>2</v>
      </c>
      <c r="AA297" t="n">
        <v>2</v>
      </c>
      <c r="AB297" t="n">
        <v>14</v>
      </c>
      <c r="AC297" t="n">
        <v>2</v>
      </c>
      <c r="AD297" t="n">
        <v>2</v>
      </c>
      <c r="AE297" t="n">
        <v>0</v>
      </c>
      <c r="AF297" t="n">
        <v>94</v>
      </c>
      <c r="AG297" t="n">
        <v>88</v>
      </c>
      <c r="AH297" t="n">
        <v>-6</v>
      </c>
      <c r="AI297" t="n">
        <v>33</v>
      </c>
      <c r="AJ297" t="n">
        <v>0.061</v>
      </c>
      <c r="AK297" t="n">
        <v>0.065</v>
      </c>
      <c r="AL297" t="n">
        <v>46</v>
      </c>
      <c r="AM297" t="n">
        <v>6.97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0.184</v>
      </c>
      <c r="AT297" t="n">
        <v>0.238</v>
      </c>
      <c r="AU297" t="n">
        <v>18</v>
      </c>
      <c r="AV297" t="n">
        <v>1</v>
      </c>
      <c r="AW297" t="n">
        <v>2.02</v>
      </c>
      <c r="AX297" t="n">
        <v>11</v>
      </c>
      <c r="AY297" t="n">
        <v>0.28</v>
      </c>
      <c r="AZ297" t="n">
        <v>0.2</v>
      </c>
      <c r="BA297" t="n">
        <v>0.24</v>
      </c>
      <c r="BB297" t="n">
        <v>0.2</v>
      </c>
      <c r="BC297" t="n">
        <v>0.042</v>
      </c>
      <c r="BD297" t="n">
        <v>0.03</v>
      </c>
      <c r="BE297" t="n">
        <v>0.036</v>
      </c>
      <c r="BH297" t="n">
        <v>0.9360000000000001</v>
      </c>
      <c r="BI297" t="n">
        <v>1.83</v>
      </c>
      <c r="BJ297" t="n">
        <v>0.262</v>
      </c>
      <c r="BK297" t="n">
        <v>0.04</v>
      </c>
      <c r="BL297" t="n">
        <v>-0.24</v>
      </c>
      <c r="BO297" t="n">
        <v>0.08</v>
      </c>
      <c r="BP297" t="n">
        <v>5</v>
      </c>
      <c r="BQ297" t="n">
        <v>1</v>
      </c>
      <c r="BS297" t="n">
        <v>11</v>
      </c>
      <c r="BT297" t="n">
        <v>1.667</v>
      </c>
      <c r="BW297" t="n">
        <v>0.64</v>
      </c>
      <c r="BX297" t="n">
        <v>1.249</v>
      </c>
      <c r="BY297" t="n">
        <v>0.945</v>
      </c>
      <c r="BZ297" t="n">
        <v>0.143</v>
      </c>
      <c r="CA297" t="n">
        <v>1.184</v>
      </c>
      <c r="CB297" t="n">
        <v>0.179</v>
      </c>
      <c r="CC297" t="n">
        <v>5</v>
      </c>
      <c r="CD297" t="n">
        <v>3</v>
      </c>
      <c r="CE297" t="n">
        <v>5</v>
      </c>
      <c r="CF297" t="n">
        <v>3</v>
      </c>
      <c r="CI297" t="n">
        <v>4.339</v>
      </c>
      <c r="CJ297" t="n">
        <v>3.097</v>
      </c>
      <c r="CK297" t="n">
        <v>36</v>
      </c>
      <c r="CL297" t="n">
        <v>20</v>
      </c>
      <c r="CM297" t="n">
        <v>10</v>
      </c>
      <c r="CN297" t="n">
        <v>7</v>
      </c>
      <c r="CO297" t="n">
        <v>9</v>
      </c>
      <c r="CP297" t="n">
        <v>25</v>
      </c>
      <c r="CQ297" t="n">
        <v>2</v>
      </c>
      <c r="CR297" t="n">
        <v>26</v>
      </c>
      <c r="CS297" t="n">
        <v>13</v>
      </c>
      <c r="CW297" t="n">
        <v>9.31</v>
      </c>
      <c r="CX297" t="n">
        <v>1.411</v>
      </c>
      <c r="CY297" t="n">
        <v>0</v>
      </c>
      <c r="DB297" t="n">
        <v>0</v>
      </c>
      <c r="DF297" t="n">
        <v>4</v>
      </c>
      <c r="DG297" t="n">
        <v>0</v>
      </c>
      <c r="DH297" t="n">
        <v>14</v>
      </c>
      <c r="DL297" t="n">
        <v>3</v>
      </c>
      <c r="DM297" t="n">
        <v>6</v>
      </c>
      <c r="DO297" t="n">
        <v>0.1</v>
      </c>
      <c r="DP297" t="n">
        <v>27.64</v>
      </c>
      <c r="DQ297" t="n">
        <v>13.64</v>
      </c>
      <c r="DR297" t="n">
        <v>27.28</v>
      </c>
      <c r="DS297" t="n">
        <v>0.36</v>
      </c>
      <c r="DT297" t="n">
        <v>442</v>
      </c>
      <c r="DU297" t="n">
        <v>11.64</v>
      </c>
      <c r="DV297" t="inlineStr">
        <is>
          <t>flat</t>
        </is>
      </c>
      <c r="DW297" t="n">
        <v>115.5</v>
      </c>
      <c r="DZ297" t="n">
        <v>115.5</v>
      </c>
      <c r="EA297" t="n">
        <v>115.5</v>
      </c>
      <c r="EB297" t="n">
        <v>1</v>
      </c>
      <c r="EC297" t="n">
        <v>0.5</v>
      </c>
      <c r="ED297" t="n">
        <v>66.7</v>
      </c>
      <c r="EE297" t="n">
        <v>300</v>
      </c>
      <c r="EF297" t="n">
        <v>118.8</v>
      </c>
      <c r="EG297" t="n">
        <v>54</v>
      </c>
      <c r="EH297" t="n">
        <v>118.8</v>
      </c>
      <c r="EI297" t="n">
        <v>2476.6</v>
      </c>
      <c r="EJ297" t="n">
        <v>628.8</v>
      </c>
      <c r="EK297" t="n">
        <v>501.5</v>
      </c>
      <c r="EL297" t="n">
        <v>18</v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n">
        <v>5.5</v>
      </c>
      <c r="F298" t="b">
        <v>1</v>
      </c>
      <c r="G298" t="b">
        <v>1</v>
      </c>
      <c r="H298" t="n">
        <v>24.2</v>
      </c>
      <c r="I298" t="inlineStr">
        <is>
          <t>a</t>
        </is>
      </c>
      <c r="L298" t="inlineStr">
        <is>
          <t>p480455</t>
        </is>
      </c>
      <c r="M298" t="n">
        <v>230</v>
      </c>
      <c r="Q298" t="n">
        <v>678</v>
      </c>
      <c r="R298" t="n">
        <v>10</v>
      </c>
      <c r="S298" t="n">
        <v>7</v>
      </c>
      <c r="T298" t="n">
        <v>7.533</v>
      </c>
      <c r="U298" t="n">
        <v>67.8</v>
      </c>
      <c r="V298" t="n">
        <v>32</v>
      </c>
      <c r="W298" t="n">
        <v>4.248</v>
      </c>
      <c r="X298" t="n">
        <v>1</v>
      </c>
      <c r="Y298" t="n">
        <v>1</v>
      </c>
      <c r="AA298" t="n">
        <v>1</v>
      </c>
      <c r="AB298" t="n">
        <v>9</v>
      </c>
      <c r="AC298" t="n">
        <v>0</v>
      </c>
      <c r="AD298" t="n">
        <v>0</v>
      </c>
      <c r="AE298" t="n">
        <v>0</v>
      </c>
      <c r="AF298" t="n">
        <v>108</v>
      </c>
      <c r="AG298" t="n">
        <v>99</v>
      </c>
      <c r="AH298" t="n">
        <v>-9</v>
      </c>
      <c r="AI298" t="n">
        <v>32</v>
      </c>
      <c r="AJ298" t="n">
        <v>0</v>
      </c>
      <c r="AK298" t="n">
        <v>0</v>
      </c>
      <c r="AL298" t="n">
        <v>67</v>
      </c>
      <c r="AM298" t="n">
        <v>8.894</v>
      </c>
      <c r="AN298" t="n">
        <v>3</v>
      </c>
      <c r="AO298" t="n">
        <v>6</v>
      </c>
      <c r="AP298" t="n">
        <v>0.429</v>
      </c>
      <c r="AQ298" t="n">
        <v>0.429</v>
      </c>
      <c r="AR298" t="n">
        <v>0.143</v>
      </c>
      <c r="AS298" t="n">
        <v>0.184</v>
      </c>
      <c r="AT298" t="n">
        <v>0.7</v>
      </c>
      <c r="AU298" t="n">
        <v>5</v>
      </c>
      <c r="AV298" t="n">
        <v>0</v>
      </c>
      <c r="AW298" t="n">
        <v>1.94</v>
      </c>
      <c r="AX298" t="n">
        <v>9</v>
      </c>
      <c r="AY298" t="n">
        <v>0.34</v>
      </c>
      <c r="AZ298" t="n">
        <v>0.31</v>
      </c>
      <c r="BA298" t="n">
        <v>0.325</v>
      </c>
      <c r="BB298" t="n">
        <v>0.31</v>
      </c>
      <c r="BC298" t="n">
        <v>0.045</v>
      </c>
      <c r="BD298" t="n">
        <v>0.041</v>
      </c>
      <c r="BE298" t="n">
        <v>0.043</v>
      </c>
      <c r="BF298" t="n">
        <v>0.6</v>
      </c>
      <c r="BG298" t="n">
        <v>0.08</v>
      </c>
      <c r="BH298" t="n">
        <v>0.986</v>
      </c>
      <c r="BI298" t="n">
        <v>3.16</v>
      </c>
      <c r="BJ298" t="n">
        <v>0.335</v>
      </c>
      <c r="BK298" t="n">
        <v>0.044</v>
      </c>
      <c r="BL298" t="n">
        <v>0.675</v>
      </c>
      <c r="BM298" t="n">
        <v>0.26</v>
      </c>
      <c r="BN298" t="n">
        <v>0.4</v>
      </c>
      <c r="BO298" t="n">
        <v>0.03</v>
      </c>
      <c r="BP298" t="n">
        <v>6</v>
      </c>
      <c r="BQ298" t="n">
        <v>2</v>
      </c>
      <c r="BS298" t="n">
        <v>9</v>
      </c>
      <c r="BT298" t="n">
        <v>1.195</v>
      </c>
      <c r="BV298" t="n">
        <v>1</v>
      </c>
      <c r="BW298" t="n">
        <v>0.11</v>
      </c>
      <c r="BX298" t="n">
        <v>0.373</v>
      </c>
      <c r="BY298" t="n">
        <v>0.242</v>
      </c>
      <c r="BZ298" t="n">
        <v>0.032</v>
      </c>
      <c r="CA298" t="n">
        <v>0.5669999999999999</v>
      </c>
      <c r="CB298" t="n">
        <v>0.075</v>
      </c>
      <c r="CC298" t="n">
        <v>3</v>
      </c>
      <c r="CD298" t="n">
        <v>1</v>
      </c>
      <c r="CE298" t="n">
        <v>3</v>
      </c>
      <c r="CI298" t="n">
        <v>1.288</v>
      </c>
      <c r="CJ298" t="n">
        <v>1.127</v>
      </c>
      <c r="CK298" t="n">
        <v>53</v>
      </c>
      <c r="CL298" t="n">
        <v>30</v>
      </c>
      <c r="CM298" t="n">
        <v>14</v>
      </c>
      <c r="CN298" t="n">
        <v>5</v>
      </c>
      <c r="CO298" t="n">
        <v>11</v>
      </c>
      <c r="CP298" t="n">
        <v>41</v>
      </c>
      <c r="CQ298" t="n">
        <v>2</v>
      </c>
      <c r="CR298" t="n">
        <v>44</v>
      </c>
      <c r="CS298" t="n">
        <v>30</v>
      </c>
      <c r="CV298" t="n">
        <v>2</v>
      </c>
      <c r="CW298" t="n">
        <v>9.43</v>
      </c>
      <c r="CX298" t="n">
        <v>1.252</v>
      </c>
      <c r="CY298" t="n">
        <v>0</v>
      </c>
      <c r="DB298" t="n">
        <v>0</v>
      </c>
      <c r="DF298" t="n">
        <v>1</v>
      </c>
      <c r="DG298" t="n">
        <v>0</v>
      </c>
      <c r="DH298" t="n">
        <v>3</v>
      </c>
      <c r="DI298" t="n">
        <v>1</v>
      </c>
      <c r="DJ298" t="n">
        <v>1</v>
      </c>
      <c r="DM298" t="n">
        <v>2</v>
      </c>
      <c r="DN298" t="n">
        <v>1</v>
      </c>
      <c r="DO298" t="n">
        <v>1.9</v>
      </c>
      <c r="DP298" t="n">
        <v>135.8</v>
      </c>
      <c r="DQ298" t="n">
        <v>67.90000000000001</v>
      </c>
      <c r="DR298" t="n">
        <v>135.8</v>
      </c>
      <c r="DS298" t="n">
        <v>0</v>
      </c>
      <c r="DT298" t="n">
        <v>3203</v>
      </c>
      <c r="DU298" t="n">
        <v>84.3</v>
      </c>
      <c r="DV298" t="inlineStr">
        <is>
          <t>flat</t>
        </is>
      </c>
      <c r="DW298" t="n">
        <v>85.97</v>
      </c>
      <c r="DX298" t="n">
        <v>90.77</v>
      </c>
      <c r="DY298" t="n">
        <v>17.39</v>
      </c>
      <c r="DZ298" t="n">
        <v>44.67</v>
      </c>
      <c r="EA298" t="n">
        <v>120</v>
      </c>
      <c r="EB298" t="n">
        <v>114</v>
      </c>
      <c r="EC298" t="n">
        <v>54.8</v>
      </c>
      <c r="ED298" t="n">
        <v>18.6</v>
      </c>
      <c r="EE298" t="n">
        <v>182</v>
      </c>
      <c r="EF298" t="n">
        <v>113</v>
      </c>
      <c r="EG298" t="n">
        <v>75.3</v>
      </c>
      <c r="EH298" t="n">
        <v>226</v>
      </c>
      <c r="EI298" t="n">
        <v>2086.3</v>
      </c>
      <c r="EJ298" t="n">
        <v>2806.1</v>
      </c>
      <c r="EK298" t="n">
        <v>1196.6</v>
      </c>
      <c r="EL298" t="n">
        <v>21.2</v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n">
        <v>5</v>
      </c>
      <c r="F299" t="b">
        <v>1</v>
      </c>
      <c r="G299" t="b">
        <v>1</v>
      </c>
      <c r="H299" t="n">
        <v>22.8</v>
      </c>
      <c r="I299" t="inlineStr">
        <is>
          <t>a</t>
        </is>
      </c>
      <c r="L299" t="inlineStr">
        <is>
          <t>p492859</t>
        </is>
      </c>
      <c r="M299" t="n">
        <v>341</v>
      </c>
      <c r="Q299" t="n">
        <v>521</v>
      </c>
      <c r="R299" t="n">
        <v>23</v>
      </c>
      <c r="S299" t="n">
        <v>4</v>
      </c>
      <c r="T299" t="n">
        <v>5.789</v>
      </c>
      <c r="U299" t="n">
        <v>22.7</v>
      </c>
      <c r="V299" t="n">
        <v>32</v>
      </c>
      <c r="W299" t="n">
        <v>5.528</v>
      </c>
      <c r="X299" t="n">
        <v>0</v>
      </c>
      <c r="Y299" t="n">
        <v>3</v>
      </c>
      <c r="Z299" t="n">
        <v>1</v>
      </c>
      <c r="AA299" t="n">
        <v>1</v>
      </c>
      <c r="AB299" t="n">
        <v>14</v>
      </c>
      <c r="AC299" t="n">
        <v>0</v>
      </c>
      <c r="AD299" t="n">
        <v>0</v>
      </c>
      <c r="AE299" t="n">
        <v>0</v>
      </c>
      <c r="AF299" t="n">
        <v>134</v>
      </c>
      <c r="AG299" t="n">
        <v>129</v>
      </c>
      <c r="AH299" t="n">
        <v>-5</v>
      </c>
      <c r="AI299" t="n">
        <v>32</v>
      </c>
      <c r="AJ299" t="n">
        <v>0</v>
      </c>
      <c r="AK299" t="n">
        <v>0</v>
      </c>
      <c r="AL299" t="n">
        <v>59</v>
      </c>
      <c r="AM299" t="n">
        <v>10.192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0.105</v>
      </c>
      <c r="AT299" t="n">
        <v>0.08699999999999999</v>
      </c>
      <c r="AU299" t="n">
        <v>19</v>
      </c>
      <c r="AV299" t="n">
        <v>0</v>
      </c>
      <c r="AW299" t="n">
        <v>1.15</v>
      </c>
      <c r="AX299" t="n">
        <v>4</v>
      </c>
      <c r="AY299" t="n">
        <v>0.4</v>
      </c>
      <c r="AZ299" t="n">
        <v>0.438</v>
      </c>
      <c r="BA299" t="n">
        <v>0.419</v>
      </c>
      <c r="BB299" t="n">
        <v>0.438</v>
      </c>
      <c r="BC299" t="n">
        <v>0.06900000000000001</v>
      </c>
      <c r="BD299" t="n">
        <v>0.076</v>
      </c>
      <c r="BE299" t="n">
        <v>0.07199999999999999</v>
      </c>
      <c r="BH299" t="n">
        <v>0.972</v>
      </c>
      <c r="BI299" t="n">
        <v>2.19</v>
      </c>
      <c r="BJ299" t="n">
        <v>0.389</v>
      </c>
      <c r="BK299" t="n">
        <v>0.067</v>
      </c>
      <c r="BL299" t="n">
        <v>-0.419</v>
      </c>
      <c r="BO299" t="n">
        <v>-0.038</v>
      </c>
      <c r="BP299" t="n">
        <v>10</v>
      </c>
      <c r="BS299" t="n">
        <v>21</v>
      </c>
      <c r="BT299" t="n">
        <v>3.628</v>
      </c>
      <c r="BW299" t="n">
        <v>0.77</v>
      </c>
      <c r="BX299" t="n">
        <v>1.247</v>
      </c>
      <c r="BY299" t="n">
        <v>1.009</v>
      </c>
      <c r="BZ299" t="n">
        <v>0.174</v>
      </c>
      <c r="CA299" t="n">
        <v>1.427</v>
      </c>
      <c r="CB299" t="n">
        <v>0.247</v>
      </c>
      <c r="CC299" t="n">
        <v>8</v>
      </c>
      <c r="CD299" t="n">
        <v>1</v>
      </c>
      <c r="CE299" t="n">
        <v>9</v>
      </c>
      <c r="CF299" t="n">
        <v>2</v>
      </c>
      <c r="CH299" t="n">
        <v>1</v>
      </c>
      <c r="CI299" t="n">
        <v>2.879</v>
      </c>
      <c r="CJ299" t="n">
        <v>1.237</v>
      </c>
      <c r="CK299" t="n">
        <v>15</v>
      </c>
      <c r="CL299" t="n">
        <v>26</v>
      </c>
      <c r="CM299" t="n">
        <v>18</v>
      </c>
      <c r="CN299" t="n">
        <v>14</v>
      </c>
      <c r="CO299" t="n">
        <v>3</v>
      </c>
      <c r="CP299" t="n">
        <v>12</v>
      </c>
      <c r="CR299" t="n">
        <v>35</v>
      </c>
      <c r="CS299" t="n">
        <v>1</v>
      </c>
      <c r="CT299" t="n">
        <v>0.9</v>
      </c>
      <c r="CW299" t="n">
        <v>11.99</v>
      </c>
      <c r="CX299" t="n">
        <v>2.071</v>
      </c>
      <c r="CY299" t="n">
        <v>0</v>
      </c>
      <c r="DB299" t="n">
        <v>0</v>
      </c>
      <c r="DF299" t="n">
        <v>3</v>
      </c>
      <c r="DG299" t="n">
        <v>0</v>
      </c>
      <c r="DH299" t="n">
        <v>7</v>
      </c>
      <c r="DI299" t="n">
        <v>11</v>
      </c>
      <c r="DJ299" t="n">
        <v>1</v>
      </c>
      <c r="DL299" t="n">
        <v>5</v>
      </c>
      <c r="DM299" t="n">
        <v>9</v>
      </c>
      <c r="DO299" t="n">
        <v>0.1</v>
      </c>
      <c r="DP299" t="n">
        <v>28.21</v>
      </c>
      <c r="DQ299" t="n">
        <v>14.23</v>
      </c>
      <c r="DR299" t="n">
        <v>28.46</v>
      </c>
      <c r="DS299" t="n">
        <v>-0.25</v>
      </c>
      <c r="DT299" t="n">
        <v>120</v>
      </c>
      <c r="DU299" t="n">
        <v>3.15</v>
      </c>
      <c r="DV299" t="inlineStr">
        <is>
          <t>flat</t>
        </is>
      </c>
      <c r="EF299" t="n">
        <v>52.1</v>
      </c>
      <c r="EG299" t="n">
        <v>24.8</v>
      </c>
      <c r="EH299" t="n">
        <v>57.9</v>
      </c>
      <c r="EI299" t="n">
        <v>1244</v>
      </c>
      <c r="EJ299" t="n">
        <v>516.6</v>
      </c>
      <c r="EK299" t="n">
        <v>365</v>
      </c>
      <c r="EL299" t="n">
        <v>16.3</v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n">
        <v>4</v>
      </c>
      <c r="F300" t="b">
        <v>1</v>
      </c>
      <c r="G300" t="b">
        <v>1</v>
      </c>
      <c r="H300" t="n">
        <v>29.6</v>
      </c>
      <c r="I300" t="inlineStr">
        <is>
          <t>a</t>
        </is>
      </c>
      <c r="L300" t="inlineStr">
        <is>
          <t>p219924</t>
        </is>
      </c>
      <c r="M300" t="n">
        <v>259</v>
      </c>
      <c r="Q300" t="n">
        <v>812</v>
      </c>
      <c r="R300" t="n">
        <v>13</v>
      </c>
      <c r="S300" t="n">
        <v>8</v>
      </c>
      <c r="T300" t="n">
        <v>9.022</v>
      </c>
      <c r="U300" t="n">
        <v>62.5</v>
      </c>
      <c r="V300" t="n">
        <v>31</v>
      </c>
      <c r="W300" t="n">
        <v>3.436</v>
      </c>
      <c r="X300" t="n">
        <v>1</v>
      </c>
      <c r="Y300" t="n">
        <v>0</v>
      </c>
      <c r="AA300" t="n">
        <v>1</v>
      </c>
      <c r="AB300" t="n">
        <v>13</v>
      </c>
      <c r="AC300" t="n">
        <v>3</v>
      </c>
      <c r="AD300" t="n">
        <v>3</v>
      </c>
      <c r="AE300" t="n">
        <v>0</v>
      </c>
      <c r="AF300" t="n">
        <v>103</v>
      </c>
      <c r="AG300" t="n">
        <v>92</v>
      </c>
      <c r="AH300" t="n">
        <v>-11</v>
      </c>
      <c r="AI300" t="n">
        <v>31</v>
      </c>
      <c r="AJ300" t="n">
        <v>0.097</v>
      </c>
      <c r="AK300" t="n">
        <v>0.107</v>
      </c>
      <c r="AL300" t="n">
        <v>61</v>
      </c>
      <c r="AM300" t="n">
        <v>6.761</v>
      </c>
      <c r="AN300" t="n">
        <v>1</v>
      </c>
      <c r="AO300" t="n">
        <v>2</v>
      </c>
      <c r="AP300" t="n">
        <v>0.125</v>
      </c>
      <c r="AQ300" t="n">
        <v>0.125</v>
      </c>
      <c r="AR300" t="n">
        <v>0.125</v>
      </c>
      <c r="AS300" t="n">
        <v>0.211</v>
      </c>
      <c r="AT300" t="n">
        <v>0.615</v>
      </c>
      <c r="AU300" t="n">
        <v>12</v>
      </c>
      <c r="AV300" t="n">
        <v>1</v>
      </c>
      <c r="AW300" t="n">
        <v>2.46</v>
      </c>
      <c r="AX300" t="n">
        <v>15</v>
      </c>
      <c r="AY300" t="n">
        <v>0.8</v>
      </c>
      <c r="AZ300" t="n">
        <v>0.442</v>
      </c>
      <c r="BA300" t="n">
        <v>0.621</v>
      </c>
      <c r="BB300" t="n">
        <v>0.442</v>
      </c>
      <c r="BC300" t="n">
        <v>0.089</v>
      </c>
      <c r="BD300" t="n">
        <v>0.049</v>
      </c>
      <c r="BE300" t="n">
        <v>0.06900000000000001</v>
      </c>
      <c r="BF300" t="n">
        <v>1</v>
      </c>
      <c r="BG300" t="n">
        <v>0.111</v>
      </c>
      <c r="BH300" t="n">
        <v>1.085</v>
      </c>
      <c r="BI300" t="n">
        <v>1.86</v>
      </c>
      <c r="BJ300" t="n">
        <v>0.868</v>
      </c>
      <c r="BK300" t="n">
        <v>0.096</v>
      </c>
      <c r="BL300" t="n">
        <v>0.379</v>
      </c>
      <c r="BM300" t="n">
        <v>0.2</v>
      </c>
      <c r="BN300" t="n">
        <v>0</v>
      </c>
      <c r="BO300" t="n">
        <v>0.358</v>
      </c>
      <c r="BP300" t="n">
        <v>2</v>
      </c>
      <c r="BQ300" t="n">
        <v>1</v>
      </c>
      <c r="BS300" t="n">
        <v>7</v>
      </c>
      <c r="BT300" t="n">
        <v>0.776</v>
      </c>
      <c r="BV300" t="n">
        <v>1</v>
      </c>
      <c r="BW300" t="n">
        <v>0.05</v>
      </c>
      <c r="BX300" t="n">
        <v>0</v>
      </c>
      <c r="BY300" t="n">
        <v>0.025</v>
      </c>
      <c r="BZ300" t="n">
        <v>0.003</v>
      </c>
      <c r="CA300" t="n">
        <v>0.646</v>
      </c>
      <c r="CB300" t="n">
        <v>0.07199999999999999</v>
      </c>
      <c r="CC300" t="n">
        <v>0</v>
      </c>
      <c r="CI300" t="n">
        <v>1.552</v>
      </c>
      <c r="CJ300" t="n">
        <v>1.552</v>
      </c>
      <c r="CK300" t="n">
        <v>55</v>
      </c>
      <c r="CL300" t="n">
        <v>19</v>
      </c>
      <c r="CM300" t="n">
        <v>6</v>
      </c>
      <c r="CN300" t="n">
        <v>4</v>
      </c>
      <c r="CO300" t="n">
        <v>6</v>
      </c>
      <c r="CP300" t="n">
        <v>42</v>
      </c>
      <c r="CQ300" t="n">
        <v>7</v>
      </c>
      <c r="CR300" t="n">
        <v>25</v>
      </c>
      <c r="CS300" t="n">
        <v>15</v>
      </c>
      <c r="CV300" t="n">
        <v>1</v>
      </c>
      <c r="CW300" t="n">
        <v>12.42</v>
      </c>
      <c r="CX300" t="n">
        <v>1.377</v>
      </c>
      <c r="CY300" t="n">
        <v>0</v>
      </c>
      <c r="DB300" t="n">
        <v>0</v>
      </c>
      <c r="DF300" t="n">
        <v>2</v>
      </c>
      <c r="DG300" t="n">
        <v>0</v>
      </c>
      <c r="DH300" t="n">
        <v>9</v>
      </c>
      <c r="DI300" t="n">
        <v>3</v>
      </c>
      <c r="DL300" t="n">
        <v>1</v>
      </c>
      <c r="DO300" t="n">
        <v>18.5</v>
      </c>
      <c r="DP300" t="n">
        <v>76.68000000000001</v>
      </c>
      <c r="DQ300" t="n">
        <v>38.34</v>
      </c>
      <c r="DR300" t="n">
        <v>76.68000000000001</v>
      </c>
      <c r="DS300" t="n">
        <v>0</v>
      </c>
      <c r="DT300" t="n">
        <v>2394</v>
      </c>
      <c r="DU300" t="n">
        <v>63</v>
      </c>
      <c r="DV300" t="inlineStr">
        <is>
          <t>flat</t>
        </is>
      </c>
      <c r="DW300" t="n">
        <v>96.06999999999999</v>
      </c>
      <c r="DY300" t="n">
        <v>29.15</v>
      </c>
      <c r="DZ300" t="n">
        <v>64</v>
      </c>
      <c r="EA300" t="n">
        <v>120</v>
      </c>
      <c r="EB300" t="n">
        <v>5</v>
      </c>
      <c r="EC300" t="n">
        <v>2.4</v>
      </c>
      <c r="ED300" t="n">
        <v>16.7</v>
      </c>
      <c r="EE300" t="n">
        <v>520</v>
      </c>
      <c r="EF300" t="n">
        <v>406</v>
      </c>
      <c r="EG300" t="n">
        <v>116</v>
      </c>
      <c r="EI300" t="n">
        <v>1307.9</v>
      </c>
      <c r="EJ300" t="n">
        <v>32480</v>
      </c>
      <c r="EK300" t="n">
        <v>1257.3</v>
      </c>
      <c r="EL300" t="n">
        <v>26.2</v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n">
        <v>4.5</v>
      </c>
      <c r="F301" t="b">
        <v>1</v>
      </c>
      <c r="G301" t="b">
        <v>1</v>
      </c>
      <c r="H301" t="n">
        <v>28.7</v>
      </c>
      <c r="I301" t="inlineStr">
        <is>
          <t>a</t>
        </is>
      </c>
      <c r="L301" t="inlineStr">
        <is>
          <t>p204968</t>
        </is>
      </c>
      <c r="M301" t="n">
        <v>489</v>
      </c>
      <c r="Q301" t="n">
        <v>602</v>
      </c>
      <c r="R301" t="n">
        <v>22</v>
      </c>
      <c r="S301" t="n">
        <v>2</v>
      </c>
      <c r="T301" t="n">
        <v>6.689</v>
      </c>
      <c r="U301" t="n">
        <v>27.4</v>
      </c>
      <c r="V301" t="n">
        <v>30</v>
      </c>
      <c r="W301" t="n">
        <v>4.485</v>
      </c>
      <c r="X301" t="n">
        <v>0</v>
      </c>
      <c r="Y301" t="n">
        <v>2</v>
      </c>
      <c r="Z301" t="n">
        <v>2</v>
      </c>
      <c r="AA301" t="n">
        <v>0</v>
      </c>
      <c r="AB301" t="n">
        <v>7</v>
      </c>
      <c r="AC301" t="n">
        <v>0</v>
      </c>
      <c r="AD301" t="n">
        <v>0</v>
      </c>
      <c r="AE301" t="n">
        <v>0</v>
      </c>
      <c r="AF301" t="n">
        <v>123</v>
      </c>
      <c r="AG301" t="n">
        <v>115</v>
      </c>
      <c r="AH301" t="n">
        <v>-8</v>
      </c>
      <c r="AI301" t="n">
        <v>30</v>
      </c>
      <c r="AJ301" t="n">
        <v>0</v>
      </c>
      <c r="AK301" t="n">
        <v>0</v>
      </c>
      <c r="AL301" t="n">
        <v>69</v>
      </c>
      <c r="AM301" t="n">
        <v>10.316</v>
      </c>
      <c r="AN301" t="n">
        <v>1</v>
      </c>
      <c r="AO301" t="n">
        <v>2</v>
      </c>
      <c r="AP301" t="n">
        <v>0.5</v>
      </c>
      <c r="AQ301" t="n">
        <v>0.5</v>
      </c>
      <c r="AR301" t="n">
        <v>0.5</v>
      </c>
      <c r="AS301" t="n">
        <v>0.053</v>
      </c>
      <c r="AT301" t="n">
        <v>0.136</v>
      </c>
      <c r="AU301" t="n">
        <v>19</v>
      </c>
      <c r="AV301" t="n">
        <v>0</v>
      </c>
      <c r="AW301" t="n">
        <v>1.17</v>
      </c>
      <c r="AX301" t="n">
        <v>5</v>
      </c>
      <c r="AY301" t="n">
        <v>0.49</v>
      </c>
      <c r="AZ301" t="n">
        <v>0.675</v>
      </c>
      <c r="BA301" t="n">
        <v>0.582</v>
      </c>
      <c r="BB301" t="n">
        <v>0.675</v>
      </c>
      <c r="BC301" t="n">
        <v>0.073</v>
      </c>
      <c r="BD301" t="n">
        <v>0.101</v>
      </c>
      <c r="BE301" t="n">
        <v>0.08699999999999999</v>
      </c>
      <c r="BF301" t="n">
        <v>0</v>
      </c>
      <c r="BG301" t="n">
        <v>0</v>
      </c>
      <c r="BH301" t="n">
        <v>0.881</v>
      </c>
      <c r="BI301" t="n">
        <v>7.67</v>
      </c>
      <c r="BJ301" t="n">
        <v>0.432</v>
      </c>
      <c r="BK301" t="n">
        <v>0.065</v>
      </c>
      <c r="BL301" t="n">
        <v>-0.582</v>
      </c>
      <c r="BM301" t="n">
        <v>-0.49</v>
      </c>
      <c r="BN301" t="n">
        <v>0</v>
      </c>
      <c r="BO301" t="n">
        <v>-0.185</v>
      </c>
      <c r="BP301" t="n">
        <v>9</v>
      </c>
      <c r="BQ301" t="n">
        <v>2</v>
      </c>
      <c r="BR301" t="n">
        <v>2</v>
      </c>
      <c r="BS301" t="n">
        <v>10</v>
      </c>
      <c r="BT301" t="n">
        <v>1.495</v>
      </c>
      <c r="BW301" t="n">
        <v>0.37</v>
      </c>
      <c r="BX301" t="n">
        <v>0.227</v>
      </c>
      <c r="BY301" t="n">
        <v>0.299</v>
      </c>
      <c r="BZ301" t="n">
        <v>0.045</v>
      </c>
      <c r="CA301" t="n">
        <v>0.881</v>
      </c>
      <c r="CB301" t="n">
        <v>0.132</v>
      </c>
      <c r="CC301" t="n">
        <v>5</v>
      </c>
      <c r="CE301" t="n">
        <v>5</v>
      </c>
      <c r="CF301" t="n">
        <v>2</v>
      </c>
      <c r="CI301" t="n">
        <v>3.287</v>
      </c>
      <c r="CJ301" t="n">
        <v>2.774</v>
      </c>
      <c r="CK301" t="n">
        <v>35</v>
      </c>
      <c r="CL301" t="n">
        <v>18</v>
      </c>
      <c r="CM301" t="n">
        <v>16</v>
      </c>
      <c r="CN301" t="n">
        <v>10</v>
      </c>
      <c r="CO301" t="n">
        <v>9</v>
      </c>
      <c r="CP301" t="n">
        <v>23</v>
      </c>
      <c r="CQ301" t="n">
        <v>3</v>
      </c>
      <c r="CR301" t="n">
        <v>50</v>
      </c>
      <c r="CS301" t="n">
        <v>20</v>
      </c>
      <c r="CT301" t="n">
        <v>0.4</v>
      </c>
      <c r="CW301" t="n">
        <v>8.56</v>
      </c>
      <c r="CX301" t="n">
        <v>1.28</v>
      </c>
      <c r="CY301" t="n">
        <v>0</v>
      </c>
      <c r="DB301" t="n">
        <v>0</v>
      </c>
      <c r="DF301" t="n">
        <v>3</v>
      </c>
      <c r="DG301" t="n">
        <v>0</v>
      </c>
      <c r="DH301" t="n">
        <v>13</v>
      </c>
      <c r="DI301" t="n">
        <v>13</v>
      </c>
      <c r="DL301" t="n">
        <v>1</v>
      </c>
      <c r="DM301" t="n">
        <v>6</v>
      </c>
      <c r="DN301" t="n">
        <v>0</v>
      </c>
      <c r="DO301" t="n">
        <v>6.8</v>
      </c>
      <c r="DP301" t="n">
        <v>28.7</v>
      </c>
      <c r="DQ301" t="n">
        <v>14.35</v>
      </c>
      <c r="DR301" t="n">
        <v>28.7</v>
      </c>
      <c r="DS301" t="n">
        <v>0</v>
      </c>
      <c r="DT301" t="n">
        <v>340</v>
      </c>
      <c r="DU301" t="n">
        <v>8.94</v>
      </c>
      <c r="DV301" t="inlineStr">
        <is>
          <t>flat</t>
        </is>
      </c>
      <c r="EF301" t="n">
        <v>66.90000000000001</v>
      </c>
      <c r="EG301" t="n">
        <v>60.2</v>
      </c>
      <c r="EH301" t="n">
        <v>120.4</v>
      </c>
      <c r="EI301" t="n">
        <v>1033.7</v>
      </c>
      <c r="EJ301" t="n">
        <v>2015.1</v>
      </c>
      <c r="EK301" t="n">
        <v>683.2</v>
      </c>
      <c r="EL301" t="n">
        <v>20.1</v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n">
        <v>4.5</v>
      </c>
      <c r="F302" t="b">
        <v>1</v>
      </c>
      <c r="G302" t="b">
        <v>1</v>
      </c>
      <c r="H302" t="n">
        <v>23.7</v>
      </c>
      <c r="I302" t="inlineStr">
        <is>
          <t>a</t>
        </is>
      </c>
      <c r="L302" t="inlineStr">
        <is>
          <t>p487053</t>
        </is>
      </c>
      <c r="M302" t="n">
        <v>506</v>
      </c>
      <c r="Q302" t="n">
        <v>1335</v>
      </c>
      <c r="R302" t="n">
        <v>20</v>
      </c>
      <c r="S302" t="n">
        <v>14</v>
      </c>
      <c r="T302" t="n">
        <v>14.833</v>
      </c>
      <c r="U302" t="n">
        <v>66.8</v>
      </c>
      <c r="V302" t="n">
        <v>29</v>
      </c>
      <c r="W302" t="n">
        <v>1.955</v>
      </c>
      <c r="X302" t="n">
        <v>0</v>
      </c>
      <c r="Y302" t="n">
        <v>1</v>
      </c>
      <c r="Z302" t="n">
        <v>1</v>
      </c>
      <c r="AA302" t="n">
        <v>1</v>
      </c>
      <c r="AB302" t="n">
        <v>25</v>
      </c>
      <c r="AC302" t="n">
        <v>1</v>
      </c>
      <c r="AD302" t="n">
        <v>1</v>
      </c>
      <c r="AE302" t="n">
        <v>0</v>
      </c>
      <c r="AF302" t="n">
        <v>121</v>
      </c>
      <c r="AG302" t="n">
        <v>113</v>
      </c>
      <c r="AH302" t="n">
        <v>-8</v>
      </c>
      <c r="AI302" t="n">
        <v>29</v>
      </c>
      <c r="AJ302" t="n">
        <v>0.034</v>
      </c>
      <c r="AK302" t="n">
        <v>0.036</v>
      </c>
      <c r="AL302" t="n">
        <v>68</v>
      </c>
      <c r="AM302" t="n">
        <v>4.584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0.368</v>
      </c>
      <c r="AT302" t="n">
        <v>0.65</v>
      </c>
      <c r="AU302" t="n">
        <v>18</v>
      </c>
      <c r="AV302" t="n">
        <v>0</v>
      </c>
      <c r="AW302" t="n">
        <v>1.42</v>
      </c>
      <c r="AX302" t="n">
        <v>7</v>
      </c>
      <c r="AY302" t="n">
        <v>0.18</v>
      </c>
      <c r="AZ302" t="n">
        <v>0.218</v>
      </c>
      <c r="BA302" t="n">
        <v>0.199</v>
      </c>
      <c r="BB302" t="n">
        <v>0.218</v>
      </c>
      <c r="BC302" t="n">
        <v>0.012</v>
      </c>
      <c r="BD302" t="n">
        <v>0.015</v>
      </c>
      <c r="BE302" t="n">
        <v>0.013</v>
      </c>
      <c r="BF302" t="n">
        <v>0.6</v>
      </c>
      <c r="BG302" t="n">
        <v>0.04</v>
      </c>
      <c r="BH302" t="n">
        <v>1.091</v>
      </c>
      <c r="BI302" t="n">
        <v>2.91</v>
      </c>
      <c r="BJ302" t="n">
        <v>0.196</v>
      </c>
      <c r="BK302" t="n">
        <v>0.013</v>
      </c>
      <c r="BL302" t="n">
        <v>-0.199</v>
      </c>
      <c r="BM302" t="n">
        <v>0.42</v>
      </c>
      <c r="BN302" t="n">
        <v>-0.6</v>
      </c>
      <c r="BO302" t="n">
        <v>-0.038</v>
      </c>
      <c r="BP302" t="n">
        <v>4</v>
      </c>
      <c r="BQ302" t="n">
        <v>1</v>
      </c>
      <c r="BS302" t="n">
        <v>39</v>
      </c>
      <c r="BT302" t="n">
        <v>2.629</v>
      </c>
      <c r="BW302" t="n">
        <v>0.72</v>
      </c>
      <c r="BX302" t="n">
        <v>1.122</v>
      </c>
      <c r="BY302" t="n">
        <v>0.921</v>
      </c>
      <c r="BZ302" t="n">
        <v>0.062</v>
      </c>
      <c r="CA302" t="n">
        <v>1.12</v>
      </c>
      <c r="CB302" t="n">
        <v>0.076</v>
      </c>
      <c r="CC302" t="n">
        <v>12</v>
      </c>
      <c r="CD302" t="n">
        <v>2</v>
      </c>
      <c r="CE302" t="n">
        <v>12</v>
      </c>
      <c r="CF302" t="n">
        <v>5</v>
      </c>
      <c r="CI302" t="n">
        <v>5.177</v>
      </c>
      <c r="CJ302" t="n">
        <v>4.279</v>
      </c>
      <c r="CK302" t="n">
        <v>37</v>
      </c>
      <c r="CL302" t="n">
        <v>70</v>
      </c>
      <c r="CM302" t="n">
        <v>31</v>
      </c>
      <c r="CN302" t="n">
        <v>19</v>
      </c>
      <c r="CO302" t="n">
        <v>7</v>
      </c>
      <c r="CP302" t="n">
        <v>25</v>
      </c>
      <c r="CQ302" t="n">
        <v>5</v>
      </c>
      <c r="CR302" t="n">
        <v>66</v>
      </c>
      <c r="CS302" t="n">
        <v>8</v>
      </c>
      <c r="CT302" t="n">
        <v>0.1</v>
      </c>
      <c r="CV302" t="n">
        <v>2</v>
      </c>
      <c r="CW302" t="n">
        <v>19.15</v>
      </c>
      <c r="CX302" t="n">
        <v>1.291</v>
      </c>
      <c r="CY302" t="n">
        <v>0</v>
      </c>
      <c r="DB302" t="n">
        <v>0</v>
      </c>
      <c r="DE302" t="n">
        <v>6.69</v>
      </c>
      <c r="DF302" t="n">
        <v>4</v>
      </c>
      <c r="DG302" t="n">
        <v>0</v>
      </c>
      <c r="DH302" t="n">
        <v>17</v>
      </c>
      <c r="DI302" t="n">
        <v>22</v>
      </c>
      <c r="DL302" t="n">
        <v>6</v>
      </c>
      <c r="DM302" t="n">
        <v>12</v>
      </c>
      <c r="DN302" t="n">
        <v>3</v>
      </c>
      <c r="DO302" t="n">
        <v>0.5</v>
      </c>
      <c r="DP302" t="n">
        <v>46.71</v>
      </c>
      <c r="DQ302" t="n">
        <v>23.55</v>
      </c>
      <c r="DR302" t="n">
        <v>47.1</v>
      </c>
      <c r="DS302" t="n">
        <v>-0.39</v>
      </c>
      <c r="DT302" t="n">
        <v>685</v>
      </c>
      <c r="DU302" t="n">
        <v>18.02</v>
      </c>
      <c r="DV302" t="inlineStr">
        <is>
          <t>flat</t>
        </is>
      </c>
      <c r="DW302" t="n">
        <v>94.12</v>
      </c>
      <c r="DX302" t="n">
        <v>90</v>
      </c>
      <c r="DY302" t="n">
        <v>13.44</v>
      </c>
      <c r="DZ302" t="n">
        <v>77.14</v>
      </c>
      <c r="EA302" t="n">
        <v>111.2</v>
      </c>
      <c r="EB302" t="n">
        <v>6</v>
      </c>
      <c r="EC302" t="n">
        <v>2.9</v>
      </c>
      <c r="ED302" t="n">
        <v>33.3</v>
      </c>
      <c r="EE302" t="n">
        <v>437</v>
      </c>
      <c r="EF302" t="n">
        <v>333.8</v>
      </c>
      <c r="EG302" t="n">
        <v>34.2</v>
      </c>
      <c r="EH302" t="n">
        <v>111.2</v>
      </c>
      <c r="EI302" t="n">
        <v>6700.7</v>
      </c>
      <c r="EJ302" t="n">
        <v>1449.5</v>
      </c>
      <c r="EK302" t="n">
        <v>1191.7</v>
      </c>
      <c r="EL302" t="n">
        <v>46</v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n">
        <v>5.5</v>
      </c>
      <c r="F303" t="b">
        <v>1</v>
      </c>
      <c r="G303" t="b">
        <v>1</v>
      </c>
      <c r="H303" t="n">
        <v>19.9</v>
      </c>
      <c r="I303" t="inlineStr">
        <is>
          <t>a</t>
        </is>
      </c>
      <c r="L303" t="inlineStr">
        <is>
          <t>p499169</t>
        </is>
      </c>
      <c r="M303" t="n">
        <v>7</v>
      </c>
      <c r="Q303" t="n">
        <v>697</v>
      </c>
      <c r="R303" t="n">
        <v>20</v>
      </c>
      <c r="S303" t="n">
        <v>5</v>
      </c>
      <c r="T303" t="n">
        <v>7.744</v>
      </c>
      <c r="U303" t="n">
        <v>34.8</v>
      </c>
      <c r="V303" t="n">
        <v>29</v>
      </c>
      <c r="W303" t="n">
        <v>3.745</v>
      </c>
      <c r="X303" t="n">
        <v>0</v>
      </c>
      <c r="Y303" t="n">
        <v>0</v>
      </c>
      <c r="AA303" t="n">
        <v>2</v>
      </c>
      <c r="AB303" t="n">
        <v>8</v>
      </c>
      <c r="AC303" t="n">
        <v>0</v>
      </c>
      <c r="AD303" t="n">
        <v>0</v>
      </c>
      <c r="AE303" t="n">
        <v>0</v>
      </c>
      <c r="AF303" t="n">
        <v>110</v>
      </c>
      <c r="AG303" t="n">
        <v>108</v>
      </c>
      <c r="AH303" t="n">
        <v>-2</v>
      </c>
      <c r="AI303" t="n">
        <v>29</v>
      </c>
      <c r="AJ303" t="n">
        <v>0</v>
      </c>
      <c r="AK303" t="n">
        <v>0</v>
      </c>
      <c r="AL303" t="n">
        <v>25</v>
      </c>
      <c r="AM303" t="n">
        <v>3.228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0.132</v>
      </c>
      <c r="AT303" t="n">
        <v>0.25</v>
      </c>
      <c r="AU303" t="n">
        <v>18</v>
      </c>
      <c r="AV303" t="n">
        <v>0</v>
      </c>
      <c r="AW303" t="n">
        <v>1.36</v>
      </c>
      <c r="AX303" t="n">
        <v>6</v>
      </c>
      <c r="AY303" t="n">
        <v>0.1</v>
      </c>
      <c r="AZ303" t="n">
        <v>0.126</v>
      </c>
      <c r="BA303" t="n">
        <v>0.113</v>
      </c>
      <c r="BB303" t="n">
        <v>0.126</v>
      </c>
      <c r="BC303" t="n">
        <v>0.013</v>
      </c>
      <c r="BD303" t="n">
        <v>0.016</v>
      </c>
      <c r="BE303" t="n">
        <v>0.015</v>
      </c>
      <c r="BH303" t="n">
        <v>0.993</v>
      </c>
      <c r="BI303" t="n">
        <v>0.26</v>
      </c>
      <c r="BJ303" t="n">
        <v>0.099</v>
      </c>
      <c r="BK303" t="n">
        <v>0.013</v>
      </c>
      <c r="BL303" t="n">
        <v>-0.113</v>
      </c>
      <c r="BO303" t="n">
        <v>-0.026</v>
      </c>
      <c r="BP303" t="n">
        <v>2</v>
      </c>
      <c r="BS303" t="n">
        <v>13</v>
      </c>
      <c r="BT303" t="n">
        <v>1.679</v>
      </c>
      <c r="BW303" t="n">
        <v>0.2</v>
      </c>
      <c r="BX303" t="n">
        <v>0.179</v>
      </c>
      <c r="BY303" t="n">
        <v>0.189</v>
      </c>
      <c r="BZ303" t="n">
        <v>0.024</v>
      </c>
      <c r="CA303" t="n">
        <v>0.302</v>
      </c>
      <c r="CB303" t="n">
        <v>0.039</v>
      </c>
      <c r="CC303" t="n">
        <v>4</v>
      </c>
      <c r="CE303" t="n">
        <v>4</v>
      </c>
      <c r="CI303" t="n">
        <v>2.126</v>
      </c>
      <c r="CJ303" t="n">
        <v>1.967</v>
      </c>
      <c r="CK303" t="n">
        <v>17</v>
      </c>
      <c r="CL303" t="n">
        <v>30</v>
      </c>
      <c r="CM303" t="n">
        <v>8</v>
      </c>
      <c r="CN303" t="n">
        <v>5</v>
      </c>
      <c r="CO303" t="n">
        <v>5</v>
      </c>
      <c r="CP303" t="n">
        <v>11</v>
      </c>
      <c r="CQ303" t="n">
        <v>1</v>
      </c>
      <c r="CR303" t="n">
        <v>38</v>
      </c>
      <c r="CS303" t="n">
        <v>6</v>
      </c>
      <c r="CT303" t="n">
        <v>0.1</v>
      </c>
      <c r="CV303" t="n">
        <v>1</v>
      </c>
      <c r="CW303" t="n">
        <v>9.01</v>
      </c>
      <c r="CX303" t="n">
        <v>1.163</v>
      </c>
      <c r="CY303" t="n">
        <v>0</v>
      </c>
      <c r="DB303" t="n">
        <v>0</v>
      </c>
      <c r="DF303" t="n">
        <v>3</v>
      </c>
      <c r="DG303" t="n">
        <v>0</v>
      </c>
      <c r="DH303" t="n">
        <v>10</v>
      </c>
      <c r="DI303" t="n">
        <v>16</v>
      </c>
      <c r="DL303" t="n">
        <v>8</v>
      </c>
      <c r="DM303" t="n">
        <v>7</v>
      </c>
      <c r="DN303" t="n">
        <v>1</v>
      </c>
      <c r="DO303" t="n">
        <v>0.3</v>
      </c>
      <c r="DP303" t="n">
        <v>24.5</v>
      </c>
      <c r="DQ303" t="n">
        <v>12.78</v>
      </c>
      <c r="DR303" t="n">
        <v>25.56</v>
      </c>
      <c r="DS303" t="n">
        <v>-1.06</v>
      </c>
      <c r="DT303" t="n">
        <v>394</v>
      </c>
      <c r="DU303" t="n">
        <v>10.38</v>
      </c>
      <c r="DV303" t="inlineStr">
        <is>
          <t>flat</t>
        </is>
      </c>
      <c r="DW303" t="n">
        <v>89.81999999999999</v>
      </c>
      <c r="DY303" t="n">
        <v>14.76</v>
      </c>
      <c r="DZ303" t="n">
        <v>81</v>
      </c>
      <c r="EA303" t="n">
        <v>106.86</v>
      </c>
      <c r="EB303" t="n">
        <v>3</v>
      </c>
      <c r="EC303" t="n">
        <v>1.4</v>
      </c>
      <c r="ED303" t="n">
        <v>25</v>
      </c>
      <c r="EE303" t="n">
        <v>183</v>
      </c>
      <c r="EF303" t="n">
        <v>348.5</v>
      </c>
      <c r="EG303" t="n">
        <v>53.6</v>
      </c>
      <c r="EH303" t="n">
        <v>174.2</v>
      </c>
      <c r="EI303" t="n">
        <v>6176.5</v>
      </c>
      <c r="EJ303" t="n">
        <v>3682.7</v>
      </c>
      <c r="EK303" t="n">
        <v>2307.1</v>
      </c>
      <c r="EL303" t="n">
        <v>24</v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n">
        <v>4.5</v>
      </c>
      <c r="F304" t="b">
        <v>1</v>
      </c>
      <c r="G304" t="b">
        <v>1</v>
      </c>
      <c r="H304" t="n">
        <v>32.1</v>
      </c>
      <c r="I304" t="inlineStr">
        <is>
          <t>a</t>
        </is>
      </c>
      <c r="L304" t="inlineStr">
        <is>
          <t>p184667</t>
        </is>
      </c>
      <c r="M304" t="n">
        <v>37</v>
      </c>
      <c r="Q304" t="n">
        <v>942</v>
      </c>
      <c r="R304" t="n">
        <v>17</v>
      </c>
      <c r="S304" t="n">
        <v>11</v>
      </c>
      <c r="T304" t="n">
        <v>10.467</v>
      </c>
      <c r="U304" t="n">
        <v>55.4</v>
      </c>
      <c r="V304" t="n">
        <v>29</v>
      </c>
      <c r="W304" t="n">
        <v>2.771</v>
      </c>
      <c r="X304" t="n">
        <v>0</v>
      </c>
      <c r="Y304" t="n">
        <v>1</v>
      </c>
      <c r="Z304" t="n">
        <v>1</v>
      </c>
      <c r="AA304" t="n">
        <v>1</v>
      </c>
      <c r="AB304" t="n">
        <v>15</v>
      </c>
      <c r="AC304" t="n">
        <v>0</v>
      </c>
      <c r="AD304" t="n">
        <v>0</v>
      </c>
      <c r="AE304" t="n">
        <v>0</v>
      </c>
      <c r="AF304" t="n">
        <v>124</v>
      </c>
      <c r="AG304" t="n">
        <v>115</v>
      </c>
      <c r="AH304" t="n">
        <v>-9</v>
      </c>
      <c r="AI304" t="n">
        <v>29</v>
      </c>
      <c r="AJ304" t="n">
        <v>0</v>
      </c>
      <c r="AK304" t="n">
        <v>0</v>
      </c>
      <c r="AL304" t="n">
        <v>54</v>
      </c>
      <c r="AM304" t="n">
        <v>5.159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0.289</v>
      </c>
      <c r="AT304" t="n">
        <v>0.588</v>
      </c>
      <c r="AU304" t="n">
        <v>15</v>
      </c>
      <c r="AV304" t="n">
        <v>0</v>
      </c>
      <c r="AW304" t="n">
        <v>1.29</v>
      </c>
      <c r="AX304" t="n">
        <v>6</v>
      </c>
      <c r="AY304" t="n">
        <v>0.28</v>
      </c>
      <c r="AZ304" t="n">
        <v>0.156</v>
      </c>
      <c r="BA304" t="n">
        <v>0.218</v>
      </c>
      <c r="BB304" t="n">
        <v>0.156</v>
      </c>
      <c r="BC304" t="n">
        <v>0.027</v>
      </c>
      <c r="BD304" t="n">
        <v>0.015</v>
      </c>
      <c r="BE304" t="n">
        <v>0.021</v>
      </c>
      <c r="BH304" t="n">
        <v>0.976</v>
      </c>
      <c r="BI304" t="n">
        <v>1.22</v>
      </c>
      <c r="BJ304" t="n">
        <v>0.273</v>
      </c>
      <c r="BK304" t="n">
        <v>0.026</v>
      </c>
      <c r="BL304" t="n">
        <v>-0.218</v>
      </c>
      <c r="BO304" t="n">
        <v>0.124</v>
      </c>
      <c r="BP304" t="n">
        <v>3</v>
      </c>
      <c r="BR304" t="n">
        <v>1</v>
      </c>
      <c r="BS304" t="n">
        <v>5</v>
      </c>
      <c r="BT304" t="n">
        <v>0.478</v>
      </c>
      <c r="BW304" t="n">
        <v>0.1</v>
      </c>
      <c r="BX304" t="n">
        <v>0.598</v>
      </c>
      <c r="BY304" t="n">
        <v>0.349</v>
      </c>
      <c r="BZ304" t="n">
        <v>0.033</v>
      </c>
      <c r="CA304" t="n">
        <v>0.5669999999999999</v>
      </c>
      <c r="CB304" t="n">
        <v>0.054</v>
      </c>
      <c r="CC304" t="n">
        <v>2</v>
      </c>
      <c r="CD304" t="n">
        <v>1</v>
      </c>
      <c r="CE304" t="n">
        <v>2</v>
      </c>
      <c r="CI304" t="n">
        <v>2.545</v>
      </c>
      <c r="CJ304" t="n">
        <v>2.528</v>
      </c>
      <c r="CK304" t="n">
        <v>47</v>
      </c>
      <c r="CL304" t="n">
        <v>19</v>
      </c>
      <c r="CM304" t="n">
        <v>7</v>
      </c>
      <c r="CN304" t="n">
        <v>3</v>
      </c>
      <c r="CO304" t="n">
        <v>8</v>
      </c>
      <c r="CP304" t="n">
        <v>34</v>
      </c>
      <c r="CQ304" t="n">
        <v>5</v>
      </c>
      <c r="CR304" t="n">
        <v>19</v>
      </c>
      <c r="CS304" t="n">
        <v>11</v>
      </c>
      <c r="CW304" t="n">
        <v>15.93</v>
      </c>
      <c r="CX304" t="n">
        <v>1.522</v>
      </c>
      <c r="CY304" t="n">
        <v>0</v>
      </c>
      <c r="DB304" t="n">
        <v>0</v>
      </c>
      <c r="DF304" t="n">
        <v>0</v>
      </c>
      <c r="DG304" t="n">
        <v>0</v>
      </c>
      <c r="DH304" t="n">
        <v>2</v>
      </c>
      <c r="DI304" t="n">
        <v>1</v>
      </c>
      <c r="DM304" t="n">
        <v>2</v>
      </c>
      <c r="DO304" t="n">
        <v>0.2</v>
      </c>
      <c r="DP304" t="n">
        <v>40.1</v>
      </c>
      <c r="DQ304" t="n">
        <v>22.92</v>
      </c>
      <c r="DR304" t="n">
        <v>45.84</v>
      </c>
      <c r="DS304" t="n">
        <v>-5.74</v>
      </c>
      <c r="DT304" t="n">
        <v>884</v>
      </c>
      <c r="DU304" t="n">
        <v>23.25</v>
      </c>
      <c r="DV304" t="inlineStr">
        <is>
          <t>fade (losing his place)</t>
        </is>
      </c>
      <c r="DW304" t="n">
        <v>107.67</v>
      </c>
      <c r="DX304" t="n">
        <v>118</v>
      </c>
      <c r="DY304" t="n">
        <v>14.97</v>
      </c>
      <c r="DZ304" t="n">
        <v>90.5</v>
      </c>
      <c r="EA304" t="n">
        <v>118</v>
      </c>
      <c r="EB304" t="n">
        <v>3</v>
      </c>
      <c r="EC304" t="n">
        <v>1.4</v>
      </c>
      <c r="ED304" t="n">
        <v>0</v>
      </c>
      <c r="EE304" t="n">
        <v>436</v>
      </c>
      <c r="EF304" t="n">
        <v>314</v>
      </c>
      <c r="EG304" t="n">
        <v>188.4</v>
      </c>
      <c r="EH304" t="n">
        <v>471</v>
      </c>
      <c r="EI304" t="n">
        <v>4319.8</v>
      </c>
      <c r="EJ304" t="n">
        <v>2698.8</v>
      </c>
      <c r="EK304" t="n">
        <v>1661</v>
      </c>
      <c r="EL304" t="n">
        <v>32.5</v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n">
        <v>5</v>
      </c>
      <c r="F305" t="b">
        <v>1</v>
      </c>
      <c r="G305" t="b">
        <v>1</v>
      </c>
      <c r="H305" t="n">
        <v>23.7</v>
      </c>
      <c r="I305" t="inlineStr">
        <is>
          <t>a</t>
        </is>
      </c>
      <c r="L305" t="inlineStr">
        <is>
          <t>p502697</t>
        </is>
      </c>
      <c r="M305" t="n">
        <v>243</v>
      </c>
      <c r="Q305" t="n">
        <v>679</v>
      </c>
      <c r="R305" t="n">
        <v>20</v>
      </c>
      <c r="S305" t="n">
        <v>6</v>
      </c>
      <c r="T305" t="n">
        <v>7.544</v>
      </c>
      <c r="U305" t="n">
        <v>34</v>
      </c>
      <c r="V305" t="n">
        <v>29</v>
      </c>
      <c r="W305" t="n">
        <v>3.844</v>
      </c>
      <c r="X305" t="n">
        <v>0</v>
      </c>
      <c r="Y305" t="n">
        <v>1</v>
      </c>
      <c r="Z305" t="n">
        <v>1</v>
      </c>
      <c r="AA305" t="n">
        <v>3</v>
      </c>
      <c r="AB305" t="n">
        <v>10</v>
      </c>
      <c r="AC305" t="n">
        <v>0</v>
      </c>
      <c r="AD305" t="n">
        <v>0</v>
      </c>
      <c r="AE305" t="n">
        <v>0</v>
      </c>
      <c r="AF305" t="n">
        <v>121</v>
      </c>
      <c r="AG305" t="n">
        <v>119</v>
      </c>
      <c r="AH305" t="n">
        <v>-2</v>
      </c>
      <c r="AI305" t="n">
        <v>29</v>
      </c>
      <c r="AJ305" t="n">
        <v>0</v>
      </c>
      <c r="AK305" t="n">
        <v>0</v>
      </c>
      <c r="AL305" t="n">
        <v>70</v>
      </c>
      <c r="AM305" t="n">
        <v>9.278</v>
      </c>
      <c r="AN305" t="n">
        <v>0</v>
      </c>
      <c r="AO305" t="n">
        <v>0</v>
      </c>
      <c r="AP305" t="n">
        <v>0</v>
      </c>
      <c r="AQ305" t="n">
        <v>0.167</v>
      </c>
      <c r="AR305" t="n">
        <v>0</v>
      </c>
      <c r="AS305" t="n">
        <v>0.158</v>
      </c>
      <c r="AT305" t="n">
        <v>0.35</v>
      </c>
      <c r="AU305" t="n">
        <v>17</v>
      </c>
      <c r="AV305" t="n">
        <v>0</v>
      </c>
      <c r="AW305" t="n">
        <v>1.1</v>
      </c>
      <c r="AX305" t="n">
        <v>5</v>
      </c>
      <c r="AY305" t="n">
        <v>1.17</v>
      </c>
      <c r="AZ305" t="n">
        <v>1.009</v>
      </c>
      <c r="BA305" t="n">
        <v>1.089</v>
      </c>
      <c r="BB305" t="n">
        <v>1.009</v>
      </c>
      <c r="BC305" t="n">
        <v>0.155</v>
      </c>
      <c r="BD305" t="n">
        <v>0.134</v>
      </c>
      <c r="BE305" t="n">
        <v>0.144</v>
      </c>
      <c r="BF305" t="n">
        <v>0.6</v>
      </c>
      <c r="BG305" t="n">
        <v>0.08</v>
      </c>
      <c r="BH305" t="n">
        <v>1.078</v>
      </c>
      <c r="BI305" t="n">
        <v>4.71</v>
      </c>
      <c r="BJ305" t="n">
        <v>1.261</v>
      </c>
      <c r="BK305" t="n">
        <v>0.167</v>
      </c>
      <c r="BL305" t="n">
        <v>-1.089</v>
      </c>
      <c r="BM305" t="n">
        <v>-0.57</v>
      </c>
      <c r="BN305" t="n">
        <v>-0.6</v>
      </c>
      <c r="BO305" t="n">
        <v>0.161</v>
      </c>
      <c r="BP305" t="n">
        <v>20</v>
      </c>
      <c r="BQ305" t="n">
        <v>5</v>
      </c>
      <c r="BR305" t="n">
        <v>1</v>
      </c>
      <c r="BS305" t="n">
        <v>28</v>
      </c>
      <c r="BT305" t="n">
        <v>3.711</v>
      </c>
      <c r="BW305" t="n">
        <v>0.54</v>
      </c>
      <c r="BX305" t="n">
        <v>1.214</v>
      </c>
      <c r="BY305" t="n">
        <v>0.877</v>
      </c>
      <c r="BZ305" t="n">
        <v>0.116</v>
      </c>
      <c r="CA305" t="n">
        <v>1.966</v>
      </c>
      <c r="CB305" t="n">
        <v>0.261</v>
      </c>
      <c r="CC305" t="n">
        <v>9</v>
      </c>
      <c r="CD305" t="n">
        <v>2</v>
      </c>
      <c r="CE305" t="n">
        <v>10</v>
      </c>
      <c r="CF305" t="n">
        <v>3</v>
      </c>
      <c r="CH305" t="n">
        <v>4</v>
      </c>
      <c r="CI305" t="n">
        <v>2.684</v>
      </c>
      <c r="CJ305" t="n">
        <v>1.346</v>
      </c>
      <c r="CK305" t="n">
        <v>13</v>
      </c>
      <c r="CL305" t="n">
        <v>43</v>
      </c>
      <c r="CM305" t="n">
        <v>14</v>
      </c>
      <c r="CN305" t="n">
        <v>9</v>
      </c>
      <c r="CO305" t="n">
        <v>3</v>
      </c>
      <c r="CP305" t="n">
        <v>7</v>
      </c>
      <c r="CQ305" t="n">
        <v>3</v>
      </c>
      <c r="CR305" t="n">
        <v>46</v>
      </c>
      <c r="CS305" t="n">
        <v>14</v>
      </c>
      <c r="CT305" t="n">
        <v>0.3</v>
      </c>
      <c r="CV305" t="n">
        <v>2</v>
      </c>
      <c r="CW305" t="n">
        <v>13.56</v>
      </c>
      <c r="CX305" t="n">
        <v>1.797</v>
      </c>
      <c r="CY305" t="n">
        <v>0</v>
      </c>
      <c r="DB305" t="n">
        <v>0</v>
      </c>
      <c r="DF305" t="n">
        <v>4</v>
      </c>
      <c r="DG305" t="n">
        <v>0</v>
      </c>
      <c r="DH305" t="n">
        <v>10</v>
      </c>
      <c r="DI305" t="n">
        <v>12</v>
      </c>
      <c r="DL305" t="n">
        <v>7</v>
      </c>
      <c r="DM305" t="n">
        <v>9</v>
      </c>
      <c r="DN305" t="n">
        <v>1</v>
      </c>
      <c r="DO305" t="n">
        <v>0.1</v>
      </c>
      <c r="DP305" t="n">
        <v>16.22</v>
      </c>
      <c r="DQ305" t="n">
        <v>8.18</v>
      </c>
      <c r="DR305" t="n">
        <v>16.36</v>
      </c>
      <c r="DS305" t="n">
        <v>-0.14</v>
      </c>
      <c r="DT305" t="n">
        <v>191</v>
      </c>
      <c r="DU305" t="n">
        <v>5.03</v>
      </c>
      <c r="DV305" t="inlineStr">
        <is>
          <t>flat</t>
        </is>
      </c>
      <c r="DW305" t="n">
        <v>103</v>
      </c>
      <c r="DZ305" t="n">
        <v>103</v>
      </c>
      <c r="EA305" t="n">
        <v>103</v>
      </c>
      <c r="EB305" t="n">
        <v>1</v>
      </c>
      <c r="EC305" t="n">
        <v>0.5</v>
      </c>
      <c r="ED305" t="n">
        <v>0</v>
      </c>
      <c r="EE305" t="n">
        <v>302</v>
      </c>
      <c r="EF305" t="n">
        <v>34</v>
      </c>
      <c r="EG305" t="n">
        <v>24.2</v>
      </c>
      <c r="EH305" t="n">
        <v>67.90000000000001</v>
      </c>
      <c r="EI305" t="n">
        <v>623.3</v>
      </c>
      <c r="EJ305" t="n">
        <v>774.3</v>
      </c>
      <c r="EK305" t="n">
        <v>345.3</v>
      </c>
      <c r="EL305" t="n">
        <v>23.4</v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n">
        <v>6</v>
      </c>
      <c r="F306" t="b">
        <v>1</v>
      </c>
      <c r="G306" t="b">
        <v>1</v>
      </c>
      <c r="H306" t="n">
        <v>30</v>
      </c>
      <c r="I306" t="inlineStr">
        <is>
          <t>a</t>
        </is>
      </c>
      <c r="L306" t="inlineStr">
        <is>
          <t>p216646</t>
        </is>
      </c>
      <c r="M306" t="n">
        <v>464</v>
      </c>
      <c r="N306" t="n">
        <v>4</v>
      </c>
      <c r="Q306" t="n">
        <v>517</v>
      </c>
      <c r="R306" t="n">
        <v>19</v>
      </c>
      <c r="S306" t="n">
        <v>4</v>
      </c>
      <c r="T306" t="n">
        <v>5.744</v>
      </c>
      <c r="U306" t="n">
        <v>27.2</v>
      </c>
      <c r="V306" t="n">
        <v>27</v>
      </c>
      <c r="W306" t="n">
        <v>4.7</v>
      </c>
      <c r="X306" t="n">
        <v>1</v>
      </c>
      <c r="Y306" t="n">
        <v>1</v>
      </c>
      <c r="Z306" t="n">
        <v>1</v>
      </c>
      <c r="AA306" t="n">
        <v>1</v>
      </c>
      <c r="AB306" t="n">
        <v>11</v>
      </c>
      <c r="AC306" t="n">
        <v>0</v>
      </c>
      <c r="AD306" t="n">
        <v>0</v>
      </c>
      <c r="AE306" t="n">
        <v>0</v>
      </c>
      <c r="AF306" t="n">
        <v>70</v>
      </c>
      <c r="AG306" t="n">
        <v>70</v>
      </c>
      <c r="AH306" t="n">
        <v>0</v>
      </c>
      <c r="AI306" t="n">
        <v>27</v>
      </c>
      <c r="AJ306" t="n">
        <v>0</v>
      </c>
      <c r="AK306" t="n">
        <v>0</v>
      </c>
      <c r="AL306" t="n">
        <v>22</v>
      </c>
      <c r="AM306" t="n">
        <v>3.83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0.105</v>
      </c>
      <c r="AT306" t="n">
        <v>0.211</v>
      </c>
      <c r="AU306" t="n">
        <v>17</v>
      </c>
      <c r="AV306" t="n">
        <v>0</v>
      </c>
      <c r="AW306" t="n">
        <v>1.16</v>
      </c>
      <c r="AX306" t="n">
        <v>6</v>
      </c>
      <c r="AY306" t="n">
        <v>3.13</v>
      </c>
      <c r="AZ306" t="n">
        <v>3.238</v>
      </c>
      <c r="BA306" t="n">
        <v>3.184</v>
      </c>
      <c r="BB306" t="n">
        <v>3.238</v>
      </c>
      <c r="BC306" t="n">
        <v>0.545</v>
      </c>
      <c r="BD306" t="n">
        <v>0.5639999999999999</v>
      </c>
      <c r="BE306" t="n">
        <v>0.554</v>
      </c>
      <c r="BF306" t="n">
        <v>1.3</v>
      </c>
      <c r="BG306" t="n">
        <v>0.226</v>
      </c>
      <c r="BH306" t="n">
        <v>0.9350000000000001</v>
      </c>
      <c r="BI306" t="n">
        <v>37.9</v>
      </c>
      <c r="BJ306" t="n">
        <v>2.925</v>
      </c>
      <c r="BK306" t="n">
        <v>0.509</v>
      </c>
      <c r="BL306" t="n">
        <v>-2.184</v>
      </c>
      <c r="BM306" t="n">
        <v>-1.83</v>
      </c>
      <c r="BN306" t="n">
        <v>-0.3</v>
      </c>
      <c r="BO306" t="n">
        <v>-0.108</v>
      </c>
      <c r="BP306" t="n">
        <v>13</v>
      </c>
      <c r="BQ306" t="n">
        <v>5</v>
      </c>
      <c r="BR306" t="n">
        <v>6</v>
      </c>
      <c r="BS306" t="n">
        <v>37</v>
      </c>
      <c r="BT306" t="n">
        <v>6.441</v>
      </c>
      <c r="BW306" t="n">
        <v>0.54</v>
      </c>
      <c r="BX306" t="n">
        <v>0.17</v>
      </c>
      <c r="BY306" t="n">
        <v>0.355</v>
      </c>
      <c r="BZ306" t="n">
        <v>0.062</v>
      </c>
      <c r="CA306" t="n">
        <v>3.539</v>
      </c>
      <c r="CB306" t="n">
        <v>0.616</v>
      </c>
      <c r="CC306" t="n">
        <v>3</v>
      </c>
      <c r="CD306" t="n">
        <v>1</v>
      </c>
      <c r="CE306" t="n">
        <v>4</v>
      </c>
      <c r="CG306" t="n">
        <v>1</v>
      </c>
      <c r="CH306" t="n">
        <v>1</v>
      </c>
      <c r="CI306" t="n">
        <v>4.354</v>
      </c>
      <c r="CJ306" t="n">
        <v>1.306</v>
      </c>
      <c r="CK306" t="n">
        <v>3</v>
      </c>
      <c r="CL306" t="n">
        <v>14</v>
      </c>
      <c r="CM306" t="n">
        <v>5</v>
      </c>
      <c r="CN306" t="n">
        <v>5</v>
      </c>
      <c r="CP306" t="n">
        <v>2</v>
      </c>
      <c r="CQ306" t="n">
        <v>1</v>
      </c>
      <c r="CR306" t="n">
        <v>23</v>
      </c>
      <c r="CS306" t="n">
        <v>15</v>
      </c>
      <c r="CT306" t="n">
        <v>0.3</v>
      </c>
      <c r="CW306" t="n">
        <v>9.970000000000001</v>
      </c>
      <c r="CX306" t="n">
        <v>1.736</v>
      </c>
      <c r="CY306" t="n">
        <v>0</v>
      </c>
      <c r="DB306" t="n">
        <v>0</v>
      </c>
      <c r="DF306" t="n">
        <v>3</v>
      </c>
      <c r="DG306" t="n">
        <v>0</v>
      </c>
      <c r="DH306" t="n">
        <v>6</v>
      </c>
      <c r="DI306" t="n">
        <v>2</v>
      </c>
      <c r="DL306" t="n">
        <v>1</v>
      </c>
      <c r="DM306" t="n">
        <v>6</v>
      </c>
      <c r="DN306" t="n">
        <v>4</v>
      </c>
      <c r="DO306" t="n">
        <v>1.7</v>
      </c>
      <c r="DP306" t="n">
        <v>83.16</v>
      </c>
      <c r="DQ306" t="n">
        <v>41.58</v>
      </c>
      <c r="DR306" t="n">
        <v>83.16</v>
      </c>
      <c r="DS306" t="n">
        <v>0</v>
      </c>
      <c r="DT306" t="n">
        <v>1277</v>
      </c>
      <c r="DU306" t="n">
        <v>33.6</v>
      </c>
      <c r="DV306" t="inlineStr">
        <is>
          <t>flat</t>
        </is>
      </c>
      <c r="DW306" t="n">
        <v>66.25</v>
      </c>
      <c r="DX306" t="n">
        <v>77.83</v>
      </c>
      <c r="DY306" t="n">
        <v>29.35</v>
      </c>
      <c r="DZ306" t="n">
        <v>12</v>
      </c>
      <c r="EA306" t="n">
        <v>118.67</v>
      </c>
      <c r="EB306" t="n">
        <v>147</v>
      </c>
      <c r="EC306" t="n">
        <v>70.7</v>
      </c>
      <c r="ED306" t="n">
        <v>9.300000000000001</v>
      </c>
      <c r="EE306" t="n">
        <v>103</v>
      </c>
      <c r="EF306" t="n">
        <v>39.8</v>
      </c>
      <c r="EG306" t="n">
        <v>14</v>
      </c>
      <c r="EH306" t="n">
        <v>129.2</v>
      </c>
      <c r="EI306" t="n">
        <v>162.4</v>
      </c>
      <c r="EJ306" t="n">
        <v>1457.3</v>
      </c>
      <c r="EK306" t="n">
        <v>146.1</v>
      </c>
      <c r="EL306" t="n">
        <v>19.1</v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n">
        <v>5.5</v>
      </c>
      <c r="F307" t="b">
        <v>1</v>
      </c>
      <c r="G307" t="b">
        <v>1</v>
      </c>
      <c r="H307" t="n">
        <v>29.3</v>
      </c>
      <c r="I307" t="inlineStr">
        <is>
          <t>u</t>
        </is>
      </c>
      <c r="J307" t="inlineStr">
        <is>
          <t>Has joined Getafe permanently</t>
        </is>
      </c>
      <c r="K307" t="n">
        <v>0</v>
      </c>
      <c r="L307" t="inlineStr">
        <is>
          <t>p168636</t>
        </is>
      </c>
      <c r="M307" t="n">
        <v>80</v>
      </c>
      <c r="Q307" t="n">
        <v>214</v>
      </c>
      <c r="R307" t="n">
        <v>23</v>
      </c>
      <c r="S307" t="n">
        <v>0</v>
      </c>
      <c r="T307" t="n">
        <v>2.378</v>
      </c>
      <c r="U307" t="n">
        <v>9.300000000000001</v>
      </c>
      <c r="V307" t="n">
        <v>27</v>
      </c>
      <c r="W307" t="n">
        <v>11.355</v>
      </c>
      <c r="X307" t="n">
        <v>1</v>
      </c>
      <c r="Y307" t="n">
        <v>0</v>
      </c>
      <c r="AA307" t="n">
        <v>0</v>
      </c>
      <c r="AB307" t="n">
        <v>3</v>
      </c>
      <c r="AC307" t="n">
        <v>1</v>
      </c>
      <c r="AD307" t="n">
        <v>1</v>
      </c>
      <c r="AE307" t="n">
        <v>0</v>
      </c>
      <c r="AF307" t="n">
        <v>83</v>
      </c>
      <c r="AG307" t="n">
        <v>80</v>
      </c>
      <c r="AH307" t="n">
        <v>-3</v>
      </c>
      <c r="AI307" t="n">
        <v>27</v>
      </c>
      <c r="AJ307" t="n">
        <v>0.037</v>
      </c>
      <c r="AK307" t="n">
        <v>0.038</v>
      </c>
      <c r="AL307" t="n">
        <v>23</v>
      </c>
      <c r="AM307" t="n">
        <v>9.673</v>
      </c>
      <c r="AN307" t="n">
        <v>0</v>
      </c>
      <c r="AO307" t="n">
        <v>0</v>
      </c>
      <c r="AS307" t="n">
        <v>0</v>
      </c>
      <c r="AT307" t="n">
        <v>0</v>
      </c>
      <c r="AU307" t="n">
        <v>22</v>
      </c>
      <c r="AV307" t="n">
        <v>0</v>
      </c>
      <c r="AW307" t="n">
        <v>1.01</v>
      </c>
      <c r="AX307" t="n">
        <v>6</v>
      </c>
      <c r="AY307" t="n">
        <v>2</v>
      </c>
      <c r="AZ307" t="n">
        <v>2.326</v>
      </c>
      <c r="BA307" t="n">
        <v>2.163</v>
      </c>
      <c r="BB307" t="n">
        <v>2.326</v>
      </c>
      <c r="BC307" t="n">
        <v>0.841</v>
      </c>
      <c r="BD307" t="n">
        <v>0.978</v>
      </c>
      <c r="BE307" t="n">
        <v>0.91</v>
      </c>
      <c r="BF307" t="n">
        <v>1.6</v>
      </c>
      <c r="BG307" t="n">
        <v>0.673</v>
      </c>
      <c r="BH307" t="n">
        <v>0.835</v>
      </c>
      <c r="BI307" t="n">
        <v>7.57</v>
      </c>
      <c r="BJ307" t="n">
        <v>1.67</v>
      </c>
      <c r="BK307" t="n">
        <v>0.702</v>
      </c>
      <c r="BL307" t="n">
        <v>-1.163</v>
      </c>
      <c r="BM307" t="n">
        <v>-0.4</v>
      </c>
      <c r="BN307" t="n">
        <v>-0.6</v>
      </c>
      <c r="BO307" t="n">
        <v>-0.326</v>
      </c>
      <c r="BP307" t="n">
        <v>15</v>
      </c>
      <c r="BQ307" t="n">
        <v>3</v>
      </c>
      <c r="BR307" t="n">
        <v>2</v>
      </c>
      <c r="BS307" t="n">
        <v>20</v>
      </c>
      <c r="BT307" t="n">
        <v>8.411</v>
      </c>
      <c r="BW307" t="n">
        <v>0.07000000000000001</v>
      </c>
      <c r="BX307" t="n">
        <v>0.284</v>
      </c>
      <c r="BY307" t="n">
        <v>0.177</v>
      </c>
      <c r="BZ307" t="n">
        <v>0.074</v>
      </c>
      <c r="CA307" t="n">
        <v>2.34</v>
      </c>
      <c r="CB307" t="n">
        <v>0.984</v>
      </c>
      <c r="CC307" t="n">
        <v>1</v>
      </c>
      <c r="CD307" t="n">
        <v>1</v>
      </c>
      <c r="CE307" t="n">
        <v>1</v>
      </c>
      <c r="CI307" t="n">
        <v>2.646</v>
      </c>
      <c r="CJ307" t="n">
        <v>0.39</v>
      </c>
      <c r="CK307" t="n">
        <v>15</v>
      </c>
      <c r="CL307" t="n">
        <v>7</v>
      </c>
      <c r="CM307" t="n">
        <v>1</v>
      </c>
      <c r="CN307" t="n">
        <v>1</v>
      </c>
      <c r="CP307" t="n">
        <v>14</v>
      </c>
      <c r="CQ307" t="n">
        <v>1</v>
      </c>
      <c r="CR307" t="n">
        <v>21</v>
      </c>
      <c r="CS307" t="n">
        <v>10</v>
      </c>
      <c r="CT307" t="n">
        <v>0.4</v>
      </c>
      <c r="CW307" t="n">
        <v>6.16</v>
      </c>
      <c r="CX307" t="n">
        <v>2.591</v>
      </c>
      <c r="CY307" t="n">
        <v>0</v>
      </c>
      <c r="DB307" t="n">
        <v>0</v>
      </c>
      <c r="DF307" t="n">
        <v>1</v>
      </c>
      <c r="DG307" t="n">
        <v>0</v>
      </c>
      <c r="DH307" t="n">
        <v>6</v>
      </c>
      <c r="DI307" t="n">
        <v>10</v>
      </c>
      <c r="DL307" t="n">
        <v>1</v>
      </c>
      <c r="DM307" t="n">
        <v>8</v>
      </c>
      <c r="DN307" t="n">
        <v>3</v>
      </c>
      <c r="DO307" t="n">
        <v>0.2</v>
      </c>
      <c r="DW307" t="n">
        <v>102.56</v>
      </c>
      <c r="DY307" t="n">
        <v>11.24</v>
      </c>
      <c r="DZ307" t="n">
        <v>81.33</v>
      </c>
      <c r="EA307" t="n">
        <v>116.8</v>
      </c>
      <c r="EB307" t="n">
        <v>10</v>
      </c>
      <c r="EC307" t="n">
        <v>4.8</v>
      </c>
      <c r="ED307" t="n">
        <v>9.1</v>
      </c>
      <c r="EE307" t="n">
        <v>184</v>
      </c>
      <c r="EF307" t="n">
        <v>14.3</v>
      </c>
      <c r="EG307" t="n">
        <v>10.7</v>
      </c>
      <c r="EH307" t="n">
        <v>214</v>
      </c>
      <c r="EI307" t="n">
        <v>98.90000000000001</v>
      </c>
      <c r="EJ307" t="n">
        <v>1208.6</v>
      </c>
      <c r="EK307" t="n">
        <v>91.40000000000001</v>
      </c>
      <c r="EL307" t="n">
        <v>7.9</v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n">
        <v>4</v>
      </c>
      <c r="F308" t="b">
        <v>1</v>
      </c>
      <c r="G308" t="b">
        <v>1</v>
      </c>
      <c r="H308" t="n">
        <v>31.7</v>
      </c>
      <c r="I308" t="inlineStr">
        <is>
          <t>a</t>
        </is>
      </c>
      <c r="L308" t="inlineStr">
        <is>
          <t>p167512</t>
        </is>
      </c>
      <c r="M308" t="n">
        <v>539</v>
      </c>
      <c r="Q308" t="n">
        <v>565</v>
      </c>
      <c r="R308" t="n">
        <v>12</v>
      </c>
      <c r="S308" t="n">
        <v>5</v>
      </c>
      <c r="T308" t="n">
        <v>6.278</v>
      </c>
      <c r="U308" t="n">
        <v>47.1</v>
      </c>
      <c r="V308" t="n">
        <v>26</v>
      </c>
      <c r="W308" t="n">
        <v>4.142</v>
      </c>
      <c r="X308" t="n">
        <v>0</v>
      </c>
      <c r="Y308" t="n">
        <v>1</v>
      </c>
      <c r="Z308" t="n">
        <v>1</v>
      </c>
      <c r="AA308" t="n">
        <v>2</v>
      </c>
      <c r="AB308" t="n">
        <v>7</v>
      </c>
      <c r="AC308" t="n">
        <v>1</v>
      </c>
      <c r="AD308" t="n">
        <v>1</v>
      </c>
      <c r="AE308" t="n">
        <v>0</v>
      </c>
      <c r="AF308" t="n">
        <v>90</v>
      </c>
      <c r="AG308" t="n">
        <v>84</v>
      </c>
      <c r="AH308" t="n">
        <v>-6</v>
      </c>
      <c r="AI308" t="n">
        <v>26</v>
      </c>
      <c r="AJ308" t="n">
        <v>0.038</v>
      </c>
      <c r="AK308" t="n">
        <v>0.04</v>
      </c>
      <c r="AL308" t="n">
        <v>43</v>
      </c>
      <c r="AM308" t="n">
        <v>6.85</v>
      </c>
      <c r="AN308" t="n">
        <v>1</v>
      </c>
      <c r="AO308" t="n">
        <v>2</v>
      </c>
      <c r="AP308" t="n">
        <v>0.2</v>
      </c>
      <c r="AQ308" t="n">
        <v>0.2</v>
      </c>
      <c r="AR308" t="n">
        <v>0</v>
      </c>
      <c r="AS308" t="n">
        <v>0.132</v>
      </c>
      <c r="AT308" t="n">
        <v>0.5</v>
      </c>
      <c r="AU308" t="n">
        <v>8</v>
      </c>
      <c r="AV308" t="n">
        <v>0</v>
      </c>
      <c r="AW308" t="n">
        <v>1.71</v>
      </c>
      <c r="AX308" t="n">
        <v>6</v>
      </c>
      <c r="AY308" t="n">
        <v>0.15</v>
      </c>
      <c r="AZ308" t="n">
        <v>0.21</v>
      </c>
      <c r="BA308" t="n">
        <v>0.18</v>
      </c>
      <c r="BB308" t="n">
        <v>0.21</v>
      </c>
      <c r="BC308" t="n">
        <v>0.024</v>
      </c>
      <c r="BD308" t="n">
        <v>0.033</v>
      </c>
      <c r="BE308" t="n">
        <v>0.029</v>
      </c>
      <c r="BF308" t="n">
        <v>0.1</v>
      </c>
      <c r="BG308" t="n">
        <v>0.016</v>
      </c>
      <c r="BH308" t="n">
        <v>0.994</v>
      </c>
      <c r="BI308" t="n">
        <v>0.15</v>
      </c>
      <c r="BJ308" t="n">
        <v>0.149</v>
      </c>
      <c r="BK308" t="n">
        <v>0.024</v>
      </c>
      <c r="BL308" t="n">
        <v>-0.18</v>
      </c>
      <c r="BM308" t="n">
        <v>-0.05</v>
      </c>
      <c r="BN308" t="n">
        <v>-0.1</v>
      </c>
      <c r="BO308" t="n">
        <v>-0.06</v>
      </c>
      <c r="BP308" t="n">
        <v>4</v>
      </c>
      <c r="BQ308" t="n">
        <v>1</v>
      </c>
      <c r="BS308" t="n">
        <v>9</v>
      </c>
      <c r="BT308" t="n">
        <v>1.434</v>
      </c>
      <c r="BW308" t="n">
        <v>0.13</v>
      </c>
      <c r="BX308" t="n">
        <v>0.106</v>
      </c>
      <c r="BY308" t="n">
        <v>0.118</v>
      </c>
      <c r="BZ308" t="n">
        <v>0.019</v>
      </c>
      <c r="CA308" t="n">
        <v>0.298</v>
      </c>
      <c r="CB308" t="n">
        <v>0.047</v>
      </c>
      <c r="CC308" t="n">
        <v>2</v>
      </c>
      <c r="CE308" t="n">
        <v>2</v>
      </c>
      <c r="CI308" t="n">
        <v>2.222</v>
      </c>
      <c r="CJ308" t="n">
        <v>2</v>
      </c>
      <c r="CK308" t="n">
        <v>37</v>
      </c>
      <c r="CL308" t="n">
        <v>10</v>
      </c>
      <c r="CM308" t="n">
        <v>6</v>
      </c>
      <c r="CN308" t="n">
        <v>5</v>
      </c>
      <c r="CO308" t="n">
        <v>6</v>
      </c>
      <c r="CP308" t="n">
        <v>30</v>
      </c>
      <c r="CQ308" t="n">
        <v>1</v>
      </c>
      <c r="CR308" t="n">
        <v>24</v>
      </c>
      <c r="CS308" t="n">
        <v>9</v>
      </c>
      <c r="CU308" t="n">
        <v>1</v>
      </c>
      <c r="CW308" t="n">
        <v>9.24</v>
      </c>
      <c r="CX308" t="n">
        <v>1.472</v>
      </c>
      <c r="CY308" t="n">
        <v>0</v>
      </c>
      <c r="DB308" t="n">
        <v>0</v>
      </c>
      <c r="DF308" t="n">
        <v>1</v>
      </c>
      <c r="DG308" t="n">
        <v>1</v>
      </c>
      <c r="DH308" t="n">
        <v>6</v>
      </c>
      <c r="DI308" t="n">
        <v>8</v>
      </c>
      <c r="DL308" t="n">
        <v>1</v>
      </c>
      <c r="DM308" t="n">
        <v>1</v>
      </c>
      <c r="DO308" t="n">
        <v>2.8</v>
      </c>
      <c r="DP308" t="n">
        <v>19.99</v>
      </c>
      <c r="DQ308" t="n">
        <v>10.24</v>
      </c>
      <c r="DR308" t="n">
        <v>20.48</v>
      </c>
      <c r="DS308" t="n">
        <v>-0.49</v>
      </c>
      <c r="DT308" t="n">
        <v>406</v>
      </c>
      <c r="DU308" t="n">
        <v>10.68</v>
      </c>
      <c r="DV308" t="inlineStr">
        <is>
          <t>flat</t>
        </is>
      </c>
      <c r="EF308" t="n">
        <v>141.2</v>
      </c>
      <c r="EG308" t="n">
        <v>62.8</v>
      </c>
      <c r="EH308" t="n">
        <v>282.5</v>
      </c>
      <c r="EI308" t="n">
        <v>3139.8</v>
      </c>
      <c r="EJ308" t="n">
        <v>4783.2</v>
      </c>
      <c r="EK308" t="n">
        <v>1895.5</v>
      </c>
      <c r="EL308" t="n">
        <v>21.7</v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n">
        <v>5.5</v>
      </c>
      <c r="F309" t="b">
        <v>1</v>
      </c>
      <c r="G309" t="b">
        <v>1</v>
      </c>
      <c r="H309" t="n">
        <v>24</v>
      </c>
      <c r="I309" t="inlineStr">
        <is>
          <t>a</t>
        </is>
      </c>
      <c r="L309" t="inlineStr">
        <is>
          <t>p476887</t>
        </is>
      </c>
      <c r="M309" t="n">
        <v>485</v>
      </c>
      <c r="Q309" t="n">
        <v>549</v>
      </c>
      <c r="R309" t="n">
        <v>14</v>
      </c>
      <c r="S309" t="n">
        <v>6</v>
      </c>
      <c r="T309" t="n">
        <v>6.1</v>
      </c>
      <c r="U309" t="n">
        <v>39.2</v>
      </c>
      <c r="V309" t="n">
        <v>26</v>
      </c>
      <c r="W309" t="n">
        <v>4.262</v>
      </c>
      <c r="X309" t="n">
        <v>0</v>
      </c>
      <c r="Y309" t="n">
        <v>2</v>
      </c>
      <c r="Z309" t="n">
        <v>2</v>
      </c>
      <c r="AA309" t="n">
        <v>2</v>
      </c>
      <c r="AB309" t="n">
        <v>10</v>
      </c>
      <c r="AC309" t="n">
        <v>1</v>
      </c>
      <c r="AD309" t="n">
        <v>1</v>
      </c>
      <c r="AE309" t="n">
        <v>0</v>
      </c>
      <c r="AF309" t="n">
        <v>100</v>
      </c>
      <c r="AG309" t="n">
        <v>100</v>
      </c>
      <c r="AH309" t="n">
        <v>0</v>
      </c>
      <c r="AI309" t="n">
        <v>26</v>
      </c>
      <c r="AJ309" t="n">
        <v>0.038</v>
      </c>
      <c r="AK309" t="n">
        <v>0.04</v>
      </c>
      <c r="AL309" t="n">
        <v>35</v>
      </c>
      <c r="AM309" t="n">
        <v>5.738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0.158</v>
      </c>
      <c r="AT309" t="n">
        <v>0.286</v>
      </c>
      <c r="AU309" t="n">
        <v>11</v>
      </c>
      <c r="AV309" t="n">
        <v>0</v>
      </c>
      <c r="AW309" t="n">
        <v>1.42</v>
      </c>
      <c r="AX309" t="n">
        <v>7</v>
      </c>
      <c r="AY309" t="n">
        <v>0.54</v>
      </c>
      <c r="AZ309" t="n">
        <v>0.764</v>
      </c>
      <c r="BA309" t="n">
        <v>0.652</v>
      </c>
      <c r="BB309" t="n">
        <v>0.764</v>
      </c>
      <c r="BC309" t="n">
        <v>0.089</v>
      </c>
      <c r="BD309" t="n">
        <v>0.125</v>
      </c>
      <c r="BE309" t="n">
        <v>0.107</v>
      </c>
      <c r="BF309" t="n">
        <v>0.2</v>
      </c>
      <c r="BG309" t="n">
        <v>0.033</v>
      </c>
      <c r="BH309" t="n">
        <v>0.96</v>
      </c>
      <c r="BI309" t="n">
        <v>0.54</v>
      </c>
      <c r="BJ309" t="n">
        <v>0.519</v>
      </c>
      <c r="BK309" t="n">
        <v>0.08500000000000001</v>
      </c>
      <c r="BL309" t="n">
        <v>-0.652</v>
      </c>
      <c r="BM309" t="n">
        <v>-0.34</v>
      </c>
      <c r="BN309" t="n">
        <v>-0.2</v>
      </c>
      <c r="BO309" t="n">
        <v>-0.224</v>
      </c>
      <c r="BP309" t="n">
        <v>9</v>
      </c>
      <c r="BQ309" t="n">
        <v>3</v>
      </c>
      <c r="BR309" t="n">
        <v>1</v>
      </c>
      <c r="BS309" t="n">
        <v>22</v>
      </c>
      <c r="BT309" t="n">
        <v>3.607</v>
      </c>
      <c r="BW309" t="n">
        <v>1.01</v>
      </c>
      <c r="BX309" t="n">
        <v>1.216</v>
      </c>
      <c r="BY309" t="n">
        <v>1.113</v>
      </c>
      <c r="BZ309" t="n">
        <v>0.182</v>
      </c>
      <c r="CA309" t="n">
        <v>1.765</v>
      </c>
      <c r="CB309" t="n">
        <v>0.289</v>
      </c>
      <c r="CC309" t="n">
        <v>11</v>
      </c>
      <c r="CD309" t="n">
        <v>2</v>
      </c>
      <c r="CE309" t="n">
        <v>11</v>
      </c>
      <c r="CF309" t="n">
        <v>8</v>
      </c>
      <c r="CG309" t="n">
        <v>1</v>
      </c>
      <c r="CH309" t="n">
        <v>12</v>
      </c>
      <c r="CI309" t="n">
        <v>2.936</v>
      </c>
      <c r="CJ309" t="n">
        <v>1.683</v>
      </c>
      <c r="CK309" t="n">
        <v>3</v>
      </c>
      <c r="CL309" t="n">
        <v>28</v>
      </c>
      <c r="CM309" t="n">
        <v>4</v>
      </c>
      <c r="CN309" t="n">
        <v>3</v>
      </c>
      <c r="CP309" t="n">
        <v>2</v>
      </c>
      <c r="CQ309" t="n">
        <v>1</v>
      </c>
      <c r="CR309" t="n">
        <v>27</v>
      </c>
      <c r="CS309" t="n">
        <v>1</v>
      </c>
      <c r="CW309" t="n">
        <v>10.94</v>
      </c>
      <c r="CX309" t="n">
        <v>1.793</v>
      </c>
      <c r="CY309" t="n">
        <v>0</v>
      </c>
      <c r="DB309" t="n">
        <v>0</v>
      </c>
      <c r="DF309" t="n">
        <v>1</v>
      </c>
      <c r="DG309" t="n">
        <v>0</v>
      </c>
      <c r="DH309" t="n">
        <v>9</v>
      </c>
      <c r="DI309" t="n">
        <v>14</v>
      </c>
      <c r="DL309" t="n">
        <v>8</v>
      </c>
      <c r="DM309" t="n">
        <v>5</v>
      </c>
      <c r="DO309" t="n">
        <v>0</v>
      </c>
      <c r="DP309" t="n">
        <v>23.06</v>
      </c>
      <c r="DQ309" t="n">
        <v>11.55</v>
      </c>
      <c r="DR309" t="n">
        <v>23.1</v>
      </c>
      <c r="DS309" t="n">
        <v>-0.04</v>
      </c>
      <c r="DT309" t="n">
        <v>164</v>
      </c>
      <c r="DU309" t="n">
        <v>4.32</v>
      </c>
      <c r="DV309" t="inlineStr">
        <is>
          <t>flat</t>
        </is>
      </c>
      <c r="EF309" t="n">
        <v>61</v>
      </c>
      <c r="EG309" t="n">
        <v>25</v>
      </c>
      <c r="EH309" t="n">
        <v>49.9</v>
      </c>
      <c r="EI309" t="n">
        <v>841.7</v>
      </c>
      <c r="EJ309" t="n">
        <v>493.2</v>
      </c>
      <c r="EK309" t="n">
        <v>311</v>
      </c>
      <c r="EL309" t="n">
        <v>21.1</v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n">
        <v>6</v>
      </c>
      <c r="F310" t="b">
        <v>1</v>
      </c>
      <c r="G310" t="b">
        <v>1</v>
      </c>
      <c r="H310" t="n">
        <v>22</v>
      </c>
      <c r="I310" t="inlineStr">
        <is>
          <t>a</t>
        </is>
      </c>
      <c r="L310" t="inlineStr">
        <is>
          <t>p463936</t>
        </is>
      </c>
      <c r="M310" t="n">
        <v>158</v>
      </c>
      <c r="Q310" t="n">
        <v>486</v>
      </c>
      <c r="R310" t="n">
        <v>16</v>
      </c>
      <c r="S310" t="n">
        <v>5</v>
      </c>
      <c r="T310" t="n">
        <v>5.4</v>
      </c>
      <c r="U310" t="n">
        <v>30.4</v>
      </c>
      <c r="V310" t="n">
        <v>25</v>
      </c>
      <c r="W310" t="n">
        <v>4.63</v>
      </c>
      <c r="X310" t="n">
        <v>0</v>
      </c>
      <c r="Y310" t="n">
        <v>2</v>
      </c>
      <c r="Z310" t="n">
        <v>2</v>
      </c>
      <c r="AA310" t="n">
        <v>1</v>
      </c>
      <c r="AB310" t="n">
        <v>7</v>
      </c>
      <c r="AC310" t="n">
        <v>0</v>
      </c>
      <c r="AD310" t="n">
        <v>0</v>
      </c>
      <c r="AE310" t="n">
        <v>0</v>
      </c>
      <c r="AF310" t="n">
        <v>99</v>
      </c>
      <c r="AG310" t="n">
        <v>98</v>
      </c>
      <c r="AH310" t="n">
        <v>-1</v>
      </c>
      <c r="AI310" t="n">
        <v>25</v>
      </c>
      <c r="AJ310" t="n">
        <v>0</v>
      </c>
      <c r="AK310" t="n">
        <v>0</v>
      </c>
      <c r="AL310" t="n">
        <v>29</v>
      </c>
      <c r="AM310" t="n">
        <v>5.37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0.132</v>
      </c>
      <c r="AT310" t="n">
        <v>0.125</v>
      </c>
      <c r="AU310" t="n">
        <v>14</v>
      </c>
      <c r="AV310" t="n">
        <v>0</v>
      </c>
      <c r="AW310" t="n">
        <v>1.26</v>
      </c>
      <c r="AX310" t="n">
        <v>6</v>
      </c>
      <c r="AY310" t="n">
        <v>0.8100000000000001</v>
      </c>
      <c r="AZ310" t="n">
        <v>0.892</v>
      </c>
      <c r="BA310" t="n">
        <v>0.851</v>
      </c>
      <c r="BB310" t="n">
        <v>0.892</v>
      </c>
      <c r="BC310" t="n">
        <v>0.15</v>
      </c>
      <c r="BD310" t="n">
        <v>0.165</v>
      </c>
      <c r="BE310" t="n">
        <v>0.158</v>
      </c>
      <c r="BF310" t="n">
        <v>0.1</v>
      </c>
      <c r="BG310" t="n">
        <v>0.019</v>
      </c>
      <c r="BH310" t="n">
        <v>0.919</v>
      </c>
      <c r="BI310" t="n">
        <v>0.8100000000000001</v>
      </c>
      <c r="BJ310" t="n">
        <v>0.745</v>
      </c>
      <c r="BK310" t="n">
        <v>0.138</v>
      </c>
      <c r="BL310" t="n">
        <v>-0.851</v>
      </c>
      <c r="BM310" t="n">
        <v>-0.71</v>
      </c>
      <c r="BN310" t="n">
        <v>-0.1</v>
      </c>
      <c r="BO310" t="n">
        <v>-0.082</v>
      </c>
      <c r="BP310" t="n">
        <v>10</v>
      </c>
      <c r="BQ310" t="n">
        <v>2</v>
      </c>
      <c r="BR310" t="n">
        <v>1</v>
      </c>
      <c r="BS310" t="n">
        <v>28</v>
      </c>
      <c r="BT310" t="n">
        <v>5.185</v>
      </c>
      <c r="BW310" t="n">
        <v>0.9399999999999999</v>
      </c>
      <c r="BX310" t="n">
        <v>0.978</v>
      </c>
      <c r="BY310" t="n">
        <v>0.959</v>
      </c>
      <c r="BZ310" t="n">
        <v>0.178</v>
      </c>
      <c r="CA310" t="n">
        <v>1.81</v>
      </c>
      <c r="CB310" t="n">
        <v>0.335</v>
      </c>
      <c r="CC310" t="n">
        <v>9</v>
      </c>
      <c r="CD310" t="n">
        <v>2</v>
      </c>
      <c r="CE310" t="n">
        <v>9</v>
      </c>
      <c r="CF310" t="n">
        <v>3</v>
      </c>
      <c r="CG310" t="n">
        <v>1</v>
      </c>
      <c r="CI310" t="n">
        <v>2.936</v>
      </c>
      <c r="CJ310" t="n">
        <v>1.31</v>
      </c>
      <c r="CK310" t="n">
        <v>6</v>
      </c>
      <c r="CL310" t="n">
        <v>15</v>
      </c>
      <c r="CM310" t="n">
        <v>8</v>
      </c>
      <c r="CN310" t="n">
        <v>3</v>
      </c>
      <c r="CO310" t="n">
        <v>2</v>
      </c>
      <c r="CP310" t="n">
        <v>3</v>
      </c>
      <c r="CQ310" t="n">
        <v>1</v>
      </c>
      <c r="CR310" t="n">
        <v>32</v>
      </c>
      <c r="CS310" t="n">
        <v>3</v>
      </c>
      <c r="CW310" t="n">
        <v>8.890000000000001</v>
      </c>
      <c r="CX310" t="n">
        <v>1.646</v>
      </c>
      <c r="CY310" t="n">
        <v>0</v>
      </c>
      <c r="DB310" t="n">
        <v>0</v>
      </c>
      <c r="DF310" t="n">
        <v>0</v>
      </c>
      <c r="DG310" t="n">
        <v>0</v>
      </c>
      <c r="DH310" t="n">
        <v>6</v>
      </c>
      <c r="DI310" t="n">
        <v>8</v>
      </c>
      <c r="DL310" t="n">
        <v>13</v>
      </c>
      <c r="DM310" t="n">
        <v>4</v>
      </c>
      <c r="DN310" t="n">
        <v>2</v>
      </c>
      <c r="DO310" t="n">
        <v>0.1</v>
      </c>
      <c r="DP310" t="n">
        <v>23.7</v>
      </c>
      <c r="DQ310" t="n">
        <v>11.86</v>
      </c>
      <c r="DR310" t="n">
        <v>23.72</v>
      </c>
      <c r="DS310" t="n">
        <v>-0.02</v>
      </c>
      <c r="DT310" t="n">
        <v>464</v>
      </c>
      <c r="DU310" t="n">
        <v>12.21</v>
      </c>
      <c r="DV310" t="inlineStr">
        <is>
          <t>flat</t>
        </is>
      </c>
      <c r="DW310" t="n">
        <v>70.01000000000001</v>
      </c>
      <c r="DY310" t="n">
        <v>37.98</v>
      </c>
      <c r="DZ310" t="n">
        <v>32</v>
      </c>
      <c r="EA310" t="n">
        <v>102.86</v>
      </c>
      <c r="EB310" t="n">
        <v>4</v>
      </c>
      <c r="EC310" t="n">
        <v>1.9</v>
      </c>
      <c r="ED310" t="n">
        <v>0</v>
      </c>
      <c r="EE310" t="n">
        <v>104</v>
      </c>
      <c r="EF310" t="n">
        <v>48.6</v>
      </c>
      <c r="EG310" t="n">
        <v>17.4</v>
      </c>
      <c r="EH310" t="n">
        <v>54</v>
      </c>
      <c r="EI310" t="n">
        <v>570.9</v>
      </c>
      <c r="EJ310" t="n">
        <v>506.7</v>
      </c>
      <c r="EK310" t="n">
        <v>268.5</v>
      </c>
      <c r="EL310" t="n">
        <v>19.4</v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n">
        <v>4.5</v>
      </c>
      <c r="F311" t="b">
        <v>1</v>
      </c>
      <c r="G311" t="b">
        <v>1</v>
      </c>
      <c r="H311" t="n">
        <v>27.4</v>
      </c>
      <c r="I311" t="inlineStr">
        <is>
          <t>a</t>
        </is>
      </c>
      <c r="L311" t="inlineStr">
        <is>
          <t>p437738</t>
        </is>
      </c>
      <c r="M311" t="n">
        <v>333</v>
      </c>
      <c r="Q311" t="n">
        <v>429</v>
      </c>
      <c r="R311" t="n">
        <v>12</v>
      </c>
      <c r="S311" t="n">
        <v>5</v>
      </c>
      <c r="T311" t="n">
        <v>4.767</v>
      </c>
      <c r="U311" t="n">
        <v>35.8</v>
      </c>
      <c r="V311" t="n">
        <v>25</v>
      </c>
      <c r="W311" t="n">
        <v>5.245</v>
      </c>
      <c r="X311" t="n">
        <v>0</v>
      </c>
      <c r="Y311" t="n">
        <v>0</v>
      </c>
      <c r="AA311" t="n">
        <v>2</v>
      </c>
      <c r="AB311" t="n">
        <v>5</v>
      </c>
      <c r="AC311" t="n">
        <v>0</v>
      </c>
      <c r="AD311" t="n">
        <v>0</v>
      </c>
      <c r="AE311" t="n">
        <v>0</v>
      </c>
      <c r="AF311" t="n">
        <v>73</v>
      </c>
      <c r="AG311" t="n">
        <v>65</v>
      </c>
      <c r="AH311" t="n">
        <v>-8</v>
      </c>
      <c r="AI311" t="n">
        <v>25</v>
      </c>
      <c r="AJ311" t="n">
        <v>0</v>
      </c>
      <c r="AK311" t="n">
        <v>0</v>
      </c>
      <c r="AL311" t="n">
        <v>49</v>
      </c>
      <c r="AM311" t="n">
        <v>10.28</v>
      </c>
      <c r="AN311" t="n">
        <v>1</v>
      </c>
      <c r="AO311" t="n">
        <v>2</v>
      </c>
      <c r="AP311" t="n">
        <v>0.2</v>
      </c>
      <c r="AQ311" t="n">
        <v>0.2</v>
      </c>
      <c r="AR311" t="n">
        <v>0.2</v>
      </c>
      <c r="AS311" t="n">
        <v>0.132</v>
      </c>
      <c r="AT311" t="n">
        <v>0.333</v>
      </c>
      <c r="AU311" t="n">
        <v>9</v>
      </c>
      <c r="AV311" t="n">
        <v>0</v>
      </c>
      <c r="AW311" t="n">
        <v>1.49</v>
      </c>
      <c r="AX311" t="n">
        <v>6</v>
      </c>
      <c r="AY311" t="n">
        <v>0.2</v>
      </c>
      <c r="AZ311" t="n">
        <v>0.132</v>
      </c>
      <c r="BA311" t="n">
        <v>0.166</v>
      </c>
      <c r="BB311" t="n">
        <v>0.132</v>
      </c>
      <c r="BC311" t="n">
        <v>0.042</v>
      </c>
      <c r="BD311" t="n">
        <v>0.028</v>
      </c>
      <c r="BE311" t="n">
        <v>0.035</v>
      </c>
      <c r="BH311" t="n">
        <v>0.976</v>
      </c>
      <c r="BI311" t="n">
        <v>0.2</v>
      </c>
      <c r="BJ311" t="n">
        <v>0.195</v>
      </c>
      <c r="BK311" t="n">
        <v>0.041</v>
      </c>
      <c r="BL311" t="n">
        <v>-0.166</v>
      </c>
      <c r="BO311" t="n">
        <v>0.068</v>
      </c>
      <c r="BP311" t="n">
        <v>1</v>
      </c>
      <c r="BS311" t="n">
        <v>7</v>
      </c>
      <c r="BT311" t="n">
        <v>1.469</v>
      </c>
      <c r="BW311" t="n">
        <v>0.01</v>
      </c>
      <c r="BX311" t="n">
        <v>0</v>
      </c>
      <c r="BY311" t="n">
        <v>0.005</v>
      </c>
      <c r="BZ311" t="n">
        <v>0.001</v>
      </c>
      <c r="CA311" t="n">
        <v>0.171</v>
      </c>
      <c r="CB311" t="n">
        <v>0.036</v>
      </c>
      <c r="CC311" t="n">
        <v>0</v>
      </c>
      <c r="CF311" t="n">
        <v>1</v>
      </c>
      <c r="CI311" t="n">
        <v>0.492</v>
      </c>
      <c r="CJ311" t="n">
        <v>0.492</v>
      </c>
      <c r="CK311" t="n">
        <v>41</v>
      </c>
      <c r="CL311" t="n">
        <v>13</v>
      </c>
      <c r="CM311" t="n">
        <v>8</v>
      </c>
      <c r="CN311" t="n">
        <v>4</v>
      </c>
      <c r="CO311" t="n">
        <v>5</v>
      </c>
      <c r="CP311" t="n">
        <v>30</v>
      </c>
      <c r="CQ311" t="n">
        <v>6</v>
      </c>
      <c r="CR311" t="n">
        <v>20</v>
      </c>
      <c r="CS311" t="n">
        <v>11</v>
      </c>
      <c r="CW311" t="n">
        <v>8.710000000000001</v>
      </c>
      <c r="CX311" t="n">
        <v>1.827</v>
      </c>
      <c r="CY311" t="n">
        <v>0</v>
      </c>
      <c r="DB311" t="n">
        <v>0</v>
      </c>
      <c r="DF311" t="n">
        <v>1</v>
      </c>
      <c r="DG311" t="n">
        <v>0</v>
      </c>
      <c r="DH311" t="n">
        <v>7</v>
      </c>
      <c r="DL311" t="n">
        <v>1</v>
      </c>
      <c r="DM311" t="n">
        <v>1</v>
      </c>
      <c r="DN311" t="n">
        <v>1</v>
      </c>
      <c r="DO311" t="n">
        <v>0</v>
      </c>
      <c r="DP311" t="n">
        <v>18.24</v>
      </c>
      <c r="DQ311" t="n">
        <v>9.16</v>
      </c>
      <c r="DR311" t="n">
        <v>18.32</v>
      </c>
      <c r="DS311" t="n">
        <v>-0.08</v>
      </c>
      <c r="DT311" t="n">
        <v>345</v>
      </c>
      <c r="DU311" t="n">
        <v>9.08</v>
      </c>
      <c r="DV311" t="inlineStr">
        <is>
          <t>flat</t>
        </is>
      </c>
      <c r="EF311" t="n">
        <v>429</v>
      </c>
      <c r="EG311" t="n">
        <v>61.3</v>
      </c>
      <c r="EI311" t="n">
        <v>2587</v>
      </c>
      <c r="EJ311" t="n">
        <v>85800</v>
      </c>
      <c r="EK311" t="n">
        <v>2511.2</v>
      </c>
      <c r="EL311" t="n">
        <v>17.2</v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n">
        <v>6</v>
      </c>
      <c r="F312" t="b">
        <v>1</v>
      </c>
      <c r="G312" t="b">
        <v>1</v>
      </c>
      <c r="H312" t="n">
        <v>29.4</v>
      </c>
      <c r="I312" t="inlineStr">
        <is>
          <t>a</t>
        </is>
      </c>
      <c r="L312" t="inlineStr">
        <is>
          <t>p205651</t>
        </is>
      </c>
      <c r="M312" t="n">
        <v>27</v>
      </c>
      <c r="Q312" t="n">
        <v>418</v>
      </c>
      <c r="R312" t="n">
        <v>14</v>
      </c>
      <c r="S312" t="n">
        <v>3</v>
      </c>
      <c r="T312" t="n">
        <v>4.644</v>
      </c>
      <c r="U312" t="n">
        <v>29.9</v>
      </c>
      <c r="V312" t="n">
        <v>24</v>
      </c>
      <c r="W312" t="n">
        <v>5.167</v>
      </c>
      <c r="X312" t="n">
        <v>3</v>
      </c>
      <c r="Y312" t="n">
        <v>0</v>
      </c>
      <c r="AA312" t="n">
        <v>1</v>
      </c>
      <c r="AB312" t="n">
        <v>6</v>
      </c>
      <c r="AC312" t="n">
        <v>0</v>
      </c>
      <c r="AD312" t="n">
        <v>0</v>
      </c>
      <c r="AE312" t="n">
        <v>0</v>
      </c>
      <c r="AF312" t="n">
        <v>92</v>
      </c>
      <c r="AG312" t="n">
        <v>90</v>
      </c>
      <c r="AH312" t="n">
        <v>-2</v>
      </c>
      <c r="AI312" t="n">
        <v>24</v>
      </c>
      <c r="AJ312" t="n">
        <v>0</v>
      </c>
      <c r="AK312" t="n">
        <v>0</v>
      </c>
      <c r="AL312" t="n">
        <v>30</v>
      </c>
      <c r="AM312" t="n">
        <v>6.459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0.079</v>
      </c>
      <c r="AT312" t="n">
        <v>0.07099999999999999</v>
      </c>
      <c r="AU312" t="n">
        <v>11</v>
      </c>
      <c r="AV312" t="n">
        <v>0</v>
      </c>
      <c r="AW312" t="n">
        <v>1.28</v>
      </c>
      <c r="AX312" t="n">
        <v>5</v>
      </c>
      <c r="AY312" t="n">
        <v>2.71</v>
      </c>
      <c r="AZ312" t="n">
        <v>3.976</v>
      </c>
      <c r="BA312" t="n">
        <v>3.343</v>
      </c>
      <c r="BB312" t="n">
        <v>3.976</v>
      </c>
      <c r="BC312" t="n">
        <v>0.583</v>
      </c>
      <c r="BD312" t="n">
        <v>0.856</v>
      </c>
      <c r="BE312" t="n">
        <v>0.72</v>
      </c>
      <c r="BF312" t="n">
        <v>2.5</v>
      </c>
      <c r="BG312" t="n">
        <v>0.538</v>
      </c>
      <c r="BH312" t="n">
        <v>0.872</v>
      </c>
      <c r="BI312" t="n">
        <v>26.27</v>
      </c>
      <c r="BJ312" t="n">
        <v>2.364</v>
      </c>
      <c r="BK312" t="n">
        <v>0.509</v>
      </c>
      <c r="BL312" t="n">
        <v>-0.343</v>
      </c>
      <c r="BM312" t="n">
        <v>-0.21</v>
      </c>
      <c r="BN312" t="n">
        <v>0.5</v>
      </c>
      <c r="BO312" t="n">
        <v>-1.266</v>
      </c>
      <c r="BP312" t="n">
        <v>19</v>
      </c>
      <c r="BQ312" t="n">
        <v>12</v>
      </c>
      <c r="BR312" t="n">
        <v>6</v>
      </c>
      <c r="BS312" t="n">
        <v>42</v>
      </c>
      <c r="BT312" t="n">
        <v>9.042999999999999</v>
      </c>
      <c r="BV312" t="n">
        <v>0</v>
      </c>
      <c r="BW312" t="n">
        <v>0.26</v>
      </c>
      <c r="BX312" t="n">
        <v>0.209</v>
      </c>
      <c r="BY312" t="n">
        <v>0.234</v>
      </c>
      <c r="BZ312" t="n">
        <v>0.05</v>
      </c>
      <c r="CA312" t="n">
        <v>3.578</v>
      </c>
      <c r="CB312" t="n">
        <v>0.77</v>
      </c>
      <c r="CC312" t="n">
        <v>3</v>
      </c>
      <c r="CE312" t="n">
        <v>3</v>
      </c>
      <c r="CI312" t="n">
        <v>4.364</v>
      </c>
      <c r="CJ312" t="n">
        <v>1.269</v>
      </c>
      <c r="CK312" t="n">
        <v>7</v>
      </c>
      <c r="CL312" t="n">
        <v>19</v>
      </c>
      <c r="CM312" t="n">
        <v>4</v>
      </c>
      <c r="CO312" t="n">
        <v>3</v>
      </c>
      <c r="CP312" t="n">
        <v>5</v>
      </c>
      <c r="CR312" t="n">
        <v>23</v>
      </c>
      <c r="CS312" t="n">
        <v>10</v>
      </c>
      <c r="CW312" t="n">
        <v>3.97</v>
      </c>
      <c r="CX312" t="n">
        <v>0.855</v>
      </c>
      <c r="CY312" t="n">
        <v>0</v>
      </c>
      <c r="DB312" t="n">
        <v>0</v>
      </c>
      <c r="DF312" t="n">
        <v>3</v>
      </c>
      <c r="DG312" t="n">
        <v>0</v>
      </c>
      <c r="DH312" t="n">
        <v>9</v>
      </c>
      <c r="DI312" t="n">
        <v>1</v>
      </c>
      <c r="DL312" t="n">
        <v>8</v>
      </c>
      <c r="DM312" t="n">
        <v>11</v>
      </c>
      <c r="DN312" t="n">
        <v>7</v>
      </c>
      <c r="DO312" t="n">
        <v>0.4</v>
      </c>
      <c r="DP312" t="n">
        <v>17.96</v>
      </c>
      <c r="DQ312" t="n">
        <v>9</v>
      </c>
      <c r="DR312" t="n">
        <v>18</v>
      </c>
      <c r="DS312" t="n">
        <v>-0.04</v>
      </c>
      <c r="DT312" t="n">
        <v>86</v>
      </c>
      <c r="DU312" t="n">
        <v>2.25</v>
      </c>
      <c r="DV312" t="inlineStr">
        <is>
          <t>flat</t>
        </is>
      </c>
      <c r="DW312" t="n">
        <v>72.28</v>
      </c>
      <c r="DX312" t="n">
        <v>64.29000000000001</v>
      </c>
      <c r="DY312" t="n">
        <v>30.34</v>
      </c>
      <c r="DZ312" t="n">
        <v>6</v>
      </c>
      <c r="EA312" t="n">
        <v>116</v>
      </c>
      <c r="EB312" t="n">
        <v>25</v>
      </c>
      <c r="EC312" t="n">
        <v>12</v>
      </c>
      <c r="ED312" t="n">
        <v>30.6</v>
      </c>
      <c r="EE312" t="n">
        <v>105</v>
      </c>
      <c r="EF312" t="n">
        <v>22</v>
      </c>
      <c r="EG312" t="n">
        <v>10</v>
      </c>
      <c r="EH312" t="n">
        <v>139.3</v>
      </c>
      <c r="EI312" t="n">
        <v>125</v>
      </c>
      <c r="EJ312" t="n">
        <v>1784.1</v>
      </c>
      <c r="EK312" t="n">
        <v>116.8</v>
      </c>
      <c r="EL312" t="n">
        <v>17.4</v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n">
        <v>5</v>
      </c>
      <c r="F313" t="b">
        <v>1</v>
      </c>
      <c r="G313" t="b">
        <v>1</v>
      </c>
      <c r="H313" t="n">
        <v>28.8</v>
      </c>
      <c r="I313" t="inlineStr">
        <is>
          <t>a</t>
        </is>
      </c>
      <c r="L313" t="inlineStr">
        <is>
          <t>p200617</t>
        </is>
      </c>
      <c r="M313" t="n">
        <v>343</v>
      </c>
      <c r="Q313" t="n">
        <v>547</v>
      </c>
      <c r="R313" t="n">
        <v>19</v>
      </c>
      <c r="S313" t="n">
        <v>6</v>
      </c>
      <c r="T313" t="n">
        <v>6.078</v>
      </c>
      <c r="U313" t="n">
        <v>28.8</v>
      </c>
      <c r="V313" t="n">
        <v>23</v>
      </c>
      <c r="W313" t="n">
        <v>3.784</v>
      </c>
      <c r="X313" t="n">
        <v>0</v>
      </c>
      <c r="Y313" t="n">
        <v>0</v>
      </c>
      <c r="AA313" t="n">
        <v>1</v>
      </c>
      <c r="AB313" t="n">
        <v>16</v>
      </c>
      <c r="AC313" t="n">
        <v>0</v>
      </c>
      <c r="AD313" t="n">
        <v>0</v>
      </c>
      <c r="AE313" t="n">
        <v>0</v>
      </c>
      <c r="AF313" t="n">
        <v>93</v>
      </c>
      <c r="AG313" t="n">
        <v>91</v>
      </c>
      <c r="AH313" t="n">
        <v>-2</v>
      </c>
      <c r="AI313" t="n">
        <v>23</v>
      </c>
      <c r="AJ313" t="n">
        <v>0</v>
      </c>
      <c r="AK313" t="n">
        <v>0</v>
      </c>
      <c r="AL313" t="n">
        <v>35</v>
      </c>
      <c r="AM313" t="n">
        <v>5.759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0.158</v>
      </c>
      <c r="AT313" t="n">
        <v>0.158</v>
      </c>
      <c r="AU313" t="n">
        <v>18</v>
      </c>
      <c r="AV313" t="n">
        <v>0</v>
      </c>
      <c r="AW313" t="n">
        <v>0.72</v>
      </c>
      <c r="AX313" t="n">
        <v>3</v>
      </c>
      <c r="AY313" t="n">
        <v>0.91</v>
      </c>
      <c r="AZ313" t="n">
        <v>0.8</v>
      </c>
      <c r="BA313" t="n">
        <v>0.855</v>
      </c>
      <c r="BB313" t="n">
        <v>0.8</v>
      </c>
      <c r="BC313" t="n">
        <v>0.15</v>
      </c>
      <c r="BD313" t="n">
        <v>0.132</v>
      </c>
      <c r="BE313" t="n">
        <v>0.141</v>
      </c>
      <c r="BF313" t="n">
        <v>0.5</v>
      </c>
      <c r="BG313" t="n">
        <v>0.082</v>
      </c>
      <c r="BH313" t="n">
        <v>0.979</v>
      </c>
      <c r="BI313" t="n">
        <v>2.93</v>
      </c>
      <c r="BJ313" t="n">
        <v>0.891</v>
      </c>
      <c r="BK313" t="n">
        <v>0.147</v>
      </c>
      <c r="BL313" t="n">
        <v>-0.855</v>
      </c>
      <c r="BM313" t="n">
        <v>-0.41</v>
      </c>
      <c r="BN313" t="n">
        <v>-0.5</v>
      </c>
      <c r="BO313" t="n">
        <v>0.11</v>
      </c>
      <c r="BP313" t="n">
        <v>14</v>
      </c>
      <c r="BQ313" t="n">
        <v>3</v>
      </c>
      <c r="BR313" t="n">
        <v>2</v>
      </c>
      <c r="BS313" t="n">
        <v>28</v>
      </c>
      <c r="BT313" t="n">
        <v>4.607</v>
      </c>
      <c r="BW313" t="n">
        <v>0.71</v>
      </c>
      <c r="BX313" t="n">
        <v>0.49</v>
      </c>
      <c r="BY313" t="n">
        <v>0.6</v>
      </c>
      <c r="BZ313" t="n">
        <v>0.099</v>
      </c>
      <c r="CA313" t="n">
        <v>1.455</v>
      </c>
      <c r="CB313" t="n">
        <v>0.239</v>
      </c>
      <c r="CC313" t="n">
        <v>9</v>
      </c>
      <c r="CD313" t="n">
        <v>1</v>
      </c>
      <c r="CE313" t="n">
        <v>9</v>
      </c>
      <c r="CF313" t="n">
        <v>7</v>
      </c>
      <c r="CG313" t="n">
        <v>1</v>
      </c>
      <c r="CH313" t="n">
        <v>1</v>
      </c>
      <c r="CI313" t="n">
        <v>1.58</v>
      </c>
      <c r="CJ313" t="n">
        <v>0.327</v>
      </c>
      <c r="CK313" t="n">
        <v>9</v>
      </c>
      <c r="CL313" t="n">
        <v>19</v>
      </c>
      <c r="CM313" t="n">
        <v>7</v>
      </c>
      <c r="CN313" t="n">
        <v>4</v>
      </c>
      <c r="CO313" t="n">
        <v>1</v>
      </c>
      <c r="CP313" t="n">
        <v>8</v>
      </c>
      <c r="CR313" t="n">
        <v>28</v>
      </c>
      <c r="CS313" t="n">
        <v>7</v>
      </c>
      <c r="CT313" t="n">
        <v>0.5</v>
      </c>
      <c r="CW313" t="n">
        <v>14.39</v>
      </c>
      <c r="CX313" t="n">
        <v>2.368</v>
      </c>
      <c r="CY313" t="n">
        <v>0</v>
      </c>
      <c r="DB313" t="n">
        <v>0</v>
      </c>
      <c r="DF313" t="n">
        <v>0</v>
      </c>
      <c r="DG313" t="n">
        <v>0</v>
      </c>
      <c r="DH313" t="n">
        <v>1</v>
      </c>
      <c r="DI313" t="n">
        <v>8</v>
      </c>
      <c r="DL313" t="n">
        <v>6</v>
      </c>
      <c r="DM313" t="n">
        <v>4</v>
      </c>
      <c r="DN313" t="n">
        <v>1</v>
      </c>
      <c r="DO313" t="n">
        <v>0.1</v>
      </c>
      <c r="DP313" t="n">
        <v>35.54</v>
      </c>
      <c r="DQ313" t="n">
        <v>17.84</v>
      </c>
      <c r="DR313" t="n">
        <v>35.68</v>
      </c>
      <c r="DS313" t="n">
        <v>-0.14</v>
      </c>
      <c r="DT313" t="n">
        <v>429</v>
      </c>
      <c r="DU313" t="n">
        <v>11.29</v>
      </c>
      <c r="DV313" t="inlineStr">
        <is>
          <t>flat</t>
        </is>
      </c>
      <c r="EF313" t="n">
        <v>39.1</v>
      </c>
      <c r="EG313" t="n">
        <v>19.5</v>
      </c>
      <c r="EH313" t="n">
        <v>60.8</v>
      </c>
      <c r="EI313" t="n">
        <v>639.8</v>
      </c>
      <c r="EJ313" t="n">
        <v>912</v>
      </c>
      <c r="EK313" t="n">
        <v>376</v>
      </c>
      <c r="EL313" t="n">
        <v>23.8</v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n">
        <v>5.5</v>
      </c>
      <c r="F314" t="b">
        <v>1</v>
      </c>
      <c r="G314" t="b">
        <v>1</v>
      </c>
      <c r="H314" t="n">
        <v>27.2</v>
      </c>
      <c r="I314" t="inlineStr">
        <is>
          <t>a</t>
        </is>
      </c>
      <c r="L314" t="inlineStr">
        <is>
          <t>p205533</t>
        </is>
      </c>
      <c r="M314" t="n">
        <v>224</v>
      </c>
      <c r="Q314" t="n">
        <v>414</v>
      </c>
      <c r="R314" t="n">
        <v>12</v>
      </c>
      <c r="S314" t="n">
        <v>2</v>
      </c>
      <c r="T314" t="n">
        <v>4.6</v>
      </c>
      <c r="U314" t="n">
        <v>34.5</v>
      </c>
      <c r="V314" t="n">
        <v>23</v>
      </c>
      <c r="W314" t="n">
        <v>5</v>
      </c>
      <c r="X314" t="n">
        <v>2</v>
      </c>
      <c r="Y314" t="n">
        <v>0</v>
      </c>
      <c r="AA314" t="n">
        <v>0</v>
      </c>
      <c r="AB314" t="n">
        <v>12</v>
      </c>
      <c r="AC314" t="n">
        <v>3</v>
      </c>
      <c r="AD314" t="n">
        <v>3</v>
      </c>
      <c r="AE314" t="n">
        <v>0</v>
      </c>
      <c r="AF314" t="n">
        <v>100</v>
      </c>
      <c r="AG314" t="n">
        <v>98</v>
      </c>
      <c r="AH314" t="n">
        <v>-2</v>
      </c>
      <c r="AI314" t="n">
        <v>23</v>
      </c>
      <c r="AJ314" t="n">
        <v>0.13</v>
      </c>
      <c r="AK314" t="n">
        <v>0.15</v>
      </c>
      <c r="AL314" t="n">
        <v>38</v>
      </c>
      <c r="AM314" t="n">
        <v>8.260999999999999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0.053</v>
      </c>
      <c r="AT314" t="n">
        <v>0.167</v>
      </c>
      <c r="AU314" t="n">
        <v>10</v>
      </c>
      <c r="AV314" t="n">
        <v>0</v>
      </c>
      <c r="AW314" t="n">
        <v>1.6</v>
      </c>
      <c r="AX314" t="n">
        <v>9</v>
      </c>
      <c r="AY314" t="n">
        <v>1.77</v>
      </c>
      <c r="AZ314" t="n">
        <v>1.943</v>
      </c>
      <c r="BA314" t="n">
        <v>1.856</v>
      </c>
      <c r="BB314" t="n">
        <v>1.943</v>
      </c>
      <c r="BC314" t="n">
        <v>0.385</v>
      </c>
      <c r="BD314" t="n">
        <v>0.422</v>
      </c>
      <c r="BE314" t="n">
        <v>0.404</v>
      </c>
      <c r="BF314" t="n">
        <v>2.6</v>
      </c>
      <c r="BG314" t="n">
        <v>0.5649999999999999</v>
      </c>
      <c r="BH314" t="n">
        <v>0.871</v>
      </c>
      <c r="BI314" t="n">
        <v>20.25</v>
      </c>
      <c r="BJ314" t="n">
        <v>1.541</v>
      </c>
      <c r="BK314" t="n">
        <v>0.335</v>
      </c>
      <c r="BL314" t="n">
        <v>0.144</v>
      </c>
      <c r="BM314" t="n">
        <v>0.83</v>
      </c>
      <c r="BN314" t="n">
        <v>-0.6</v>
      </c>
      <c r="BO314" t="n">
        <v>-0.173</v>
      </c>
      <c r="BP314" t="n">
        <v>15</v>
      </c>
      <c r="BQ314" t="n">
        <v>6</v>
      </c>
      <c r="BR314" t="n">
        <v>1</v>
      </c>
      <c r="BS314" t="n">
        <v>26</v>
      </c>
      <c r="BT314" t="n">
        <v>5.652</v>
      </c>
      <c r="BW314" t="n">
        <v>0.46</v>
      </c>
      <c r="BX314" t="n">
        <v>0.961</v>
      </c>
      <c r="BY314" t="n">
        <v>0.71</v>
      </c>
      <c r="BZ314" t="n">
        <v>0.154</v>
      </c>
      <c r="CA314" t="n">
        <v>2.567</v>
      </c>
      <c r="CB314" t="n">
        <v>0.5580000000000001</v>
      </c>
      <c r="CC314" t="n">
        <v>7</v>
      </c>
      <c r="CD314" t="n">
        <v>1</v>
      </c>
      <c r="CE314" t="n">
        <v>7</v>
      </c>
      <c r="CG314" t="n">
        <v>1</v>
      </c>
      <c r="CI314" t="n">
        <v>2.896</v>
      </c>
      <c r="CJ314" t="n">
        <v>0.149</v>
      </c>
      <c r="CK314" t="n">
        <v>13</v>
      </c>
      <c r="CL314" t="n">
        <v>17</v>
      </c>
      <c r="CM314" t="n">
        <v>8</v>
      </c>
      <c r="CN314" t="n">
        <v>6</v>
      </c>
      <c r="CO314" t="n">
        <v>2</v>
      </c>
      <c r="CP314" t="n">
        <v>10</v>
      </c>
      <c r="CQ314" t="n">
        <v>1</v>
      </c>
      <c r="CR314" t="n">
        <v>28</v>
      </c>
      <c r="CS314" t="n">
        <v>8</v>
      </c>
      <c r="CW314" t="n">
        <v>9.49</v>
      </c>
      <c r="CX314" t="n">
        <v>2.063</v>
      </c>
      <c r="CY314" t="n">
        <v>0</v>
      </c>
      <c r="DB314" t="n">
        <v>0</v>
      </c>
      <c r="DF314" t="n">
        <v>2</v>
      </c>
      <c r="DG314" t="n">
        <v>0</v>
      </c>
      <c r="DH314" t="n">
        <v>7</v>
      </c>
      <c r="DI314" t="n">
        <v>7</v>
      </c>
      <c r="DL314" t="n">
        <v>5</v>
      </c>
      <c r="DM314" t="n">
        <v>11</v>
      </c>
      <c r="DN314" t="n">
        <v>3</v>
      </c>
      <c r="DO314" t="n">
        <v>0.5</v>
      </c>
      <c r="DP314" t="n">
        <v>42.3</v>
      </c>
      <c r="DQ314" t="n">
        <v>21.15</v>
      </c>
      <c r="DR314" t="n">
        <v>42.3</v>
      </c>
      <c r="DS314" t="n">
        <v>0</v>
      </c>
      <c r="DT314" t="n">
        <v>266</v>
      </c>
      <c r="DU314" t="n">
        <v>7</v>
      </c>
      <c r="DV314" t="inlineStr">
        <is>
          <t>flat</t>
        </is>
      </c>
      <c r="DW314" t="n">
        <v>94.25</v>
      </c>
      <c r="DX314" t="n">
        <v>88</v>
      </c>
      <c r="DY314" t="n">
        <v>23.35</v>
      </c>
      <c r="DZ314" t="n">
        <v>23.2</v>
      </c>
      <c r="EA314" t="n">
        <v>119.2</v>
      </c>
      <c r="EB314" t="n">
        <v>20</v>
      </c>
      <c r="EC314" t="n">
        <v>9.6</v>
      </c>
      <c r="ED314" t="n">
        <v>4.8</v>
      </c>
      <c r="EE314" t="n">
        <v>187</v>
      </c>
      <c r="EF314" t="n">
        <v>27.6</v>
      </c>
      <c r="EG314" t="n">
        <v>15.9</v>
      </c>
      <c r="EH314" t="n">
        <v>59.1</v>
      </c>
      <c r="EI314" t="n">
        <v>223</v>
      </c>
      <c r="EJ314" t="n">
        <v>582.9</v>
      </c>
      <c r="EK314" t="n">
        <v>161.3</v>
      </c>
      <c r="EL314" t="n">
        <v>18</v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n">
        <v>5.5</v>
      </c>
      <c r="F315" t="b">
        <v>1</v>
      </c>
      <c r="G315" t="b">
        <v>1</v>
      </c>
      <c r="H315" t="n">
        <v>28.9</v>
      </c>
      <c r="I315" t="inlineStr">
        <is>
          <t>a</t>
        </is>
      </c>
      <c r="K315" t="n">
        <v>100</v>
      </c>
      <c r="L315" t="inlineStr">
        <is>
          <t>p173879</t>
        </is>
      </c>
      <c r="M315" t="n">
        <v>56</v>
      </c>
      <c r="Q315" t="n">
        <v>278</v>
      </c>
      <c r="R315" t="n">
        <v>12</v>
      </c>
      <c r="S315" t="n">
        <v>2</v>
      </c>
      <c r="T315" t="n">
        <v>3.089</v>
      </c>
      <c r="U315" t="n">
        <v>23.2</v>
      </c>
      <c r="V315" t="n">
        <v>23</v>
      </c>
      <c r="W315" t="n">
        <v>7.446</v>
      </c>
      <c r="X315" t="n">
        <v>2</v>
      </c>
      <c r="Y315" t="n">
        <v>0</v>
      </c>
      <c r="AA315" t="n">
        <v>0</v>
      </c>
      <c r="AB315" t="n">
        <v>8</v>
      </c>
      <c r="AC315" t="n">
        <v>2</v>
      </c>
      <c r="AD315" t="n">
        <v>2</v>
      </c>
      <c r="AE315" t="n">
        <v>0</v>
      </c>
      <c r="AF315" t="n">
        <v>93</v>
      </c>
      <c r="AG315" t="n">
        <v>93</v>
      </c>
      <c r="AH315" t="n">
        <v>0</v>
      </c>
      <c r="AI315" t="n">
        <v>23</v>
      </c>
      <c r="AJ315" t="n">
        <v>0.08699999999999999</v>
      </c>
      <c r="AK315" t="n">
        <v>0.095</v>
      </c>
      <c r="AL315" t="n">
        <v>13</v>
      </c>
      <c r="AM315" t="n">
        <v>4.209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0.053</v>
      </c>
      <c r="AT315" t="n">
        <v>0.083</v>
      </c>
      <c r="AU315" t="n">
        <v>10</v>
      </c>
      <c r="AV315" t="n">
        <v>0</v>
      </c>
      <c r="AW315" t="n">
        <v>1.92</v>
      </c>
      <c r="AX315" t="n">
        <v>7</v>
      </c>
      <c r="AY315" t="n">
        <v>2.05</v>
      </c>
      <c r="AZ315" t="n">
        <v>2.048</v>
      </c>
      <c r="BA315" t="n">
        <v>2.049</v>
      </c>
      <c r="BB315" t="n">
        <v>2.048</v>
      </c>
      <c r="BC315" t="n">
        <v>0.664</v>
      </c>
      <c r="BD315" t="n">
        <v>0.663</v>
      </c>
      <c r="BE315" t="n">
        <v>0.663</v>
      </c>
      <c r="BF315" t="n">
        <v>2</v>
      </c>
      <c r="BG315" t="n">
        <v>0.647</v>
      </c>
      <c r="BH315" t="n">
        <v>0.995</v>
      </c>
      <c r="BI315" t="n">
        <v>2.05</v>
      </c>
      <c r="BJ315" t="n">
        <v>2.04</v>
      </c>
      <c r="BK315" t="n">
        <v>0.66</v>
      </c>
      <c r="BL315" t="n">
        <v>-0.049</v>
      </c>
      <c r="BM315" t="n">
        <v>-0.05</v>
      </c>
      <c r="BN315" t="n">
        <v>0</v>
      </c>
      <c r="BO315" t="n">
        <v>0.002</v>
      </c>
      <c r="BP315" t="n">
        <v>9</v>
      </c>
      <c r="BQ315" t="n">
        <v>3</v>
      </c>
      <c r="BR315" t="n">
        <v>3</v>
      </c>
      <c r="BS315" t="n">
        <v>22</v>
      </c>
      <c r="BT315" t="n">
        <v>7.122</v>
      </c>
      <c r="BW315" t="n">
        <v>0.36</v>
      </c>
      <c r="BX315" t="n">
        <v>0.129</v>
      </c>
      <c r="BY315" t="n">
        <v>0.245</v>
      </c>
      <c r="BZ315" t="n">
        <v>0.079</v>
      </c>
      <c r="CA315" t="n">
        <v>2.294</v>
      </c>
      <c r="CB315" t="n">
        <v>0.743</v>
      </c>
      <c r="CC315" t="n">
        <v>4</v>
      </c>
      <c r="CD315" t="n">
        <v>1</v>
      </c>
      <c r="CE315" t="n">
        <v>4</v>
      </c>
      <c r="CI315" t="n">
        <v>2.102</v>
      </c>
      <c r="CJ315" t="n">
        <v>0.055</v>
      </c>
      <c r="CK315" t="n">
        <v>3</v>
      </c>
      <c r="CL315" t="n">
        <v>6</v>
      </c>
      <c r="CM315" t="n">
        <v>4</v>
      </c>
      <c r="CN315" t="n">
        <v>2</v>
      </c>
      <c r="CP315" t="n">
        <v>3</v>
      </c>
      <c r="CR315" t="n">
        <v>10</v>
      </c>
      <c r="CS315" t="n">
        <v>5</v>
      </c>
      <c r="CW315" t="n">
        <v>5.12</v>
      </c>
      <c r="CX315" t="n">
        <v>1.658</v>
      </c>
      <c r="CY315" t="n">
        <v>0</v>
      </c>
      <c r="DB315" t="n">
        <v>0</v>
      </c>
      <c r="DF315" t="n">
        <v>0</v>
      </c>
      <c r="DG315" t="n">
        <v>0</v>
      </c>
      <c r="DH315" t="n">
        <v>2</v>
      </c>
      <c r="DL315" t="n">
        <v>1</v>
      </c>
      <c r="DM315" t="n">
        <v>1</v>
      </c>
      <c r="DO315" t="n">
        <v>0.3</v>
      </c>
      <c r="DP315" t="n">
        <v>37.29</v>
      </c>
      <c r="DQ315" t="n">
        <v>18.32</v>
      </c>
      <c r="DR315" t="n">
        <v>36.64</v>
      </c>
      <c r="DS315" t="n">
        <v>0.65</v>
      </c>
      <c r="DT315" t="n">
        <v>280</v>
      </c>
      <c r="DU315" t="n">
        <v>7.36</v>
      </c>
      <c r="DV315" t="inlineStr">
        <is>
          <t>flat</t>
        </is>
      </c>
      <c r="DW315" t="n">
        <v>95.79000000000001</v>
      </c>
      <c r="DX315" t="n">
        <v>61</v>
      </c>
      <c r="DY315" t="n">
        <v>25.83</v>
      </c>
      <c r="DZ315" t="n">
        <v>25.33</v>
      </c>
      <c r="EA315" t="n">
        <v>120</v>
      </c>
      <c r="EB315" t="n">
        <v>27</v>
      </c>
      <c r="EC315" t="n">
        <v>13</v>
      </c>
      <c r="ED315" t="n">
        <v>6.9</v>
      </c>
      <c r="EE315" t="n">
        <v>186</v>
      </c>
      <c r="EF315" t="n">
        <v>30.9</v>
      </c>
      <c r="EG315" t="n">
        <v>12.6</v>
      </c>
      <c r="EH315" t="n">
        <v>69.5</v>
      </c>
      <c r="EI315" t="n">
        <v>135.7</v>
      </c>
      <c r="EJ315" t="n">
        <v>1136.5</v>
      </c>
      <c r="EK315" t="n">
        <v>121.2</v>
      </c>
      <c r="EL315" t="n">
        <v>12.1</v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n">
        <v>4.5</v>
      </c>
      <c r="F316" t="b">
        <v>1</v>
      </c>
      <c r="G316" t="b">
        <v>1</v>
      </c>
      <c r="H316" t="n">
        <v>24.8</v>
      </c>
      <c r="I316" t="inlineStr">
        <is>
          <t>a</t>
        </is>
      </c>
      <c r="L316" t="inlineStr">
        <is>
          <t>p243571</t>
        </is>
      </c>
      <c r="M316" t="n">
        <v>234</v>
      </c>
      <c r="Q316" t="n">
        <v>238</v>
      </c>
      <c r="R316" t="n">
        <v>7</v>
      </c>
      <c r="S316" t="n">
        <v>3</v>
      </c>
      <c r="T316" t="n">
        <v>2.644</v>
      </c>
      <c r="U316" t="n">
        <v>34</v>
      </c>
      <c r="V316" t="n">
        <v>22</v>
      </c>
      <c r="W316" t="n">
        <v>8.319000000000001</v>
      </c>
      <c r="X316" t="n">
        <v>0</v>
      </c>
      <c r="Y316" t="n">
        <v>0</v>
      </c>
      <c r="AA316" t="n">
        <v>2</v>
      </c>
      <c r="AB316" t="n">
        <v>2</v>
      </c>
      <c r="AC316" t="n">
        <v>0</v>
      </c>
      <c r="AD316" t="n">
        <v>0</v>
      </c>
      <c r="AE316" t="n">
        <v>0</v>
      </c>
      <c r="AF316" t="n">
        <v>67</v>
      </c>
      <c r="AG316" t="n">
        <v>63</v>
      </c>
      <c r="AH316" t="n">
        <v>-4</v>
      </c>
      <c r="AI316" t="n">
        <v>22</v>
      </c>
      <c r="AJ316" t="n">
        <v>0</v>
      </c>
      <c r="AK316" t="n">
        <v>0</v>
      </c>
      <c r="AL316" t="n">
        <v>31</v>
      </c>
      <c r="AM316" t="n">
        <v>11.723</v>
      </c>
      <c r="AN316" t="n">
        <v>2</v>
      </c>
      <c r="AO316" t="n">
        <v>4</v>
      </c>
      <c r="AP316" t="n">
        <v>0.667</v>
      </c>
      <c r="AQ316" t="n">
        <v>0.667</v>
      </c>
      <c r="AR316" t="n">
        <v>0</v>
      </c>
      <c r="AS316" t="n">
        <v>0.079</v>
      </c>
      <c r="AT316" t="n">
        <v>0.429</v>
      </c>
      <c r="AU316" t="n">
        <v>5</v>
      </c>
      <c r="AV316" t="n">
        <v>0</v>
      </c>
      <c r="AW316" t="n">
        <v>1.83</v>
      </c>
      <c r="AX316" t="n">
        <v>8</v>
      </c>
      <c r="AY316" t="n">
        <v>0.03</v>
      </c>
      <c r="AZ316" t="n">
        <v>0.17</v>
      </c>
      <c r="BA316" t="n">
        <v>0.1</v>
      </c>
      <c r="BB316" t="n">
        <v>0.17</v>
      </c>
      <c r="BC316" t="n">
        <v>0.011</v>
      </c>
      <c r="BD316" t="n">
        <v>0.064</v>
      </c>
      <c r="BE316" t="n">
        <v>0.038</v>
      </c>
      <c r="BF316" t="n">
        <v>0.1</v>
      </c>
      <c r="BG316" t="n">
        <v>0.038</v>
      </c>
      <c r="BH316" t="n">
        <v>0.93</v>
      </c>
      <c r="BI316" t="n">
        <v>0.92</v>
      </c>
      <c r="BJ316" t="n">
        <v>0.028</v>
      </c>
      <c r="BK316" t="n">
        <v>0.011</v>
      </c>
      <c r="BL316" t="n">
        <v>-0.1</v>
      </c>
      <c r="BM316" t="n">
        <v>0.07000000000000001</v>
      </c>
      <c r="BN316" t="n">
        <v>-0.1</v>
      </c>
      <c r="BO316" t="n">
        <v>-0.14</v>
      </c>
      <c r="BP316" t="n">
        <v>1</v>
      </c>
      <c r="BQ316" t="n">
        <v>1</v>
      </c>
      <c r="BR316" t="n">
        <v>0</v>
      </c>
      <c r="BS316" t="n">
        <v>1</v>
      </c>
      <c r="BT316" t="n">
        <v>0.378</v>
      </c>
      <c r="BW316" t="n">
        <v>0.04</v>
      </c>
      <c r="BX316" t="n">
        <v>0</v>
      </c>
      <c r="BY316" t="n">
        <v>0.02</v>
      </c>
      <c r="BZ316" t="n">
        <v>0.008</v>
      </c>
      <c r="CA316" t="n">
        <v>0.12</v>
      </c>
      <c r="CB316" t="n">
        <v>0.045</v>
      </c>
      <c r="CC316" t="n">
        <v>0</v>
      </c>
      <c r="CF316" t="n">
        <v>0</v>
      </c>
      <c r="CI316" t="n">
        <v>0.738</v>
      </c>
      <c r="CJ316" t="n">
        <v>0.5679999999999999</v>
      </c>
      <c r="CK316" t="n">
        <v>21</v>
      </c>
      <c r="CL316" t="n">
        <v>14</v>
      </c>
      <c r="CM316" t="n">
        <v>10</v>
      </c>
      <c r="CN316" t="n">
        <v>4</v>
      </c>
      <c r="CO316" t="n">
        <v>2</v>
      </c>
      <c r="CP316" t="n">
        <v>17</v>
      </c>
      <c r="CQ316" t="n">
        <v>2</v>
      </c>
      <c r="CR316" t="n">
        <v>20</v>
      </c>
      <c r="CS316" t="n">
        <v>7</v>
      </c>
      <c r="CW316" t="n">
        <v>3.67</v>
      </c>
      <c r="CX316" t="n">
        <v>1.388</v>
      </c>
      <c r="CY316" t="n">
        <v>0</v>
      </c>
      <c r="DB316" t="n">
        <v>0</v>
      </c>
      <c r="DF316" t="n">
        <v>0</v>
      </c>
      <c r="DG316" t="n">
        <v>0</v>
      </c>
      <c r="DH316" t="n">
        <v>2</v>
      </c>
      <c r="DI316" t="n">
        <v>2</v>
      </c>
      <c r="DL316" t="n">
        <v>1</v>
      </c>
      <c r="DM316" t="n">
        <v>1</v>
      </c>
      <c r="DN316" t="n">
        <v>1</v>
      </c>
      <c r="DO316" t="n">
        <v>0</v>
      </c>
      <c r="DP316" t="n">
        <v>9.890000000000001</v>
      </c>
      <c r="DQ316" t="n">
        <v>4.95</v>
      </c>
      <c r="DR316" t="n">
        <v>9.9</v>
      </c>
      <c r="DS316" t="n">
        <v>-0.01</v>
      </c>
      <c r="DT316" t="n">
        <v>140</v>
      </c>
      <c r="DU316" t="n">
        <v>3.69</v>
      </c>
      <c r="DV316" t="inlineStr">
        <is>
          <t>flat</t>
        </is>
      </c>
      <c r="DW316" t="n">
        <v>74.17</v>
      </c>
      <c r="DX316" t="n">
        <v>103</v>
      </c>
      <c r="DY316" t="n">
        <v>40.78</v>
      </c>
      <c r="DZ316" t="n">
        <v>45.33</v>
      </c>
      <c r="EA316" t="n">
        <v>103</v>
      </c>
      <c r="EB316" t="n">
        <v>2</v>
      </c>
      <c r="EC316" t="n">
        <v>1</v>
      </c>
      <c r="ED316" t="n">
        <v>0</v>
      </c>
      <c r="EE316" t="n">
        <v>439</v>
      </c>
      <c r="EF316" t="n">
        <v>238</v>
      </c>
      <c r="EG316" t="n">
        <v>238</v>
      </c>
      <c r="EI316" t="n">
        <v>2377.7</v>
      </c>
      <c r="EJ316" t="n">
        <v>11900</v>
      </c>
      <c r="EK316" t="n">
        <v>1981.7</v>
      </c>
      <c r="EL316" t="n">
        <v>10.8</v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n">
        <v>5.5</v>
      </c>
      <c r="F317" t="b">
        <v>1</v>
      </c>
      <c r="G317" t="b">
        <v>1</v>
      </c>
      <c r="H317" t="n">
        <v>29</v>
      </c>
      <c r="I317" t="inlineStr">
        <is>
          <t>a</t>
        </is>
      </c>
      <c r="L317" t="inlineStr">
        <is>
          <t>p215711</t>
        </is>
      </c>
      <c r="M317" t="n">
        <v>44</v>
      </c>
      <c r="Q317" t="n">
        <v>450</v>
      </c>
      <c r="R317" t="n">
        <v>13</v>
      </c>
      <c r="S317" t="n">
        <v>3</v>
      </c>
      <c r="T317" t="n">
        <v>5</v>
      </c>
      <c r="U317" t="n">
        <v>34.6</v>
      </c>
      <c r="V317" t="n">
        <v>21</v>
      </c>
      <c r="W317" t="n">
        <v>4.2</v>
      </c>
      <c r="X317" t="n">
        <v>0</v>
      </c>
      <c r="Y317" t="n">
        <v>2</v>
      </c>
      <c r="Z317" t="n">
        <v>1</v>
      </c>
      <c r="AA317" t="n">
        <v>0</v>
      </c>
      <c r="AB317" t="n">
        <v>9</v>
      </c>
      <c r="AC317" t="n">
        <v>0</v>
      </c>
      <c r="AD317" t="n">
        <v>0</v>
      </c>
      <c r="AE317" t="n">
        <v>0</v>
      </c>
      <c r="AF317" t="n">
        <v>69</v>
      </c>
      <c r="AG317" t="n">
        <v>67</v>
      </c>
      <c r="AH317" t="n">
        <v>-2</v>
      </c>
      <c r="AI317" t="n">
        <v>21</v>
      </c>
      <c r="AJ317" t="n">
        <v>0</v>
      </c>
      <c r="AK317" t="n">
        <v>0</v>
      </c>
      <c r="AL317" t="n">
        <v>48</v>
      </c>
      <c r="AM317" t="n">
        <v>9.6</v>
      </c>
      <c r="AN317" t="n">
        <v>0</v>
      </c>
      <c r="AO317" t="n">
        <v>0</v>
      </c>
      <c r="AP317" t="n">
        <v>0</v>
      </c>
      <c r="AQ317" t="n">
        <v>0.333</v>
      </c>
      <c r="AR317" t="n">
        <v>0</v>
      </c>
      <c r="AS317" t="n">
        <v>0.079</v>
      </c>
      <c r="AT317" t="n">
        <v>0.231</v>
      </c>
      <c r="AU317" t="n">
        <v>11</v>
      </c>
      <c r="AV317" t="n">
        <v>0</v>
      </c>
      <c r="AW317" t="n">
        <v>1.18</v>
      </c>
      <c r="AX317" t="n">
        <v>5</v>
      </c>
      <c r="AY317" t="n">
        <v>0.5</v>
      </c>
      <c r="AZ317" t="n">
        <v>0.707</v>
      </c>
      <c r="BA317" t="n">
        <v>0.604</v>
      </c>
      <c r="BB317" t="n">
        <v>0.707</v>
      </c>
      <c r="BC317" t="n">
        <v>0.1</v>
      </c>
      <c r="BD317" t="n">
        <v>0.141</v>
      </c>
      <c r="BE317" t="n">
        <v>0.121</v>
      </c>
      <c r="BF317" t="n">
        <v>0.1</v>
      </c>
      <c r="BG317" t="n">
        <v>0.02</v>
      </c>
      <c r="BH317" t="n">
        <v>0.8100000000000001</v>
      </c>
      <c r="BI317" t="n">
        <v>13.86</v>
      </c>
      <c r="BJ317" t="n">
        <v>0.405</v>
      </c>
      <c r="BK317" t="n">
        <v>0.081</v>
      </c>
      <c r="BL317" t="n">
        <v>-0.604</v>
      </c>
      <c r="BM317" t="n">
        <v>-0.4</v>
      </c>
      <c r="BN317" t="n">
        <v>-0.1</v>
      </c>
      <c r="BO317" t="n">
        <v>-0.207</v>
      </c>
      <c r="BP317" t="n">
        <v>8</v>
      </c>
      <c r="BQ317" t="n">
        <v>1</v>
      </c>
      <c r="BR317" t="n">
        <v>1</v>
      </c>
      <c r="BS317" t="n">
        <v>23</v>
      </c>
      <c r="BT317" t="n">
        <v>4.6</v>
      </c>
      <c r="BW317" t="n">
        <v>1.46</v>
      </c>
      <c r="BX317" t="n">
        <v>1.117</v>
      </c>
      <c r="BY317" t="n">
        <v>1.288</v>
      </c>
      <c r="BZ317" t="n">
        <v>0.258</v>
      </c>
      <c r="CA317" t="n">
        <v>1.892</v>
      </c>
      <c r="CB317" t="n">
        <v>0.378</v>
      </c>
      <c r="CC317" t="n">
        <v>12</v>
      </c>
      <c r="CD317" t="n">
        <v>1</v>
      </c>
      <c r="CE317" t="n">
        <v>12</v>
      </c>
      <c r="CF317" t="n">
        <v>5</v>
      </c>
      <c r="CH317" t="n">
        <v>14</v>
      </c>
      <c r="CI317" t="n">
        <v>2.241</v>
      </c>
      <c r="CJ317" t="n">
        <v>1.162</v>
      </c>
      <c r="CK317" t="n">
        <v>7</v>
      </c>
      <c r="CL317" t="n">
        <v>31</v>
      </c>
      <c r="CM317" t="n">
        <v>10</v>
      </c>
      <c r="CN317" t="n">
        <v>6</v>
      </c>
      <c r="CO317" t="n">
        <v>3</v>
      </c>
      <c r="CP317" t="n">
        <v>4</v>
      </c>
      <c r="CR317" t="n">
        <v>24</v>
      </c>
      <c r="CS317" t="n">
        <v>4</v>
      </c>
      <c r="CW317" t="n">
        <v>7.03</v>
      </c>
      <c r="CX317" t="n">
        <v>1.406</v>
      </c>
      <c r="CY317" t="n">
        <v>0</v>
      </c>
      <c r="DB317" t="n">
        <v>0</v>
      </c>
      <c r="DF317" t="n">
        <v>1</v>
      </c>
      <c r="DG317" t="n">
        <v>0</v>
      </c>
      <c r="DH317" t="n">
        <v>6</v>
      </c>
      <c r="DI317" t="n">
        <v>5</v>
      </c>
      <c r="DL317" t="n">
        <v>5</v>
      </c>
      <c r="DM317" t="n">
        <v>9</v>
      </c>
      <c r="DN317" t="n">
        <v>1</v>
      </c>
      <c r="DO317" t="n">
        <v>0.1</v>
      </c>
      <c r="DP317" t="n">
        <v>29.02</v>
      </c>
      <c r="DQ317" t="n">
        <v>15.06</v>
      </c>
      <c r="DR317" t="n">
        <v>30.12</v>
      </c>
      <c r="DS317" t="n">
        <v>-1.1</v>
      </c>
      <c r="DT317" t="n">
        <v>111</v>
      </c>
      <c r="DU317" t="n">
        <v>2.92</v>
      </c>
      <c r="DV317" t="inlineStr">
        <is>
          <t>flat</t>
        </is>
      </c>
      <c r="EF317" t="n">
        <v>56.2</v>
      </c>
      <c r="EG317" t="n">
        <v>19.6</v>
      </c>
      <c r="EH317" t="n">
        <v>37.5</v>
      </c>
      <c r="EI317" t="n">
        <v>745.4</v>
      </c>
      <c r="EJ317" t="n">
        <v>349.3</v>
      </c>
      <c r="EK317" t="n">
        <v>237.8</v>
      </c>
      <c r="EL317" t="n">
        <v>21.4</v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n">
        <v>5</v>
      </c>
      <c r="F318" t="b">
        <v>1</v>
      </c>
      <c r="G318" t="b">
        <v>1</v>
      </c>
      <c r="H318" t="n">
        <v>19.6</v>
      </c>
      <c r="I318" t="inlineStr">
        <is>
          <t>a</t>
        </is>
      </c>
      <c r="L318" t="inlineStr">
        <is>
          <t>p609873</t>
        </is>
      </c>
      <c r="M318" t="n">
        <v>244</v>
      </c>
      <c r="Q318" t="n">
        <v>524</v>
      </c>
      <c r="R318" t="n">
        <v>13</v>
      </c>
      <c r="S318" t="n">
        <v>6</v>
      </c>
      <c r="T318" t="n">
        <v>5.822</v>
      </c>
      <c r="U318" t="n">
        <v>40.3</v>
      </c>
      <c r="V318" t="n">
        <v>21</v>
      </c>
      <c r="W318" t="n">
        <v>3.607</v>
      </c>
      <c r="X318" t="n">
        <v>0</v>
      </c>
      <c r="Y318" t="n">
        <v>0</v>
      </c>
      <c r="AA318" t="n">
        <v>1</v>
      </c>
      <c r="AB318" t="n">
        <v>11</v>
      </c>
      <c r="AC318" t="n">
        <v>0</v>
      </c>
      <c r="AD318" t="n">
        <v>0</v>
      </c>
      <c r="AE318" t="n">
        <v>0</v>
      </c>
      <c r="AF318" t="n">
        <v>84</v>
      </c>
      <c r="AG318" t="n">
        <v>80</v>
      </c>
      <c r="AH318" t="n">
        <v>-4</v>
      </c>
      <c r="AI318" t="n">
        <v>21</v>
      </c>
      <c r="AJ318" t="n">
        <v>0</v>
      </c>
      <c r="AK318" t="n">
        <v>0</v>
      </c>
      <c r="AL318" t="n">
        <v>50</v>
      </c>
      <c r="AM318" t="n">
        <v>8.587999999999999</v>
      </c>
      <c r="AN318" t="n">
        <v>1</v>
      </c>
      <c r="AO318" t="n">
        <v>2</v>
      </c>
      <c r="AP318" t="n">
        <v>0.167</v>
      </c>
      <c r="AQ318" t="n">
        <v>0.333</v>
      </c>
      <c r="AR318" t="n">
        <v>0.167</v>
      </c>
      <c r="AS318" t="n">
        <v>0.158</v>
      </c>
      <c r="AT318" t="n">
        <v>0.385</v>
      </c>
      <c r="AU318" t="n">
        <v>11</v>
      </c>
      <c r="AV318" t="n">
        <v>0</v>
      </c>
      <c r="AW318" t="n">
        <v>0.95</v>
      </c>
      <c r="AX318" t="n">
        <v>4</v>
      </c>
      <c r="AY318" t="n">
        <v>0.79</v>
      </c>
      <c r="AZ318" t="n">
        <v>0.439</v>
      </c>
      <c r="BA318" t="n">
        <v>0.615</v>
      </c>
      <c r="BB318" t="n">
        <v>0.439</v>
      </c>
      <c r="BC318" t="n">
        <v>0.136</v>
      </c>
      <c r="BD318" t="n">
        <v>0.075</v>
      </c>
      <c r="BE318" t="n">
        <v>0.106</v>
      </c>
      <c r="BF318" t="n">
        <v>0.8</v>
      </c>
      <c r="BG318" t="n">
        <v>0.137</v>
      </c>
      <c r="BH318" t="n">
        <v>0.961</v>
      </c>
      <c r="BI318" t="n">
        <v>1.16</v>
      </c>
      <c r="BJ318" t="n">
        <v>0.759</v>
      </c>
      <c r="BK318" t="n">
        <v>0.13</v>
      </c>
      <c r="BL318" t="n">
        <v>-0.615</v>
      </c>
      <c r="BM318" t="n">
        <v>0.01</v>
      </c>
      <c r="BN318" t="n">
        <v>-0.8</v>
      </c>
      <c r="BO318" t="n">
        <v>0.351</v>
      </c>
      <c r="BP318" t="n">
        <v>5</v>
      </c>
      <c r="BQ318" t="n">
        <v>2</v>
      </c>
      <c r="BR318" t="n">
        <v>1</v>
      </c>
      <c r="BS318" t="n">
        <v>11</v>
      </c>
      <c r="BT318" t="n">
        <v>1.889</v>
      </c>
      <c r="BW318" t="n">
        <v>0.22</v>
      </c>
      <c r="BX318" t="n">
        <v>0.121</v>
      </c>
      <c r="BY318" t="n">
        <v>0.171</v>
      </c>
      <c r="BZ318" t="n">
        <v>0.029</v>
      </c>
      <c r="CA318" t="n">
        <v>0.785</v>
      </c>
      <c r="CB318" t="n">
        <v>0.135</v>
      </c>
      <c r="CC318" t="n">
        <v>4</v>
      </c>
      <c r="CE318" t="n">
        <v>4</v>
      </c>
      <c r="CH318" t="n">
        <v>0</v>
      </c>
      <c r="CI318" t="n">
        <v>1.601</v>
      </c>
      <c r="CJ318" t="n">
        <v>1.344</v>
      </c>
      <c r="CK318" t="n">
        <v>13</v>
      </c>
      <c r="CL318" t="n">
        <v>24</v>
      </c>
      <c r="CM318" t="n">
        <v>13</v>
      </c>
      <c r="CN318" t="n">
        <v>10</v>
      </c>
      <c r="CO318" t="n">
        <v>4</v>
      </c>
      <c r="CP318" t="n">
        <v>8</v>
      </c>
      <c r="CQ318" t="n">
        <v>1</v>
      </c>
      <c r="CR318" t="n">
        <v>34</v>
      </c>
      <c r="CS318" t="n">
        <v>6</v>
      </c>
      <c r="CW318" t="n">
        <v>10.93</v>
      </c>
      <c r="CX318" t="n">
        <v>1.877</v>
      </c>
      <c r="CY318" t="n">
        <v>0</v>
      </c>
      <c r="DB318" t="n">
        <v>0</v>
      </c>
      <c r="DF318" t="n">
        <v>0</v>
      </c>
      <c r="DG318" t="n">
        <v>0</v>
      </c>
      <c r="DH318" t="n">
        <v>6</v>
      </c>
      <c r="DI318" t="n">
        <v>14</v>
      </c>
      <c r="DL318" t="n">
        <v>1</v>
      </c>
      <c r="DM318" t="n">
        <v>8</v>
      </c>
      <c r="DN318" t="n">
        <v>2</v>
      </c>
      <c r="DO318" t="n">
        <v>0.1</v>
      </c>
      <c r="DP318" t="n">
        <v>21.83</v>
      </c>
      <c r="DQ318" t="n">
        <v>11.46</v>
      </c>
      <c r="DR318" t="n">
        <v>22.92</v>
      </c>
      <c r="DS318" t="n">
        <v>-1.09</v>
      </c>
      <c r="DT318" t="n">
        <v>357</v>
      </c>
      <c r="DU318" t="n">
        <v>9.390000000000001</v>
      </c>
      <c r="DV318" t="inlineStr">
        <is>
          <t>flat</t>
        </is>
      </c>
      <c r="EF318" t="n">
        <v>104.8</v>
      </c>
      <c r="EG318" t="n">
        <v>47.6</v>
      </c>
      <c r="EH318" t="n">
        <v>131</v>
      </c>
      <c r="EI318" t="n">
        <v>852.7</v>
      </c>
      <c r="EJ318" t="n">
        <v>3069.8</v>
      </c>
      <c r="EK318" t="n">
        <v>667.3</v>
      </c>
      <c r="EL318" t="n">
        <v>25</v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n">
        <v>4.5</v>
      </c>
      <c r="F319" t="b">
        <v>1</v>
      </c>
      <c r="G319" t="b">
        <v>1</v>
      </c>
      <c r="H319" t="n">
        <v>23.4</v>
      </c>
      <c r="I319" t="inlineStr">
        <is>
          <t>a</t>
        </is>
      </c>
      <c r="L319" t="inlineStr">
        <is>
          <t>p485055</t>
        </is>
      </c>
      <c r="M319" t="n">
        <v>496</v>
      </c>
      <c r="Q319" t="n">
        <v>630</v>
      </c>
      <c r="R319" t="n">
        <v>7</v>
      </c>
      <c r="S319" t="n">
        <v>7</v>
      </c>
      <c r="T319" t="n">
        <v>7</v>
      </c>
      <c r="U319" t="n">
        <v>90</v>
      </c>
      <c r="V319" t="n">
        <v>20</v>
      </c>
      <c r="W319" t="n">
        <v>2.857</v>
      </c>
      <c r="X319" t="n">
        <v>0</v>
      </c>
      <c r="Y319" t="n">
        <v>0</v>
      </c>
      <c r="AA319" t="n">
        <v>2</v>
      </c>
      <c r="AB319" t="n">
        <v>7</v>
      </c>
      <c r="AC319" t="n">
        <v>0</v>
      </c>
      <c r="AD319" t="n">
        <v>0</v>
      </c>
      <c r="AE319" t="n">
        <v>0</v>
      </c>
      <c r="AF319" t="n">
        <v>76</v>
      </c>
      <c r="AG319" t="n">
        <v>74</v>
      </c>
      <c r="AH319" t="n">
        <v>-2</v>
      </c>
      <c r="AI319" t="n">
        <v>20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0.184</v>
      </c>
      <c r="AT319" t="n">
        <v>1</v>
      </c>
      <c r="AU319" t="n">
        <v>4</v>
      </c>
      <c r="AV319" t="n">
        <v>0</v>
      </c>
      <c r="AW319" t="n">
        <v>1.37</v>
      </c>
      <c r="AX319" t="n">
        <v>6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H319" t="n">
        <v>1</v>
      </c>
      <c r="BI319" t="n">
        <v>0</v>
      </c>
      <c r="BJ319" t="n">
        <v>0</v>
      </c>
      <c r="BK319" t="n">
        <v>0</v>
      </c>
      <c r="BL319" t="n">
        <v>0</v>
      </c>
      <c r="BO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I319" t="n">
        <v>0.054</v>
      </c>
      <c r="CJ319" t="n">
        <v>0.054</v>
      </c>
      <c r="CK319" t="n">
        <v>10</v>
      </c>
      <c r="CL319" t="n">
        <v>33</v>
      </c>
      <c r="CM319" t="n">
        <v>0</v>
      </c>
      <c r="CP319" t="n">
        <v>10</v>
      </c>
      <c r="CR319" t="n">
        <v>4</v>
      </c>
      <c r="CS319" t="n">
        <v>3</v>
      </c>
      <c r="CW319" t="n">
        <v>5.55</v>
      </c>
      <c r="CX319" t="n">
        <v>0.793</v>
      </c>
      <c r="CY319" t="n">
        <v>10</v>
      </c>
      <c r="DB319" t="n">
        <v>0</v>
      </c>
      <c r="DC319" t="n">
        <v>4</v>
      </c>
      <c r="DD319" t="n">
        <v>3</v>
      </c>
      <c r="DF319" t="n">
        <v>1</v>
      </c>
      <c r="DG319" t="n">
        <v>0</v>
      </c>
      <c r="DI319" t="n">
        <v>1</v>
      </c>
      <c r="DO319" t="n">
        <v>19.6</v>
      </c>
      <c r="DP319" t="n">
        <v>123.36</v>
      </c>
      <c r="DQ319" t="n">
        <v>61.68</v>
      </c>
      <c r="DR319" t="n">
        <v>123.36</v>
      </c>
      <c r="DS319" t="n">
        <v>0</v>
      </c>
      <c r="DT319" t="n">
        <v>3385</v>
      </c>
      <c r="DU319" t="n">
        <v>89.09</v>
      </c>
      <c r="DV319" t="inlineStr">
        <is>
          <t>flat</t>
        </is>
      </c>
      <c r="DW319" t="n">
        <v>96.84</v>
      </c>
      <c r="DX319" t="n">
        <v>108.19</v>
      </c>
      <c r="DY319" t="n">
        <v>25.43</v>
      </c>
      <c r="DZ319" t="n">
        <v>4</v>
      </c>
      <c r="EA319" t="n">
        <v>120</v>
      </c>
      <c r="EB319" t="n">
        <v>137</v>
      </c>
      <c r="EC319" t="n">
        <v>65.90000000000001</v>
      </c>
      <c r="ED319" t="n">
        <v>4.9</v>
      </c>
      <c r="EE319" t="n">
        <v>441</v>
      </c>
      <c r="EL319" t="n">
        <v>31.5</v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n">
        <v>4.5</v>
      </c>
      <c r="F320" t="b">
        <v>1</v>
      </c>
      <c r="G320" t="b">
        <v>1</v>
      </c>
      <c r="H320" t="n">
        <v>23.2</v>
      </c>
      <c r="I320" t="inlineStr">
        <is>
          <t>a</t>
        </is>
      </c>
      <c r="L320" t="inlineStr">
        <is>
          <t>p515621</t>
        </is>
      </c>
      <c r="M320" t="n">
        <v>206</v>
      </c>
      <c r="Q320" t="n">
        <v>550</v>
      </c>
      <c r="R320" t="n">
        <v>9</v>
      </c>
      <c r="S320" t="n">
        <v>6</v>
      </c>
      <c r="T320" t="n">
        <v>6.111</v>
      </c>
      <c r="U320" t="n">
        <v>61.1</v>
      </c>
      <c r="V320" t="n">
        <v>20</v>
      </c>
      <c r="W320" t="n">
        <v>3.273</v>
      </c>
      <c r="X320" t="n">
        <v>0</v>
      </c>
      <c r="Y320" t="n">
        <v>1</v>
      </c>
      <c r="Z320" t="n">
        <v>1</v>
      </c>
      <c r="AA320" t="n">
        <v>1</v>
      </c>
      <c r="AB320" t="n">
        <v>8</v>
      </c>
      <c r="AC320" t="n">
        <v>0</v>
      </c>
      <c r="AD320" t="n">
        <v>0</v>
      </c>
      <c r="AE320" t="n">
        <v>0</v>
      </c>
      <c r="AF320" t="n">
        <v>84</v>
      </c>
      <c r="AG320" t="n">
        <v>77</v>
      </c>
      <c r="AH320" t="n">
        <v>-7</v>
      </c>
      <c r="AI320" t="n">
        <v>20</v>
      </c>
      <c r="AJ320" t="n">
        <v>0</v>
      </c>
      <c r="AK320" t="n">
        <v>0</v>
      </c>
      <c r="AL320" t="n">
        <v>45</v>
      </c>
      <c r="AM320" t="n">
        <v>7.364</v>
      </c>
      <c r="AN320" t="n">
        <v>1</v>
      </c>
      <c r="AO320" t="n">
        <v>2</v>
      </c>
      <c r="AP320" t="n">
        <v>0.167</v>
      </c>
      <c r="AQ320" t="n">
        <v>0.167</v>
      </c>
      <c r="AR320" t="n">
        <v>0.167</v>
      </c>
      <c r="AS320" t="n">
        <v>0.158</v>
      </c>
      <c r="AT320" t="n">
        <v>0.667</v>
      </c>
      <c r="AU320" t="n">
        <v>6</v>
      </c>
      <c r="AV320" t="n">
        <v>0</v>
      </c>
      <c r="AW320" t="n">
        <v>1.18</v>
      </c>
      <c r="AX320" t="n">
        <v>5</v>
      </c>
      <c r="AY320" t="n">
        <v>0.33</v>
      </c>
      <c r="AZ320" t="n">
        <v>0.28</v>
      </c>
      <c r="BA320" t="n">
        <v>0.305</v>
      </c>
      <c r="BB320" t="n">
        <v>0.28</v>
      </c>
      <c r="BC320" t="n">
        <v>0.054</v>
      </c>
      <c r="BD320" t="n">
        <v>0.046</v>
      </c>
      <c r="BE320" t="n">
        <v>0.05</v>
      </c>
      <c r="BF320" t="n">
        <v>0.2</v>
      </c>
      <c r="BG320" t="n">
        <v>0.033</v>
      </c>
      <c r="BH320" t="n">
        <v>0.984</v>
      </c>
      <c r="BI320" t="n">
        <v>0.33</v>
      </c>
      <c r="BJ320" t="n">
        <v>0.325</v>
      </c>
      <c r="BK320" t="n">
        <v>0.053</v>
      </c>
      <c r="BL320" t="n">
        <v>-0.305</v>
      </c>
      <c r="BM320" t="n">
        <v>-0.13</v>
      </c>
      <c r="BN320" t="n">
        <v>-0.2</v>
      </c>
      <c r="BO320" t="n">
        <v>0.05</v>
      </c>
      <c r="BP320" t="n">
        <v>4</v>
      </c>
      <c r="BQ320" t="n">
        <v>2</v>
      </c>
      <c r="BR320" t="n">
        <v>2</v>
      </c>
      <c r="BS320" t="n">
        <v>10</v>
      </c>
      <c r="BT320" t="n">
        <v>1.636</v>
      </c>
      <c r="BW320" t="n">
        <v>0.13</v>
      </c>
      <c r="BX320" t="n">
        <v>0.428</v>
      </c>
      <c r="BY320" t="n">
        <v>0.279</v>
      </c>
      <c r="BZ320" t="n">
        <v>0.046</v>
      </c>
      <c r="CA320" t="n">
        <v>0.584</v>
      </c>
      <c r="CB320" t="n">
        <v>0.096</v>
      </c>
      <c r="CC320" t="n">
        <v>1</v>
      </c>
      <c r="CD320" t="n">
        <v>1</v>
      </c>
      <c r="CE320" t="n">
        <v>1</v>
      </c>
      <c r="CF320" t="n">
        <v>0</v>
      </c>
      <c r="CI320" t="n">
        <v>1.621</v>
      </c>
      <c r="CJ320" t="n">
        <v>1.528</v>
      </c>
      <c r="CK320" t="n">
        <v>37</v>
      </c>
      <c r="CL320" t="n">
        <v>32</v>
      </c>
      <c r="CM320" t="n">
        <v>8</v>
      </c>
      <c r="CN320" t="n">
        <v>4</v>
      </c>
      <c r="CO320" t="n">
        <v>6</v>
      </c>
      <c r="CP320" t="n">
        <v>28</v>
      </c>
      <c r="CQ320" t="n">
        <v>3</v>
      </c>
      <c r="CR320" t="n">
        <v>25</v>
      </c>
      <c r="CS320" t="n">
        <v>13</v>
      </c>
      <c r="CV320" t="n">
        <v>1</v>
      </c>
      <c r="CW320" t="n">
        <v>9.09</v>
      </c>
      <c r="CX320" t="n">
        <v>1.487</v>
      </c>
      <c r="CY320" t="n">
        <v>0</v>
      </c>
      <c r="DB320" t="n">
        <v>0</v>
      </c>
      <c r="DF320" t="n">
        <v>2</v>
      </c>
      <c r="DG320" t="n">
        <v>0</v>
      </c>
      <c r="DH320" t="n">
        <v>5</v>
      </c>
      <c r="DI320" t="n">
        <v>3</v>
      </c>
      <c r="DL320" t="n">
        <v>1</v>
      </c>
      <c r="DM320" t="n">
        <v>3</v>
      </c>
      <c r="DO320" t="n">
        <v>0.1</v>
      </c>
      <c r="DP320" t="n">
        <v>17.4</v>
      </c>
      <c r="DQ320" t="n">
        <v>8.699999999999999</v>
      </c>
      <c r="DR320" t="n">
        <v>17.4</v>
      </c>
      <c r="DS320" t="n">
        <v>0</v>
      </c>
      <c r="DT320" t="n">
        <v>356</v>
      </c>
      <c r="DU320" t="n">
        <v>9.359999999999999</v>
      </c>
      <c r="DV320" t="inlineStr">
        <is>
          <t>flat</t>
        </is>
      </c>
      <c r="EF320" t="n">
        <v>137.5</v>
      </c>
      <c r="EG320" t="n">
        <v>55</v>
      </c>
      <c r="EH320" t="n">
        <v>550</v>
      </c>
      <c r="EI320" t="n">
        <v>1803.4</v>
      </c>
      <c r="EJ320" t="n">
        <v>1972.4</v>
      </c>
      <c r="EK320" t="n">
        <v>942.1</v>
      </c>
      <c r="EL320" t="n">
        <v>27.5</v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n">
        <v>4.5</v>
      </c>
      <c r="F321" t="b">
        <v>1</v>
      </c>
      <c r="G321" t="b">
        <v>1</v>
      </c>
      <c r="H321" t="n">
        <v>20.5</v>
      </c>
      <c r="I321" t="inlineStr">
        <is>
          <t>a</t>
        </is>
      </c>
      <c r="L321" t="inlineStr">
        <is>
          <t>p551210</t>
        </is>
      </c>
      <c r="M321" t="n">
        <v>148</v>
      </c>
      <c r="Q321" t="n">
        <v>1139</v>
      </c>
      <c r="R321" t="n">
        <v>22</v>
      </c>
      <c r="S321" t="n">
        <v>12</v>
      </c>
      <c r="T321" t="n">
        <v>12.656</v>
      </c>
      <c r="U321" t="n">
        <v>51.8</v>
      </c>
      <c r="V321" t="n">
        <v>19</v>
      </c>
      <c r="W321" t="n">
        <v>1.501</v>
      </c>
      <c r="X321" t="n">
        <v>0</v>
      </c>
      <c r="Y321" t="n">
        <v>0</v>
      </c>
      <c r="AA321" t="n">
        <v>0</v>
      </c>
      <c r="AB321" t="n">
        <v>27</v>
      </c>
      <c r="AC321" t="n">
        <v>0</v>
      </c>
      <c r="AD321" t="n">
        <v>0</v>
      </c>
      <c r="AE321" t="n">
        <v>0</v>
      </c>
      <c r="AF321" t="n">
        <v>93</v>
      </c>
      <c r="AG321" t="n">
        <v>80</v>
      </c>
      <c r="AH321" t="n">
        <v>-13</v>
      </c>
      <c r="AI321" t="n">
        <v>19</v>
      </c>
      <c r="AJ321" t="n">
        <v>0</v>
      </c>
      <c r="AK321" t="n">
        <v>0</v>
      </c>
      <c r="AL321" t="n">
        <v>99</v>
      </c>
      <c r="AM321" t="n">
        <v>7.823</v>
      </c>
      <c r="AN321" t="n">
        <v>1</v>
      </c>
      <c r="AO321" t="n">
        <v>2</v>
      </c>
      <c r="AP321" t="n">
        <v>0.083</v>
      </c>
      <c r="AQ321" t="n">
        <v>0.083</v>
      </c>
      <c r="AR321" t="n">
        <v>0</v>
      </c>
      <c r="AS321" t="n">
        <v>0.316</v>
      </c>
      <c r="AT321" t="n">
        <v>0.455</v>
      </c>
      <c r="AU321" t="n">
        <v>21</v>
      </c>
      <c r="AV321" t="n">
        <v>0</v>
      </c>
      <c r="AW321" t="n">
        <v>0.73</v>
      </c>
      <c r="AX321" t="n">
        <v>3</v>
      </c>
      <c r="AY321" t="n">
        <v>0.3</v>
      </c>
      <c r="AZ321" t="n">
        <v>0.338</v>
      </c>
      <c r="BA321" t="n">
        <v>0.319</v>
      </c>
      <c r="BB321" t="n">
        <v>0.338</v>
      </c>
      <c r="BC321" t="n">
        <v>0.024</v>
      </c>
      <c r="BD321" t="n">
        <v>0.027</v>
      </c>
      <c r="BE321" t="n">
        <v>0.025</v>
      </c>
      <c r="BH321" t="n">
        <v>0.964</v>
      </c>
      <c r="BI321" t="n">
        <v>0.3</v>
      </c>
      <c r="BJ321" t="n">
        <v>0.289</v>
      </c>
      <c r="BK321" t="n">
        <v>0.023</v>
      </c>
      <c r="BL321" t="n">
        <v>-0.319</v>
      </c>
      <c r="BO321" t="n">
        <v>-0.038</v>
      </c>
      <c r="BP321" t="n">
        <v>4</v>
      </c>
      <c r="BS321" t="n">
        <v>14</v>
      </c>
      <c r="BT321" t="n">
        <v>1.106</v>
      </c>
      <c r="BW321" t="n">
        <v>0.61</v>
      </c>
      <c r="BX321" t="n">
        <v>0.71</v>
      </c>
      <c r="BY321" t="n">
        <v>0.66</v>
      </c>
      <c r="BZ321" t="n">
        <v>0.052</v>
      </c>
      <c r="CA321" t="n">
        <v>0.979</v>
      </c>
      <c r="CB321" t="n">
        <v>0.077</v>
      </c>
      <c r="CC321" t="n">
        <v>8</v>
      </c>
      <c r="CD321" t="n">
        <v>1</v>
      </c>
      <c r="CE321" t="n">
        <v>8</v>
      </c>
      <c r="CF321" t="n">
        <v>4</v>
      </c>
      <c r="CG321" t="n">
        <v>1</v>
      </c>
      <c r="CI321" t="n">
        <v>6.174</v>
      </c>
      <c r="CJ321" t="n">
        <v>5.819</v>
      </c>
      <c r="CK321" t="n">
        <v>63</v>
      </c>
      <c r="CL321" t="n">
        <v>50</v>
      </c>
      <c r="CM321" t="n">
        <v>36</v>
      </c>
      <c r="CN321" t="n">
        <v>22</v>
      </c>
      <c r="CO321" t="n">
        <v>18</v>
      </c>
      <c r="CP321" t="n">
        <v>39</v>
      </c>
      <c r="CQ321" t="n">
        <v>7</v>
      </c>
      <c r="CR321" t="n">
        <v>61</v>
      </c>
      <c r="CS321" t="n">
        <v>16</v>
      </c>
      <c r="CT321" t="n">
        <v>0.3</v>
      </c>
      <c r="CV321" t="n">
        <v>3</v>
      </c>
      <c r="CW321" t="n">
        <v>18.5</v>
      </c>
      <c r="CX321" t="n">
        <v>1.462</v>
      </c>
      <c r="CY321" t="n">
        <v>0</v>
      </c>
      <c r="DB321" t="n">
        <v>0</v>
      </c>
      <c r="DF321" t="n">
        <v>7</v>
      </c>
      <c r="DG321" t="n">
        <v>0</v>
      </c>
      <c r="DH321" t="n">
        <v>15</v>
      </c>
      <c r="DI321" t="n">
        <v>2</v>
      </c>
      <c r="DL321" t="n">
        <v>7</v>
      </c>
      <c r="DM321" t="n">
        <v>4</v>
      </c>
      <c r="DO321" t="n">
        <v>0.9</v>
      </c>
      <c r="DP321" t="n">
        <v>45.82</v>
      </c>
      <c r="DQ321" t="n">
        <v>23.13</v>
      </c>
      <c r="DR321" t="n">
        <v>46.26</v>
      </c>
      <c r="DS321" t="n">
        <v>-0.44</v>
      </c>
      <c r="DT321" t="n">
        <v>1151</v>
      </c>
      <c r="DU321" t="n">
        <v>30.3</v>
      </c>
      <c r="DV321" t="inlineStr">
        <is>
          <t>flat</t>
        </is>
      </c>
      <c r="DW321" t="n">
        <v>96.41</v>
      </c>
      <c r="DX321" t="n">
        <v>102.67</v>
      </c>
      <c r="DY321" t="n">
        <v>14.93</v>
      </c>
      <c r="DZ321" t="n">
        <v>53.5</v>
      </c>
      <c r="EA321" t="n">
        <v>117</v>
      </c>
      <c r="EB321" t="n">
        <v>17</v>
      </c>
      <c r="EC321" t="n">
        <v>8.199999999999999</v>
      </c>
      <c r="ED321" t="n">
        <v>15</v>
      </c>
      <c r="EE321" t="n">
        <v>442</v>
      </c>
      <c r="EF321" t="n">
        <v>284.8</v>
      </c>
      <c r="EG321" t="n">
        <v>81.40000000000001</v>
      </c>
      <c r="EH321" t="n">
        <v>142.4</v>
      </c>
      <c r="EI321" t="n">
        <v>3568.8</v>
      </c>
      <c r="EJ321" t="n">
        <v>1726.3</v>
      </c>
      <c r="EK321" t="n">
        <v>1163.5</v>
      </c>
      <c r="EL321" t="n">
        <v>59.9</v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n">
        <v>4.5</v>
      </c>
      <c r="F322" t="b">
        <v>1</v>
      </c>
      <c r="G322" t="b">
        <v>1</v>
      </c>
      <c r="H322" t="n">
        <v>21.7</v>
      </c>
      <c r="I322" t="inlineStr">
        <is>
          <t>a</t>
        </is>
      </c>
      <c r="L322" t="inlineStr">
        <is>
          <t>p477064</t>
        </is>
      </c>
      <c r="M322" t="n">
        <v>395</v>
      </c>
      <c r="Q322" t="n">
        <v>401</v>
      </c>
      <c r="R322" t="n">
        <v>11</v>
      </c>
      <c r="S322" t="n">
        <v>4</v>
      </c>
      <c r="T322" t="n">
        <v>4.456</v>
      </c>
      <c r="U322" t="n">
        <v>36.5</v>
      </c>
      <c r="V322" t="n">
        <v>19</v>
      </c>
      <c r="W322" t="n">
        <v>4.264</v>
      </c>
      <c r="X322" t="n">
        <v>0</v>
      </c>
      <c r="Y322" t="n">
        <v>1</v>
      </c>
      <c r="Z322" t="n">
        <v>1</v>
      </c>
      <c r="AA322" t="n">
        <v>1</v>
      </c>
      <c r="AB322" t="n">
        <v>7</v>
      </c>
      <c r="AC322" t="n">
        <v>2</v>
      </c>
      <c r="AD322" t="n">
        <v>2</v>
      </c>
      <c r="AE322" t="n">
        <v>0</v>
      </c>
      <c r="AF322" t="n">
        <v>72</v>
      </c>
      <c r="AG322" t="n">
        <v>69</v>
      </c>
      <c r="AH322" t="n">
        <v>-3</v>
      </c>
      <c r="AI322" t="n">
        <v>19</v>
      </c>
      <c r="AJ322" t="n">
        <v>0.105</v>
      </c>
      <c r="AK322" t="n">
        <v>0.118</v>
      </c>
      <c r="AL322" t="n">
        <v>19</v>
      </c>
      <c r="AM322" t="n">
        <v>4.264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0.105</v>
      </c>
      <c r="AT322" t="n">
        <v>0.364</v>
      </c>
      <c r="AU322" t="n">
        <v>10</v>
      </c>
      <c r="AV322" t="n">
        <v>1</v>
      </c>
      <c r="AW322" t="n">
        <v>1.8</v>
      </c>
      <c r="AX322" t="n">
        <v>11</v>
      </c>
      <c r="AY322" t="n">
        <v>0.19</v>
      </c>
      <c r="AZ322" t="n">
        <v>0.137</v>
      </c>
      <c r="BA322" t="n">
        <v>0.163</v>
      </c>
      <c r="BB322" t="n">
        <v>0.137</v>
      </c>
      <c r="BC322" t="n">
        <v>0.043</v>
      </c>
      <c r="BD322" t="n">
        <v>0.031</v>
      </c>
      <c r="BE322" t="n">
        <v>0.037</v>
      </c>
      <c r="BH322" t="n">
        <v>1.082</v>
      </c>
      <c r="BI322" t="n">
        <v>2.35</v>
      </c>
      <c r="BJ322" t="n">
        <v>0.206</v>
      </c>
      <c r="BK322" t="n">
        <v>0.046</v>
      </c>
      <c r="BL322" t="n">
        <v>-0.163</v>
      </c>
      <c r="BO322" t="n">
        <v>0.053</v>
      </c>
      <c r="BP322" t="n">
        <v>3</v>
      </c>
      <c r="BS322" t="n">
        <v>25</v>
      </c>
      <c r="BT322" t="n">
        <v>5.611</v>
      </c>
      <c r="BW322" t="n">
        <v>1.39</v>
      </c>
      <c r="BX322" t="n">
        <v>1.555</v>
      </c>
      <c r="BY322" t="n">
        <v>1.472</v>
      </c>
      <c r="BZ322" t="n">
        <v>0.33</v>
      </c>
      <c r="CA322" t="n">
        <v>1.636</v>
      </c>
      <c r="CB322" t="n">
        <v>0.367</v>
      </c>
      <c r="CC322" t="n">
        <v>7</v>
      </c>
      <c r="CD322" t="n">
        <v>2</v>
      </c>
      <c r="CE322" t="n">
        <v>7</v>
      </c>
      <c r="CG322" t="n">
        <v>2</v>
      </c>
      <c r="CI322" t="n">
        <v>2.975</v>
      </c>
      <c r="CJ322" t="n">
        <v>1.448</v>
      </c>
      <c r="CK322" t="n">
        <v>14</v>
      </c>
      <c r="CL322" t="n">
        <v>15</v>
      </c>
      <c r="CM322" t="n">
        <v>5</v>
      </c>
      <c r="CN322" t="n">
        <v>3</v>
      </c>
      <c r="CO322" t="n">
        <v>7</v>
      </c>
      <c r="CP322" t="n">
        <v>6</v>
      </c>
      <c r="CQ322" t="n">
        <v>1</v>
      </c>
      <c r="CR322" t="n">
        <v>17</v>
      </c>
      <c r="CS322" t="n">
        <v>1</v>
      </c>
      <c r="CW322" t="n">
        <v>6.81</v>
      </c>
      <c r="CX322" t="n">
        <v>1.528</v>
      </c>
      <c r="CY322" t="n">
        <v>0</v>
      </c>
      <c r="DB322" t="n">
        <v>0</v>
      </c>
      <c r="DF322" t="n">
        <v>2</v>
      </c>
      <c r="DG322" t="n">
        <v>0</v>
      </c>
      <c r="DH322" t="n">
        <v>5</v>
      </c>
      <c r="DI322" t="n">
        <v>9</v>
      </c>
      <c r="DL322" t="n">
        <v>2</v>
      </c>
      <c r="DM322" t="n">
        <v>8</v>
      </c>
      <c r="DO322" t="n">
        <v>0.2</v>
      </c>
      <c r="DP322" t="n">
        <v>9.380000000000001</v>
      </c>
      <c r="DQ322" t="n">
        <v>4.76</v>
      </c>
      <c r="DR322" t="n">
        <v>9.52</v>
      </c>
      <c r="DS322" t="n">
        <v>-0.14</v>
      </c>
      <c r="DT322" t="n">
        <v>50</v>
      </c>
      <c r="DU322" t="n">
        <v>1.32</v>
      </c>
      <c r="DV322" t="inlineStr">
        <is>
          <t>flat</t>
        </is>
      </c>
      <c r="DW322" t="n">
        <v>92.2</v>
      </c>
      <c r="DY322" t="n">
        <v>12.85</v>
      </c>
      <c r="DZ322" t="n">
        <v>77.70999999999999</v>
      </c>
      <c r="EA322" t="n">
        <v>102.22</v>
      </c>
      <c r="EB322" t="n">
        <v>3</v>
      </c>
      <c r="EC322" t="n">
        <v>1.4</v>
      </c>
      <c r="ED322" t="n">
        <v>0</v>
      </c>
      <c r="EE322" t="n">
        <v>443</v>
      </c>
      <c r="EF322" t="n">
        <v>133.7</v>
      </c>
      <c r="EG322" t="n">
        <v>16</v>
      </c>
      <c r="EH322" t="n">
        <v>57.3</v>
      </c>
      <c r="EI322" t="n">
        <v>2455.8</v>
      </c>
      <c r="EJ322" t="n">
        <v>272.4</v>
      </c>
      <c r="EK322" t="n">
        <v>245.2</v>
      </c>
      <c r="EL322" t="n">
        <v>21.1</v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n">
        <v>5</v>
      </c>
      <c r="F323" t="b">
        <v>1</v>
      </c>
      <c r="G323" t="b">
        <v>1</v>
      </c>
      <c r="H323" t="n">
        <v>19.1</v>
      </c>
      <c r="I323" t="inlineStr">
        <is>
          <t>i</t>
        </is>
      </c>
      <c r="J323" t="inlineStr">
        <is>
          <t>Unspecified injury - Unknown return date</t>
        </is>
      </c>
      <c r="K323" t="n">
        <v>0</v>
      </c>
      <c r="L323" t="inlineStr">
        <is>
          <t>p620487</t>
        </is>
      </c>
      <c r="M323" t="n">
        <v>63</v>
      </c>
      <c r="Q323" t="n">
        <v>367</v>
      </c>
      <c r="R323" t="n">
        <v>7</v>
      </c>
      <c r="S323" t="n">
        <v>4</v>
      </c>
      <c r="T323" t="n">
        <v>4.078</v>
      </c>
      <c r="U323" t="n">
        <v>52.4</v>
      </c>
      <c r="V323" t="n">
        <v>19</v>
      </c>
      <c r="W323" t="n">
        <v>4.659</v>
      </c>
      <c r="X323" t="n">
        <v>0</v>
      </c>
      <c r="Y323" t="n">
        <v>0</v>
      </c>
      <c r="AA323" t="n">
        <v>1</v>
      </c>
      <c r="AB323" t="n">
        <v>6</v>
      </c>
      <c r="AC323" t="n">
        <v>0</v>
      </c>
      <c r="AD323" t="n">
        <v>0</v>
      </c>
      <c r="AE323" t="n">
        <v>0</v>
      </c>
      <c r="AF323" t="n">
        <v>63</v>
      </c>
      <c r="AG323" t="n">
        <v>56</v>
      </c>
      <c r="AH323" t="n">
        <v>-7</v>
      </c>
      <c r="AI323" t="n">
        <v>19</v>
      </c>
      <c r="AJ323" t="n">
        <v>0</v>
      </c>
      <c r="AK323" t="n">
        <v>0</v>
      </c>
      <c r="AL323" t="n">
        <v>39</v>
      </c>
      <c r="AM323" t="n">
        <v>9.564</v>
      </c>
      <c r="AN323" t="n">
        <v>3</v>
      </c>
      <c r="AO323" t="n">
        <v>6</v>
      </c>
      <c r="AP323" t="n">
        <v>0.75</v>
      </c>
      <c r="AQ323" t="n">
        <v>0.75</v>
      </c>
      <c r="AR323" t="n">
        <v>0.25</v>
      </c>
      <c r="AS323" t="n">
        <v>0.105</v>
      </c>
      <c r="AT323" t="n">
        <v>0.571</v>
      </c>
      <c r="AU323" t="n">
        <v>4</v>
      </c>
      <c r="AV323" t="n">
        <v>0</v>
      </c>
      <c r="AW323" t="n">
        <v>1.38</v>
      </c>
      <c r="AX323" t="n">
        <v>6</v>
      </c>
      <c r="AY323" t="n">
        <v>0.15</v>
      </c>
      <c r="AZ323" t="n">
        <v>0.357</v>
      </c>
      <c r="BA323" t="n">
        <v>0.254</v>
      </c>
      <c r="BB323" t="n">
        <v>0.357</v>
      </c>
      <c r="BC323" t="n">
        <v>0.037</v>
      </c>
      <c r="BD323" t="n">
        <v>0.08799999999999999</v>
      </c>
      <c r="BE323" t="n">
        <v>0.062</v>
      </c>
      <c r="BH323" t="n">
        <v>0.982</v>
      </c>
      <c r="BI323" t="n">
        <v>0.15</v>
      </c>
      <c r="BJ323" t="n">
        <v>0.147</v>
      </c>
      <c r="BK323" t="n">
        <v>0.036</v>
      </c>
      <c r="BL323" t="n">
        <v>-0.254</v>
      </c>
      <c r="BO323" t="n">
        <v>-0.207</v>
      </c>
      <c r="BP323" t="n">
        <v>1</v>
      </c>
      <c r="BR323" t="n">
        <v>1</v>
      </c>
      <c r="BS323" t="n">
        <v>4</v>
      </c>
      <c r="BT323" t="n">
        <v>0.981</v>
      </c>
      <c r="BW323" t="n">
        <v>0.19</v>
      </c>
      <c r="BX323" t="n">
        <v>0.067</v>
      </c>
      <c r="BY323" t="n">
        <v>0.129</v>
      </c>
      <c r="BZ323" t="n">
        <v>0.032</v>
      </c>
      <c r="CA323" t="n">
        <v>0.382</v>
      </c>
      <c r="CB323" t="n">
        <v>0.094</v>
      </c>
      <c r="CC323" t="n">
        <v>1</v>
      </c>
      <c r="CE323" t="n">
        <v>1</v>
      </c>
      <c r="CI323" t="n">
        <v>0.458</v>
      </c>
      <c r="CJ323" t="n">
        <v>0.391</v>
      </c>
      <c r="CK323" t="n">
        <v>34</v>
      </c>
      <c r="CL323" t="n">
        <v>13</v>
      </c>
      <c r="CM323" t="n">
        <v>5</v>
      </c>
      <c r="CN323" t="n">
        <v>4</v>
      </c>
      <c r="CO323" t="n">
        <v>4</v>
      </c>
      <c r="CP323" t="n">
        <v>25</v>
      </c>
      <c r="CQ323" t="n">
        <v>5</v>
      </c>
      <c r="CR323" t="n">
        <v>17</v>
      </c>
      <c r="CS323" t="n">
        <v>11</v>
      </c>
      <c r="CW323" t="n">
        <v>4.42</v>
      </c>
      <c r="CX323" t="n">
        <v>1.084</v>
      </c>
      <c r="CY323" t="n">
        <v>0</v>
      </c>
      <c r="DB323" t="n">
        <v>0</v>
      </c>
      <c r="DF323" t="n">
        <v>0</v>
      </c>
      <c r="DG323" t="n">
        <v>0</v>
      </c>
      <c r="DL323" t="n">
        <v>1</v>
      </c>
      <c r="DM323" t="n">
        <v>1</v>
      </c>
      <c r="DO323" t="n">
        <v>0</v>
      </c>
      <c r="DP323" t="n">
        <v>11.32</v>
      </c>
      <c r="DQ323" t="n">
        <v>5.66</v>
      </c>
      <c r="DR323" t="n">
        <v>11.32</v>
      </c>
      <c r="DS323" t="n">
        <v>0</v>
      </c>
      <c r="DT323" t="n">
        <v>101</v>
      </c>
      <c r="DU323" t="n">
        <v>2.65</v>
      </c>
      <c r="DV323" t="inlineStr">
        <is>
          <t>flat</t>
        </is>
      </c>
      <c r="DW323" t="n">
        <v>111</v>
      </c>
      <c r="DZ323" t="n">
        <v>111</v>
      </c>
      <c r="EA323" t="n">
        <v>111</v>
      </c>
      <c r="EB323" t="n">
        <v>1</v>
      </c>
      <c r="EC323" t="n">
        <v>0.5</v>
      </c>
      <c r="ED323" t="n">
        <v>0</v>
      </c>
      <c r="EE323" t="n">
        <v>305</v>
      </c>
      <c r="EF323" t="n">
        <v>367</v>
      </c>
      <c r="EG323" t="n">
        <v>91.8</v>
      </c>
      <c r="EH323" t="n">
        <v>367</v>
      </c>
      <c r="EI323" t="n">
        <v>1446.5</v>
      </c>
      <c r="EJ323" t="n">
        <v>2855.9</v>
      </c>
      <c r="EK323" t="n">
        <v>960.2</v>
      </c>
      <c r="EL323" t="n">
        <v>19.3</v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n">
        <v>5.5</v>
      </c>
      <c r="F324" t="b">
        <v>1</v>
      </c>
      <c r="G324" t="b">
        <v>1</v>
      </c>
      <c r="H324" t="n">
        <v>20.5</v>
      </c>
      <c r="I324" t="inlineStr">
        <is>
          <t>a</t>
        </is>
      </c>
      <c r="L324" t="inlineStr">
        <is>
          <t>p496661</t>
        </is>
      </c>
      <c r="M324" t="n">
        <v>245</v>
      </c>
      <c r="Q324" t="n">
        <v>349</v>
      </c>
      <c r="R324" t="n">
        <v>14</v>
      </c>
      <c r="S324" t="n">
        <v>4</v>
      </c>
      <c r="T324" t="n">
        <v>3.878</v>
      </c>
      <c r="U324" t="n">
        <v>24.9</v>
      </c>
      <c r="V324" t="n">
        <v>18</v>
      </c>
      <c r="W324" t="n">
        <v>4.642</v>
      </c>
      <c r="X324" t="n">
        <v>0</v>
      </c>
      <c r="Y324" t="n">
        <v>0</v>
      </c>
      <c r="AA324" t="n">
        <v>2</v>
      </c>
      <c r="AB324" t="n">
        <v>2</v>
      </c>
      <c r="AC324" t="n">
        <v>0</v>
      </c>
      <c r="AD324" t="n">
        <v>0</v>
      </c>
      <c r="AE324" t="n">
        <v>0</v>
      </c>
      <c r="AF324" t="n">
        <v>49</v>
      </c>
      <c r="AG324" t="n">
        <v>47</v>
      </c>
      <c r="AH324" t="n">
        <v>-2</v>
      </c>
      <c r="AI324" t="n">
        <v>18</v>
      </c>
      <c r="AJ324" t="n">
        <v>0</v>
      </c>
      <c r="AK324" t="n">
        <v>0</v>
      </c>
      <c r="AL324" t="n">
        <v>40</v>
      </c>
      <c r="AM324" t="n">
        <v>10.315</v>
      </c>
      <c r="AN324" t="n">
        <v>1</v>
      </c>
      <c r="AO324" t="n">
        <v>2</v>
      </c>
      <c r="AP324" t="n">
        <v>0.25</v>
      </c>
      <c r="AQ324" t="n">
        <v>0.25</v>
      </c>
      <c r="AR324" t="n">
        <v>0.25</v>
      </c>
      <c r="AS324" t="n">
        <v>0.105</v>
      </c>
      <c r="AT324" t="n">
        <v>0.143</v>
      </c>
      <c r="AU324" t="n">
        <v>13</v>
      </c>
      <c r="AV324" t="n">
        <v>0</v>
      </c>
      <c r="AW324" t="n">
        <v>0.9399999999999999</v>
      </c>
      <c r="AX324" t="n">
        <v>5</v>
      </c>
      <c r="AY324" t="n">
        <v>0.2</v>
      </c>
      <c r="AZ324" t="n">
        <v>0.138</v>
      </c>
      <c r="BA324" t="n">
        <v>0.169</v>
      </c>
      <c r="BB324" t="n">
        <v>0.138</v>
      </c>
      <c r="BC324" t="n">
        <v>0.052</v>
      </c>
      <c r="BD324" t="n">
        <v>0.036</v>
      </c>
      <c r="BE324" t="n">
        <v>0.044</v>
      </c>
      <c r="BH324" t="n">
        <v>0.972</v>
      </c>
      <c r="BI324" t="n">
        <v>2.8</v>
      </c>
      <c r="BJ324" t="n">
        <v>0.194</v>
      </c>
      <c r="BK324" t="n">
        <v>0.05</v>
      </c>
      <c r="BL324" t="n">
        <v>-0.169</v>
      </c>
      <c r="BO324" t="n">
        <v>0.062</v>
      </c>
      <c r="BP324" t="n">
        <v>4</v>
      </c>
      <c r="BS324" t="n">
        <v>11</v>
      </c>
      <c r="BT324" t="n">
        <v>2.837</v>
      </c>
      <c r="BW324" t="n">
        <v>0.14</v>
      </c>
      <c r="BX324" t="n">
        <v>0.213</v>
      </c>
      <c r="BY324" t="n">
        <v>0.177</v>
      </c>
      <c r="BZ324" t="n">
        <v>0.046</v>
      </c>
      <c r="CA324" t="n">
        <v>0.345</v>
      </c>
      <c r="CB324" t="n">
        <v>0.089</v>
      </c>
      <c r="CC324" t="n">
        <v>4</v>
      </c>
      <c r="CE324" t="n">
        <v>4</v>
      </c>
      <c r="CF324" t="n">
        <v>1</v>
      </c>
      <c r="CI324" t="n">
        <v>0.864</v>
      </c>
      <c r="CJ324" t="n">
        <v>0.635</v>
      </c>
      <c r="CK324" t="n">
        <v>11</v>
      </c>
      <c r="CL324" t="n">
        <v>22</v>
      </c>
      <c r="CM324" t="n">
        <v>7</v>
      </c>
      <c r="CN324" t="n">
        <v>3</v>
      </c>
      <c r="CO324" t="n">
        <v>6</v>
      </c>
      <c r="CP324" t="n">
        <v>4</v>
      </c>
      <c r="CQ324" t="n">
        <v>1</v>
      </c>
      <c r="CR324" t="n">
        <v>33</v>
      </c>
      <c r="CS324" t="n">
        <v>2</v>
      </c>
      <c r="CW324" t="n">
        <v>6.65</v>
      </c>
      <c r="CX324" t="n">
        <v>1.715</v>
      </c>
      <c r="CY324" t="n">
        <v>0</v>
      </c>
      <c r="DB324" t="n">
        <v>0</v>
      </c>
      <c r="DF324" t="n">
        <v>2</v>
      </c>
      <c r="DG324" t="n">
        <v>0</v>
      </c>
      <c r="DH324" t="n">
        <v>11</v>
      </c>
      <c r="DI324" t="n">
        <v>11</v>
      </c>
      <c r="DL324" t="n">
        <v>13</v>
      </c>
      <c r="DM324" t="n">
        <v>10</v>
      </c>
      <c r="DO324" t="n">
        <v>0</v>
      </c>
      <c r="DP324" t="n">
        <v>12</v>
      </c>
      <c r="DQ324" t="n">
        <v>6</v>
      </c>
      <c r="DR324" t="n">
        <v>12</v>
      </c>
      <c r="DS324" t="n">
        <v>0</v>
      </c>
      <c r="DT324" t="n">
        <v>274</v>
      </c>
      <c r="DU324" t="n">
        <v>7.2</v>
      </c>
      <c r="DV324" t="inlineStr">
        <is>
          <t>flat</t>
        </is>
      </c>
      <c r="DW324" t="n">
        <v>98.29000000000001</v>
      </c>
      <c r="DZ324" t="n">
        <v>98.29000000000001</v>
      </c>
      <c r="EA324" t="n">
        <v>98.29000000000001</v>
      </c>
      <c r="EB324" t="n">
        <v>1</v>
      </c>
      <c r="EC324" t="n">
        <v>0.5</v>
      </c>
      <c r="ED324" t="n">
        <v>50</v>
      </c>
      <c r="EE324" t="n">
        <v>189</v>
      </c>
      <c r="EF324" t="n">
        <v>87.2</v>
      </c>
      <c r="EG324" t="n">
        <v>31.7</v>
      </c>
      <c r="EH324" t="n">
        <v>87.2</v>
      </c>
      <c r="EI324" t="n">
        <v>2066.4</v>
      </c>
      <c r="EJ324" t="n">
        <v>1976.2</v>
      </c>
      <c r="EK324" t="n">
        <v>1010.2</v>
      </c>
      <c r="EL324" t="n">
        <v>19.4</v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n">
        <v>5</v>
      </c>
      <c r="F325" t="b">
        <v>1</v>
      </c>
      <c r="G325" t="b">
        <v>1</v>
      </c>
      <c r="I325" t="inlineStr">
        <is>
          <t>u</t>
        </is>
      </c>
      <c r="J325" t="inlineStr">
        <is>
          <t>has returned to Getafe CF</t>
        </is>
      </c>
      <c r="K325" t="n">
        <v>0</v>
      </c>
      <c r="L325" t="inlineStr">
        <is>
          <t>p660392</t>
        </is>
      </c>
      <c r="M325" t="n">
        <v>225</v>
      </c>
      <c r="Q325" t="n">
        <v>159</v>
      </c>
      <c r="R325" t="n">
        <v>14</v>
      </c>
      <c r="S325" t="n">
        <v>0</v>
      </c>
      <c r="T325" t="n">
        <v>1.767</v>
      </c>
      <c r="U325" t="n">
        <v>11.4</v>
      </c>
      <c r="V325" t="n">
        <v>17</v>
      </c>
      <c r="W325" t="n">
        <v>9.622999999999999</v>
      </c>
      <c r="X325" t="n">
        <v>0</v>
      </c>
      <c r="Y325" t="n">
        <v>1</v>
      </c>
      <c r="AA325" t="n">
        <v>0</v>
      </c>
      <c r="AB325" t="n">
        <v>4</v>
      </c>
      <c r="AC325" t="n">
        <v>0</v>
      </c>
      <c r="AD325" t="n">
        <v>0</v>
      </c>
      <c r="AE325" t="n">
        <v>0</v>
      </c>
      <c r="AF325" t="n">
        <v>42</v>
      </c>
      <c r="AG325" t="n">
        <v>42</v>
      </c>
      <c r="AH325" t="n">
        <v>0</v>
      </c>
      <c r="AI325" t="n">
        <v>17</v>
      </c>
      <c r="AJ325" t="n">
        <v>0</v>
      </c>
      <c r="AK325" t="n">
        <v>0</v>
      </c>
      <c r="AL325" t="n">
        <v>13</v>
      </c>
      <c r="AM325" t="n">
        <v>7.358</v>
      </c>
      <c r="AN325" t="n">
        <v>0</v>
      </c>
      <c r="AO325" t="n">
        <v>0</v>
      </c>
      <c r="AS325" t="n">
        <v>0</v>
      </c>
      <c r="AT325" t="n">
        <v>0</v>
      </c>
      <c r="AU325" t="n">
        <v>13</v>
      </c>
      <c r="AV325" t="n">
        <v>0</v>
      </c>
      <c r="AW325" t="n">
        <v>0.78</v>
      </c>
      <c r="AX325" t="n">
        <v>4</v>
      </c>
      <c r="AY325" t="n">
        <v>0.49</v>
      </c>
      <c r="AZ325" t="n">
        <v>0.78</v>
      </c>
      <c r="BA325" t="n">
        <v>0.635</v>
      </c>
      <c r="BB325" t="n">
        <v>0.78</v>
      </c>
      <c r="BC325" t="n">
        <v>0.277</v>
      </c>
      <c r="BD325" t="n">
        <v>0.441</v>
      </c>
      <c r="BE325" t="n">
        <v>0.359</v>
      </c>
      <c r="BF325" t="n">
        <v>0.4</v>
      </c>
      <c r="BG325" t="n">
        <v>0.226</v>
      </c>
      <c r="BH325" t="n">
        <v>0.989</v>
      </c>
      <c r="BI325" t="n">
        <v>0.49</v>
      </c>
      <c r="BJ325" t="n">
        <v>0.485</v>
      </c>
      <c r="BK325" t="n">
        <v>0.275</v>
      </c>
      <c r="BL325" t="n">
        <v>-0.635</v>
      </c>
      <c r="BM325" t="n">
        <v>-0.09</v>
      </c>
      <c r="BN325" t="n">
        <v>-0.4</v>
      </c>
      <c r="BO325" t="n">
        <v>-0.29</v>
      </c>
      <c r="BP325" t="n">
        <v>6</v>
      </c>
      <c r="BQ325" t="n">
        <v>2</v>
      </c>
      <c r="BR325" t="n">
        <v>1</v>
      </c>
      <c r="BS325" t="n">
        <v>16</v>
      </c>
      <c r="BT325" t="n">
        <v>9.057</v>
      </c>
      <c r="BW325" t="n">
        <v>0.01</v>
      </c>
      <c r="BX325" t="n">
        <v>0</v>
      </c>
      <c r="BY325" t="n">
        <v>0.005</v>
      </c>
      <c r="BZ325" t="n">
        <v>0.003</v>
      </c>
      <c r="CA325" t="n">
        <v>0.64</v>
      </c>
      <c r="CB325" t="n">
        <v>0.362</v>
      </c>
      <c r="CC325" t="n">
        <v>0</v>
      </c>
      <c r="CI325" t="n">
        <v>0.753</v>
      </c>
      <c r="CJ325" t="n">
        <v>0.034</v>
      </c>
      <c r="CK325" t="n">
        <v>3</v>
      </c>
      <c r="CL325" t="n">
        <v>9</v>
      </c>
      <c r="CM325" t="n">
        <v>1</v>
      </c>
      <c r="CN325" t="n">
        <v>1</v>
      </c>
      <c r="CP325" t="n">
        <v>3</v>
      </c>
      <c r="CR325" t="n">
        <v>16</v>
      </c>
      <c r="CS325" t="n">
        <v>8</v>
      </c>
      <c r="CW325" t="n">
        <v>4.63</v>
      </c>
      <c r="CX325" t="n">
        <v>2.621</v>
      </c>
      <c r="CY325" t="n">
        <v>0</v>
      </c>
      <c r="DB325" t="n">
        <v>0</v>
      </c>
      <c r="DF325" t="n">
        <v>0</v>
      </c>
      <c r="DG325" t="n">
        <v>0</v>
      </c>
      <c r="DH325" t="n">
        <v>4</v>
      </c>
      <c r="DI325" t="n">
        <v>7</v>
      </c>
      <c r="DJ325" t="n">
        <v>1</v>
      </c>
      <c r="DM325" t="n">
        <v>7</v>
      </c>
      <c r="DN325" t="n">
        <v>3</v>
      </c>
      <c r="DO325" t="n">
        <v>0</v>
      </c>
      <c r="EF325" t="n">
        <v>26.5</v>
      </c>
      <c r="EG325" t="n">
        <v>9.9</v>
      </c>
      <c r="EI325" t="n">
        <v>250.4</v>
      </c>
      <c r="EJ325" t="n">
        <v>31800</v>
      </c>
      <c r="EK325" t="n">
        <v>248.5</v>
      </c>
      <c r="EL325" t="n">
        <v>9.4</v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n">
        <v>5</v>
      </c>
      <c r="F326" t="b">
        <v>1</v>
      </c>
      <c r="G326" t="b">
        <v>1</v>
      </c>
      <c r="H326" t="n">
        <v>27.1</v>
      </c>
      <c r="I326" t="inlineStr">
        <is>
          <t>a</t>
        </is>
      </c>
      <c r="L326" t="inlineStr">
        <is>
          <t>p235826</t>
        </is>
      </c>
      <c r="M326" t="n">
        <v>348</v>
      </c>
      <c r="N326" t="n">
        <v>3</v>
      </c>
      <c r="Q326" t="n">
        <v>244</v>
      </c>
      <c r="R326" t="n">
        <v>16</v>
      </c>
      <c r="S326" t="n">
        <v>2</v>
      </c>
      <c r="T326" t="n">
        <v>2.711</v>
      </c>
      <c r="U326" t="n">
        <v>15.2</v>
      </c>
      <c r="V326" t="n">
        <v>17</v>
      </c>
      <c r="W326" t="n">
        <v>6.27</v>
      </c>
      <c r="X326" t="n">
        <v>0</v>
      </c>
      <c r="Y326" t="n">
        <v>0</v>
      </c>
      <c r="AA326" t="n">
        <v>1</v>
      </c>
      <c r="AB326" t="n">
        <v>9</v>
      </c>
      <c r="AC326" t="n">
        <v>0</v>
      </c>
      <c r="AD326" t="n">
        <v>0</v>
      </c>
      <c r="AE326" t="n">
        <v>0</v>
      </c>
      <c r="AF326" t="n">
        <v>42</v>
      </c>
      <c r="AG326" t="n">
        <v>42</v>
      </c>
      <c r="AH326" t="n">
        <v>0</v>
      </c>
      <c r="AI326" t="n">
        <v>17</v>
      </c>
      <c r="AJ326" t="n">
        <v>0</v>
      </c>
      <c r="AK326" t="n">
        <v>0</v>
      </c>
      <c r="AL326" t="n">
        <v>14</v>
      </c>
      <c r="AM326" t="n">
        <v>5.164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0.053</v>
      </c>
      <c r="AT326" t="n">
        <v>0.062</v>
      </c>
      <c r="AU326" t="n">
        <v>16</v>
      </c>
      <c r="AV326" t="n">
        <v>0</v>
      </c>
      <c r="AW326" t="n">
        <v>0.55</v>
      </c>
      <c r="AX326" t="n">
        <v>2</v>
      </c>
      <c r="AY326" t="n">
        <v>0.9</v>
      </c>
      <c r="AZ326" t="n">
        <v>1.084</v>
      </c>
      <c r="BA326" t="n">
        <v>0.992</v>
      </c>
      <c r="BB326" t="n">
        <v>1.084</v>
      </c>
      <c r="BC326" t="n">
        <v>0.332</v>
      </c>
      <c r="BD326" t="n">
        <v>0.4</v>
      </c>
      <c r="BE326" t="n">
        <v>0.366</v>
      </c>
      <c r="BF326" t="n">
        <v>0.5</v>
      </c>
      <c r="BG326" t="n">
        <v>0.184</v>
      </c>
      <c r="BH326" t="n">
        <v>0.955</v>
      </c>
      <c r="BI326" t="n">
        <v>0.9</v>
      </c>
      <c r="BJ326" t="n">
        <v>0.86</v>
      </c>
      <c r="BK326" t="n">
        <v>0.317</v>
      </c>
      <c r="BL326" t="n">
        <v>-0.992</v>
      </c>
      <c r="BM326" t="n">
        <v>-0.4</v>
      </c>
      <c r="BN326" t="n">
        <v>-0.5</v>
      </c>
      <c r="BO326" t="n">
        <v>-0.184</v>
      </c>
      <c r="BP326" t="n">
        <v>14</v>
      </c>
      <c r="BQ326" t="n">
        <v>3</v>
      </c>
      <c r="BR326" t="n">
        <v>1</v>
      </c>
      <c r="BS326" t="n">
        <v>18</v>
      </c>
      <c r="BT326" t="n">
        <v>6.639</v>
      </c>
      <c r="BW326" t="n">
        <v>0.13</v>
      </c>
      <c r="BX326" t="n">
        <v>0.08599999999999999</v>
      </c>
      <c r="BY326" t="n">
        <v>0.108</v>
      </c>
      <c r="BZ326" t="n">
        <v>0.04</v>
      </c>
      <c r="CA326" t="n">
        <v>1.1</v>
      </c>
      <c r="CB326" t="n">
        <v>0.406</v>
      </c>
      <c r="CC326" t="n">
        <v>1</v>
      </c>
      <c r="CE326" t="n">
        <v>1</v>
      </c>
      <c r="CF326" t="n">
        <v>1</v>
      </c>
      <c r="CI326" t="n">
        <v>1.204</v>
      </c>
      <c r="CJ326" t="n">
        <v>0.217</v>
      </c>
      <c r="CK326" t="n">
        <v>2</v>
      </c>
      <c r="CL326" t="n">
        <v>10</v>
      </c>
      <c r="CM326" t="n">
        <v>2</v>
      </c>
      <c r="CN326" t="n">
        <v>1</v>
      </c>
      <c r="CO326" t="n">
        <v>1</v>
      </c>
      <c r="CP326" t="n">
        <v>1</v>
      </c>
      <c r="CR326" t="n">
        <v>8</v>
      </c>
      <c r="CS326" t="n">
        <v>5</v>
      </c>
      <c r="CW326" t="n">
        <v>6.81</v>
      </c>
      <c r="CX326" t="n">
        <v>2.512</v>
      </c>
      <c r="CY326" t="n">
        <v>0</v>
      </c>
      <c r="DB326" t="n">
        <v>0</v>
      </c>
      <c r="DF326" t="n">
        <v>0</v>
      </c>
      <c r="DG326" t="n">
        <v>0</v>
      </c>
      <c r="DH326" t="n">
        <v>4</v>
      </c>
      <c r="DL326" t="n">
        <v>1</v>
      </c>
      <c r="DM326" t="n">
        <v>5</v>
      </c>
      <c r="DN326" t="n">
        <v>1</v>
      </c>
      <c r="DO326" t="n">
        <v>0.5</v>
      </c>
      <c r="DP326" t="n">
        <v>15.22</v>
      </c>
      <c r="DQ326" t="n">
        <v>7.61</v>
      </c>
      <c r="DR326" t="n">
        <v>15.22</v>
      </c>
      <c r="DS326" t="n">
        <v>0</v>
      </c>
      <c r="DT326" t="n">
        <v>15</v>
      </c>
      <c r="DU326" t="n">
        <v>0.4</v>
      </c>
      <c r="DV326" t="inlineStr">
        <is>
          <t>flat</t>
        </is>
      </c>
      <c r="DW326" t="n">
        <v>109.62</v>
      </c>
      <c r="DX326" t="n">
        <v>106</v>
      </c>
      <c r="DY326" t="n">
        <v>3.64</v>
      </c>
      <c r="DZ326" t="n">
        <v>106</v>
      </c>
      <c r="EA326" t="n">
        <v>113</v>
      </c>
      <c r="EB326" t="n">
        <v>4</v>
      </c>
      <c r="EC326" t="n">
        <v>1.9</v>
      </c>
      <c r="ED326" t="n">
        <v>20</v>
      </c>
      <c r="EE326" t="n">
        <v>307</v>
      </c>
      <c r="EF326" t="n">
        <v>17.4</v>
      </c>
      <c r="EG326" t="n">
        <v>13.6</v>
      </c>
      <c r="EH326" t="n">
        <v>244</v>
      </c>
      <c r="EI326" t="n">
        <v>246</v>
      </c>
      <c r="EJ326" t="n">
        <v>2261.3</v>
      </c>
      <c r="EK326" t="n">
        <v>221.9</v>
      </c>
      <c r="EL326" t="n">
        <v>14.4</v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n">
        <v>5.5</v>
      </c>
      <c r="F327" t="b">
        <v>1</v>
      </c>
      <c r="G327" t="b">
        <v>1</v>
      </c>
      <c r="H327" t="n">
        <v>23.8</v>
      </c>
      <c r="I327" t="inlineStr">
        <is>
          <t>a</t>
        </is>
      </c>
      <c r="L327" t="inlineStr">
        <is>
          <t>p432714</t>
        </is>
      </c>
      <c r="M327" t="n">
        <v>486</v>
      </c>
      <c r="O327" t="n">
        <v>3</v>
      </c>
      <c r="Q327" t="n">
        <v>288</v>
      </c>
      <c r="R327" t="n">
        <v>14</v>
      </c>
      <c r="S327" t="n">
        <v>2</v>
      </c>
      <c r="T327" t="n">
        <v>3.2</v>
      </c>
      <c r="U327" t="n">
        <v>20.6</v>
      </c>
      <c r="V327" t="n">
        <v>17</v>
      </c>
      <c r="W327" t="n">
        <v>5.312</v>
      </c>
      <c r="X327" t="n">
        <v>0</v>
      </c>
      <c r="Y327" t="n">
        <v>1</v>
      </c>
      <c r="Z327" t="n">
        <v>1</v>
      </c>
      <c r="AA327" t="n">
        <v>0</v>
      </c>
      <c r="AB327" t="n">
        <v>9</v>
      </c>
      <c r="AC327" t="n">
        <v>0</v>
      </c>
      <c r="AD327" t="n">
        <v>0</v>
      </c>
      <c r="AE327" t="n">
        <v>0</v>
      </c>
      <c r="AF327" t="n">
        <v>60</v>
      </c>
      <c r="AG327" t="n">
        <v>59</v>
      </c>
      <c r="AH327" t="n">
        <v>-1</v>
      </c>
      <c r="AI327" t="n">
        <v>17</v>
      </c>
      <c r="AJ327" t="n">
        <v>0</v>
      </c>
      <c r="AK327" t="n">
        <v>0</v>
      </c>
      <c r="AL327" t="n">
        <v>32</v>
      </c>
      <c r="AM327" t="n">
        <v>10</v>
      </c>
      <c r="AN327" t="n">
        <v>0</v>
      </c>
      <c r="AO327" t="n">
        <v>0</v>
      </c>
      <c r="AP327" t="n">
        <v>0</v>
      </c>
      <c r="AQ327" t="n">
        <v>0.5</v>
      </c>
      <c r="AR327" t="n">
        <v>0</v>
      </c>
      <c r="AS327" t="n">
        <v>0.053</v>
      </c>
      <c r="AT327" t="n">
        <v>0.07099999999999999</v>
      </c>
      <c r="AU327" t="n">
        <v>13</v>
      </c>
      <c r="AV327" t="n">
        <v>0</v>
      </c>
      <c r="AW327" t="n">
        <v>0.8</v>
      </c>
      <c r="AX327" t="n">
        <v>4</v>
      </c>
      <c r="AY327" t="n">
        <v>0.18</v>
      </c>
      <c r="AZ327" t="n">
        <v>0.2</v>
      </c>
      <c r="BA327" t="n">
        <v>0.19</v>
      </c>
      <c r="BB327" t="n">
        <v>0.2</v>
      </c>
      <c r="BC327" t="n">
        <v>0.056</v>
      </c>
      <c r="BD327" t="n">
        <v>0.062</v>
      </c>
      <c r="BE327" t="n">
        <v>0.059</v>
      </c>
      <c r="BH327" t="n">
        <v>1.017</v>
      </c>
      <c r="BI327" t="n">
        <v>5.96</v>
      </c>
      <c r="BJ327" t="n">
        <v>0.183</v>
      </c>
      <c r="BK327" t="n">
        <v>0.057</v>
      </c>
      <c r="BL327" t="n">
        <v>-0.19</v>
      </c>
      <c r="BO327" t="n">
        <v>-0.02</v>
      </c>
      <c r="BP327" t="n">
        <v>4</v>
      </c>
      <c r="BS327" t="n">
        <v>15</v>
      </c>
      <c r="BT327" t="n">
        <v>4.688</v>
      </c>
      <c r="BW327" t="n">
        <v>0.37</v>
      </c>
      <c r="BX327" t="n">
        <v>0.862</v>
      </c>
      <c r="BY327" t="n">
        <v>0.616</v>
      </c>
      <c r="BZ327" t="n">
        <v>0.192</v>
      </c>
      <c r="CA327" t="n">
        <v>0.806</v>
      </c>
      <c r="CB327" t="n">
        <v>0.252</v>
      </c>
      <c r="CC327" t="n">
        <v>6</v>
      </c>
      <c r="CD327" t="n">
        <v>1</v>
      </c>
      <c r="CE327" t="n">
        <v>6</v>
      </c>
      <c r="CH327" t="n">
        <v>2</v>
      </c>
      <c r="CI327" t="n">
        <v>1.442</v>
      </c>
      <c r="CJ327" t="n">
        <v>0.64</v>
      </c>
      <c r="CK327" t="n">
        <v>7</v>
      </c>
      <c r="CL327" t="n">
        <v>18</v>
      </c>
      <c r="CM327" t="n">
        <v>7</v>
      </c>
      <c r="CN327" t="n">
        <v>4</v>
      </c>
      <c r="CO327" t="n">
        <v>3</v>
      </c>
      <c r="CP327" t="n">
        <v>3</v>
      </c>
      <c r="CQ327" t="n">
        <v>1</v>
      </c>
      <c r="CR327" t="n">
        <v>16</v>
      </c>
      <c r="CS327" t="n">
        <v>1</v>
      </c>
      <c r="CW327" t="n">
        <v>7.34</v>
      </c>
      <c r="CX327" t="n">
        <v>2.294</v>
      </c>
      <c r="CY327" t="n">
        <v>0</v>
      </c>
      <c r="DB327" t="n">
        <v>0</v>
      </c>
      <c r="DF327" t="n">
        <v>1</v>
      </c>
      <c r="DG327" t="n">
        <v>0</v>
      </c>
      <c r="DH327" t="n">
        <v>4</v>
      </c>
      <c r="DI327" t="n">
        <v>5</v>
      </c>
      <c r="DL327" t="n">
        <v>3</v>
      </c>
      <c r="DM327" t="n">
        <v>9</v>
      </c>
      <c r="DN327" t="n">
        <v>2</v>
      </c>
      <c r="DO327" t="n">
        <v>0</v>
      </c>
      <c r="DP327" t="n">
        <v>28.18</v>
      </c>
      <c r="DQ327" t="n">
        <v>14.09</v>
      </c>
      <c r="DR327" t="n">
        <v>28.18</v>
      </c>
      <c r="DS327" t="n">
        <v>0</v>
      </c>
      <c r="DT327" t="n">
        <v>633</v>
      </c>
      <c r="DU327" t="n">
        <v>16.65</v>
      </c>
      <c r="DV327" t="inlineStr">
        <is>
          <t>flat</t>
        </is>
      </c>
      <c r="ED327" t="n">
        <v>100</v>
      </c>
      <c r="EE327" t="n">
        <v>190</v>
      </c>
      <c r="EF327" t="n">
        <v>72</v>
      </c>
      <c r="EG327" t="n">
        <v>19.2</v>
      </c>
      <c r="EH327" t="n">
        <v>48</v>
      </c>
      <c r="EI327" t="n">
        <v>1516.8</v>
      </c>
      <c r="EJ327" t="n">
        <v>467.6</v>
      </c>
      <c r="EK327" t="n">
        <v>357.4</v>
      </c>
      <c r="EL327" t="n">
        <v>16.9</v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n">
        <v>5.5</v>
      </c>
      <c r="F328" t="b">
        <v>1</v>
      </c>
      <c r="G328" t="b">
        <v>1</v>
      </c>
      <c r="H328" t="n">
        <v>20.6</v>
      </c>
      <c r="I328" t="inlineStr">
        <is>
          <t>d</t>
        </is>
      </c>
      <c r="J328" t="inlineStr">
        <is>
          <t>Knee injury - 75% chance of playing</t>
        </is>
      </c>
      <c r="K328" t="n">
        <v>75</v>
      </c>
      <c r="L328" t="inlineStr">
        <is>
          <t>p608181</t>
        </is>
      </c>
      <c r="M328" t="n">
        <v>137</v>
      </c>
      <c r="Q328" t="n">
        <v>132</v>
      </c>
      <c r="R328" t="n">
        <v>9</v>
      </c>
      <c r="S328" t="n">
        <v>1</v>
      </c>
      <c r="T328" t="n">
        <v>1.467</v>
      </c>
      <c r="U328" t="n">
        <v>14.7</v>
      </c>
      <c r="V328" t="n">
        <v>16</v>
      </c>
      <c r="W328" t="n">
        <v>10.909</v>
      </c>
      <c r="X328" t="n">
        <v>1</v>
      </c>
      <c r="Y328" t="n">
        <v>1</v>
      </c>
      <c r="Z328" t="n">
        <v>1</v>
      </c>
      <c r="AA328" t="n">
        <v>0</v>
      </c>
      <c r="AB328" t="n">
        <v>2</v>
      </c>
      <c r="AC328" t="n">
        <v>0</v>
      </c>
      <c r="AD328" t="n">
        <v>0</v>
      </c>
      <c r="AE328" t="n">
        <v>0</v>
      </c>
      <c r="AF328" t="n">
        <v>55</v>
      </c>
      <c r="AG328" t="n">
        <v>55</v>
      </c>
      <c r="AH328" t="n">
        <v>0</v>
      </c>
      <c r="AI328" t="n">
        <v>16</v>
      </c>
      <c r="AJ328" t="n">
        <v>0</v>
      </c>
      <c r="AK328" t="n">
        <v>0</v>
      </c>
      <c r="AL328" t="n">
        <v>15</v>
      </c>
      <c r="AM328" t="n">
        <v>10.227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0.026</v>
      </c>
      <c r="AT328" t="n">
        <v>0</v>
      </c>
      <c r="AU328" t="n">
        <v>7</v>
      </c>
      <c r="AV328" t="n">
        <v>0</v>
      </c>
      <c r="AW328" t="n">
        <v>1.06</v>
      </c>
      <c r="AX328" t="n">
        <v>5</v>
      </c>
      <c r="AY328" t="n">
        <v>0.44</v>
      </c>
      <c r="AZ328" t="n">
        <v>0.625</v>
      </c>
      <c r="BA328" t="n">
        <v>0.533</v>
      </c>
      <c r="BB328" t="n">
        <v>0.625</v>
      </c>
      <c r="BC328" t="n">
        <v>0.3</v>
      </c>
      <c r="BD328" t="n">
        <v>0.426</v>
      </c>
      <c r="BE328" t="n">
        <v>0.363</v>
      </c>
      <c r="BF328" t="n">
        <v>0.6</v>
      </c>
      <c r="BG328" t="n">
        <v>0.409</v>
      </c>
      <c r="BH328" t="n">
        <v>1.019</v>
      </c>
      <c r="BI328" t="n">
        <v>0.44</v>
      </c>
      <c r="BJ328" t="n">
        <v>0.448</v>
      </c>
      <c r="BK328" t="n">
        <v>0.305</v>
      </c>
      <c r="BL328" t="n">
        <v>0.467</v>
      </c>
      <c r="BM328" t="n">
        <v>0.16</v>
      </c>
      <c r="BN328" t="n">
        <v>0.4</v>
      </c>
      <c r="BO328" t="n">
        <v>-0.185</v>
      </c>
      <c r="BP328" t="n">
        <v>4</v>
      </c>
      <c r="BQ328" t="n">
        <v>1</v>
      </c>
      <c r="BR328" t="n">
        <v>1</v>
      </c>
      <c r="BS328" t="n">
        <v>11</v>
      </c>
      <c r="BT328" t="n">
        <v>7.5</v>
      </c>
      <c r="BW328" t="n">
        <v>0.11</v>
      </c>
      <c r="BX328" t="n">
        <v>0.384</v>
      </c>
      <c r="BY328" t="n">
        <v>0.247</v>
      </c>
      <c r="BZ328" t="n">
        <v>0.169</v>
      </c>
      <c r="CA328" t="n">
        <v>0.78</v>
      </c>
      <c r="CB328" t="n">
        <v>0.532</v>
      </c>
      <c r="CC328" t="n">
        <v>6</v>
      </c>
      <c r="CE328" t="n">
        <v>6</v>
      </c>
      <c r="CI328" t="n">
        <v>0.8070000000000001</v>
      </c>
      <c r="CJ328" t="n">
        <v>0.01</v>
      </c>
      <c r="CK328" t="n">
        <v>2</v>
      </c>
      <c r="CL328" t="n">
        <v>10</v>
      </c>
      <c r="CM328" t="n">
        <v>3</v>
      </c>
      <c r="CN328" t="n">
        <v>2</v>
      </c>
      <c r="CP328" t="n">
        <v>1</v>
      </c>
      <c r="CQ328" t="n">
        <v>1</v>
      </c>
      <c r="CR328" t="n">
        <v>5</v>
      </c>
      <c r="CW328" t="n">
        <v>2.59</v>
      </c>
      <c r="CX328" t="n">
        <v>1.766</v>
      </c>
      <c r="CY328" t="n">
        <v>0</v>
      </c>
      <c r="DB328" t="n">
        <v>0</v>
      </c>
      <c r="DF328" t="n">
        <v>0</v>
      </c>
      <c r="DG328" t="n">
        <v>0</v>
      </c>
      <c r="DH328" t="n">
        <v>4</v>
      </c>
      <c r="DI328" t="n">
        <v>1</v>
      </c>
      <c r="DL328" t="n">
        <v>1</v>
      </c>
      <c r="DM328" t="n">
        <v>9</v>
      </c>
      <c r="DN328" t="n">
        <v>1</v>
      </c>
      <c r="DO328" t="n">
        <v>0</v>
      </c>
      <c r="DP328" t="n">
        <v>24.2</v>
      </c>
      <c r="DQ328" t="n">
        <v>11.6</v>
      </c>
      <c r="DR328" t="n">
        <v>23.2</v>
      </c>
      <c r="DS328" t="n">
        <v>1</v>
      </c>
      <c r="DT328" t="n">
        <v>268</v>
      </c>
      <c r="DU328" t="n">
        <v>7.06</v>
      </c>
      <c r="DV328" t="inlineStr">
        <is>
          <t>flat</t>
        </is>
      </c>
      <c r="DW328" t="n">
        <v>103.31</v>
      </c>
      <c r="DY328" t="n">
        <v>1.85</v>
      </c>
      <c r="DZ328" t="n">
        <v>102</v>
      </c>
      <c r="EA328" t="n">
        <v>104.62</v>
      </c>
      <c r="EB328" t="n">
        <v>2</v>
      </c>
      <c r="EC328" t="n">
        <v>1</v>
      </c>
      <c r="ED328" t="n">
        <v>60</v>
      </c>
      <c r="EE328" t="n">
        <v>193</v>
      </c>
      <c r="EF328" t="n">
        <v>33</v>
      </c>
      <c r="EG328" t="n">
        <v>12</v>
      </c>
      <c r="EH328" t="n">
        <v>22</v>
      </c>
      <c r="EI328" t="n">
        <v>247.9</v>
      </c>
      <c r="EJ328" t="n">
        <v>534.1</v>
      </c>
      <c r="EK328" t="n">
        <v>169.3</v>
      </c>
      <c r="EL328" t="n">
        <v>8.199999999999999</v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n">
        <v>4.5</v>
      </c>
      <c r="F329" t="b">
        <v>1</v>
      </c>
      <c r="G329" t="b">
        <v>1</v>
      </c>
      <c r="H329" t="n">
        <v>23.2</v>
      </c>
      <c r="I329" t="inlineStr">
        <is>
          <t>a</t>
        </is>
      </c>
      <c r="L329" t="inlineStr">
        <is>
          <t>p515046</t>
        </is>
      </c>
      <c r="M329" t="n">
        <v>531</v>
      </c>
      <c r="Q329" t="n">
        <v>270</v>
      </c>
      <c r="R329" t="n">
        <v>3</v>
      </c>
      <c r="S329" t="n">
        <v>3</v>
      </c>
      <c r="T329" t="n">
        <v>3</v>
      </c>
      <c r="U329" t="n">
        <v>90</v>
      </c>
      <c r="V329" t="n">
        <v>16</v>
      </c>
      <c r="W329" t="n">
        <v>5.333</v>
      </c>
      <c r="X329" t="n">
        <v>0</v>
      </c>
      <c r="Y329" t="n">
        <v>0</v>
      </c>
      <c r="AA329" t="n">
        <v>1</v>
      </c>
      <c r="AB329" t="n">
        <v>2</v>
      </c>
      <c r="AC329" t="n">
        <v>3</v>
      </c>
      <c r="AD329" t="n">
        <v>3</v>
      </c>
      <c r="AE329" t="n">
        <v>0</v>
      </c>
      <c r="AF329" t="n">
        <v>62</v>
      </c>
      <c r="AG329" t="n">
        <v>59</v>
      </c>
      <c r="AH329" t="n">
        <v>-3</v>
      </c>
      <c r="AI329" t="n">
        <v>16</v>
      </c>
      <c r="AJ329" t="n">
        <v>0.188</v>
      </c>
      <c r="AK329" t="n">
        <v>0.231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0.079</v>
      </c>
      <c r="AT329" t="n">
        <v>1</v>
      </c>
      <c r="AU329" t="n">
        <v>0</v>
      </c>
      <c r="AV329" t="n">
        <v>1</v>
      </c>
      <c r="AW329" t="n">
        <v>2.77</v>
      </c>
      <c r="AX329" t="n">
        <v>10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H329" t="n">
        <v>1</v>
      </c>
      <c r="BI329" t="n">
        <v>0</v>
      </c>
      <c r="BJ329" t="n">
        <v>0</v>
      </c>
      <c r="BK329" t="n">
        <v>0</v>
      </c>
      <c r="BL329" t="n">
        <v>0</v>
      </c>
      <c r="BO329" t="n">
        <v>0</v>
      </c>
      <c r="BW329" t="n">
        <v>0.02</v>
      </c>
      <c r="BX329" t="n">
        <v>0</v>
      </c>
      <c r="BY329" t="n">
        <v>0.01</v>
      </c>
      <c r="BZ329" t="n">
        <v>0.003</v>
      </c>
      <c r="CA329" t="n">
        <v>0.01</v>
      </c>
      <c r="CB329" t="n">
        <v>0.003</v>
      </c>
      <c r="CC329" t="n">
        <v>0</v>
      </c>
      <c r="CI329" t="n">
        <v>0.101</v>
      </c>
      <c r="CJ329" t="n">
        <v>0.101</v>
      </c>
      <c r="CK329" t="n">
        <v>6</v>
      </c>
      <c r="CL329" t="n">
        <v>33</v>
      </c>
      <c r="CM329" t="n">
        <v>0</v>
      </c>
      <c r="CP329" t="n">
        <v>6</v>
      </c>
      <c r="CR329" t="n">
        <v>2</v>
      </c>
      <c r="CW329" t="n">
        <v>4.1</v>
      </c>
      <c r="CX329" t="n">
        <v>1.367</v>
      </c>
      <c r="CY329" t="n">
        <v>10</v>
      </c>
      <c r="DB329" t="n">
        <v>0</v>
      </c>
      <c r="DD329" t="n">
        <v>3</v>
      </c>
      <c r="DF329" t="n">
        <v>0</v>
      </c>
      <c r="DG329" t="n">
        <v>0</v>
      </c>
      <c r="DI329" t="n">
        <v>1</v>
      </c>
      <c r="DL329" t="n">
        <v>1</v>
      </c>
      <c r="DO329" t="n">
        <v>0.1</v>
      </c>
      <c r="DP329" t="n">
        <v>0.38</v>
      </c>
      <c r="DQ329" t="n">
        <v>0.19</v>
      </c>
      <c r="DR329" t="n">
        <v>0.38</v>
      </c>
      <c r="DS329" t="n">
        <v>0</v>
      </c>
      <c r="DT329" t="n">
        <v>0</v>
      </c>
      <c r="DU329" t="n">
        <v>0.01</v>
      </c>
      <c r="DV329" t="inlineStr">
        <is>
          <t>flat</t>
        </is>
      </c>
      <c r="DW329" t="n">
        <v>115.87</v>
      </c>
      <c r="DX329" t="n">
        <v>113.5</v>
      </c>
      <c r="DY329" t="n">
        <v>2.78</v>
      </c>
      <c r="DZ329" t="n">
        <v>112</v>
      </c>
      <c r="EA329" t="n">
        <v>120</v>
      </c>
      <c r="EB329" t="n">
        <v>9</v>
      </c>
      <c r="EC329" t="n">
        <v>4.3</v>
      </c>
      <c r="ED329" t="n">
        <v>18.2</v>
      </c>
      <c r="EE329" t="n">
        <v>445</v>
      </c>
      <c r="EJ329" t="n">
        <v>27000</v>
      </c>
      <c r="EK329" t="n">
        <v>27000</v>
      </c>
      <c r="EL329" t="n">
        <v>16.9</v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n">
        <v>5.5</v>
      </c>
      <c r="F330" t="b">
        <v>1</v>
      </c>
      <c r="G330" t="b">
        <v>1</v>
      </c>
      <c r="H330" t="n">
        <v>25.7</v>
      </c>
      <c r="I330" t="inlineStr">
        <is>
          <t>a</t>
        </is>
      </c>
      <c r="L330" t="inlineStr">
        <is>
          <t>p219249</t>
        </is>
      </c>
      <c r="M330" t="n">
        <v>126</v>
      </c>
      <c r="N330" t="n">
        <v>2</v>
      </c>
      <c r="Q330" t="n">
        <v>202</v>
      </c>
      <c r="R330" t="n">
        <v>6</v>
      </c>
      <c r="S330" t="n">
        <v>2</v>
      </c>
      <c r="T330" t="n">
        <v>2.244</v>
      </c>
      <c r="U330" t="n">
        <v>33.7</v>
      </c>
      <c r="V330" t="n">
        <v>16</v>
      </c>
      <c r="W330" t="n">
        <v>7.129</v>
      </c>
      <c r="X330" t="n">
        <v>1</v>
      </c>
      <c r="Y330" t="n">
        <v>0</v>
      </c>
      <c r="AA330" t="n">
        <v>1</v>
      </c>
      <c r="AB330" t="n">
        <v>3</v>
      </c>
      <c r="AC330" t="n">
        <v>2</v>
      </c>
      <c r="AD330" t="n">
        <v>2</v>
      </c>
      <c r="AE330" t="n">
        <v>0</v>
      </c>
      <c r="AF330" t="n">
        <v>48</v>
      </c>
      <c r="AG330" t="n">
        <v>48</v>
      </c>
      <c r="AH330" t="n">
        <v>0</v>
      </c>
      <c r="AI330" t="n">
        <v>16</v>
      </c>
      <c r="AJ330" t="n">
        <v>0.125</v>
      </c>
      <c r="AK330" t="n">
        <v>0.143</v>
      </c>
      <c r="AL330" t="n">
        <v>10</v>
      </c>
      <c r="AM330" t="n">
        <v>4.455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0.053</v>
      </c>
      <c r="AT330" t="n">
        <v>0.333</v>
      </c>
      <c r="AU330" t="n">
        <v>5</v>
      </c>
      <c r="AV330" t="n">
        <v>1</v>
      </c>
      <c r="AW330" t="n">
        <v>1.65</v>
      </c>
      <c r="AX330" t="n">
        <v>10</v>
      </c>
      <c r="AY330" t="n">
        <v>1.21</v>
      </c>
      <c r="AZ330" t="n">
        <v>1.14</v>
      </c>
      <c r="BA330" t="n">
        <v>1.175</v>
      </c>
      <c r="BB330" t="n">
        <v>0.379</v>
      </c>
      <c r="BC330" t="n">
        <v>0.539</v>
      </c>
      <c r="BD330" t="n">
        <v>0.508</v>
      </c>
      <c r="BE330" t="n">
        <v>0.523</v>
      </c>
      <c r="BF330" t="n">
        <v>1.4</v>
      </c>
      <c r="BG330" t="n">
        <v>0.624</v>
      </c>
      <c r="BH330" t="n">
        <v>0.952</v>
      </c>
      <c r="BI330" t="n">
        <v>3.97</v>
      </c>
      <c r="BJ330" t="n">
        <v>1.152</v>
      </c>
      <c r="BK330" t="n">
        <v>0.513</v>
      </c>
      <c r="BL330" t="n">
        <v>-0.175</v>
      </c>
      <c r="BM330" t="n">
        <v>0.19</v>
      </c>
      <c r="BN330" t="n">
        <v>-0.4</v>
      </c>
      <c r="BO330" t="n">
        <v>0.07000000000000001</v>
      </c>
      <c r="BP330" t="n">
        <v>4</v>
      </c>
      <c r="BQ330" t="n">
        <v>2</v>
      </c>
      <c r="BR330" t="n">
        <v>1</v>
      </c>
      <c r="BS330" t="n">
        <v>7</v>
      </c>
      <c r="BT330" t="n">
        <v>3.119</v>
      </c>
      <c r="BU330" t="n">
        <v>1</v>
      </c>
      <c r="BW330" t="n">
        <v>0.18</v>
      </c>
      <c r="BX330" t="n">
        <v>0.15</v>
      </c>
      <c r="BY330" t="n">
        <v>0.165</v>
      </c>
      <c r="BZ330" t="n">
        <v>0.073</v>
      </c>
      <c r="CA330" t="n">
        <v>1.34</v>
      </c>
      <c r="CB330" t="n">
        <v>0.597</v>
      </c>
      <c r="CC330" t="n">
        <v>4</v>
      </c>
      <c r="CE330" t="n">
        <v>4</v>
      </c>
      <c r="CF330" t="n">
        <v>4</v>
      </c>
      <c r="CH330" t="n">
        <v>2</v>
      </c>
      <c r="CI330" t="n">
        <v>0.531</v>
      </c>
      <c r="CJ330" t="n">
        <v>0.114</v>
      </c>
      <c r="CK330" t="n">
        <v>3</v>
      </c>
      <c r="CL330" t="n">
        <v>2</v>
      </c>
      <c r="CM330" t="n">
        <v>5</v>
      </c>
      <c r="CN330" t="n">
        <v>2</v>
      </c>
      <c r="CP330" t="n">
        <v>2</v>
      </c>
      <c r="CQ330" t="n">
        <v>1</v>
      </c>
      <c r="CR330" t="n">
        <v>8</v>
      </c>
      <c r="CS330" t="n">
        <v>2</v>
      </c>
      <c r="CW330" t="n">
        <v>2.53</v>
      </c>
      <c r="CX330" t="n">
        <v>1.127</v>
      </c>
      <c r="CY330" t="n">
        <v>0</v>
      </c>
      <c r="DB330" t="n">
        <v>0</v>
      </c>
      <c r="DF330" t="n">
        <v>0</v>
      </c>
      <c r="DG330" t="n">
        <v>0</v>
      </c>
      <c r="DH330" t="n">
        <v>2</v>
      </c>
      <c r="DI330" t="n">
        <v>1</v>
      </c>
      <c r="DM330" t="n">
        <v>1</v>
      </c>
      <c r="DN330" t="n">
        <v>1</v>
      </c>
      <c r="DO330" t="n">
        <v>0.1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inlineStr">
        <is>
          <t>flat</t>
        </is>
      </c>
      <c r="EF330" t="n">
        <v>50.5</v>
      </c>
      <c r="EG330" t="n">
        <v>28.9</v>
      </c>
      <c r="EH330" t="n">
        <v>50.5</v>
      </c>
      <c r="EI330" t="n">
        <v>171.9</v>
      </c>
      <c r="EJ330" t="n">
        <v>1225.7</v>
      </c>
      <c r="EK330" t="n">
        <v>150.8</v>
      </c>
      <c r="EL330" t="n">
        <v>12.6</v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n">
        <v>5.5</v>
      </c>
      <c r="F331" t="b">
        <v>1</v>
      </c>
      <c r="G331" t="b">
        <v>1</v>
      </c>
      <c r="H331" t="n">
        <v>20.5</v>
      </c>
      <c r="I331" t="inlineStr">
        <is>
          <t>a</t>
        </is>
      </c>
      <c r="L331" t="inlineStr">
        <is>
          <t>p550615</t>
        </is>
      </c>
      <c r="M331" t="n">
        <v>242</v>
      </c>
      <c r="Q331" t="n">
        <v>351</v>
      </c>
      <c r="R331" t="n">
        <v>15</v>
      </c>
      <c r="S331" t="n">
        <v>1</v>
      </c>
      <c r="T331" t="n">
        <v>3.9</v>
      </c>
      <c r="U331" t="n">
        <v>23.4</v>
      </c>
      <c r="V331" t="n">
        <v>16</v>
      </c>
      <c r="W331" t="n">
        <v>4.103</v>
      </c>
      <c r="X331" t="n">
        <v>0</v>
      </c>
      <c r="Y331" t="n">
        <v>0</v>
      </c>
      <c r="AA331" t="n">
        <v>1</v>
      </c>
      <c r="AB331" t="n">
        <v>9</v>
      </c>
      <c r="AC331" t="n">
        <v>0</v>
      </c>
      <c r="AD331" t="n">
        <v>0</v>
      </c>
      <c r="AE331" t="n">
        <v>0</v>
      </c>
      <c r="AF331" t="n">
        <v>55</v>
      </c>
      <c r="AG331" t="n">
        <v>55</v>
      </c>
      <c r="AH331" t="n">
        <v>0</v>
      </c>
      <c r="AI331" t="n">
        <v>16</v>
      </c>
      <c r="AJ331" t="n">
        <v>0</v>
      </c>
      <c r="AK331" t="n">
        <v>0</v>
      </c>
      <c r="AL331" t="n">
        <v>23</v>
      </c>
      <c r="AM331" t="n">
        <v>5.897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0.026</v>
      </c>
      <c r="AT331" t="n">
        <v>0.133</v>
      </c>
      <c r="AU331" t="n">
        <v>14</v>
      </c>
      <c r="AV331" t="n">
        <v>0</v>
      </c>
      <c r="AW331" t="n">
        <v>0.68</v>
      </c>
      <c r="AX331" t="n">
        <v>3</v>
      </c>
      <c r="AY331" t="n">
        <v>0.64</v>
      </c>
      <c r="AZ331" t="n">
        <v>0.829</v>
      </c>
      <c r="BA331" t="n">
        <v>0.734</v>
      </c>
      <c r="BB331" t="n">
        <v>0.829</v>
      </c>
      <c r="BC331" t="n">
        <v>0.164</v>
      </c>
      <c r="BD331" t="n">
        <v>0.213</v>
      </c>
      <c r="BE331" t="n">
        <v>0.188</v>
      </c>
      <c r="BF331" t="n">
        <v>1.3</v>
      </c>
      <c r="BG331" t="n">
        <v>0.333</v>
      </c>
      <c r="BH331" t="n">
        <v>1.109</v>
      </c>
      <c r="BI331" t="n">
        <v>0.84</v>
      </c>
      <c r="BJ331" t="n">
        <v>0.71</v>
      </c>
      <c r="BK331" t="n">
        <v>0.182</v>
      </c>
      <c r="BL331" t="n">
        <v>-0.734</v>
      </c>
      <c r="BM331" t="n">
        <v>0.66</v>
      </c>
      <c r="BN331" t="n">
        <v>-1.3</v>
      </c>
      <c r="BO331" t="n">
        <v>-0.189</v>
      </c>
      <c r="BP331" t="n">
        <v>10</v>
      </c>
      <c r="BQ331" t="n">
        <v>5</v>
      </c>
      <c r="BR331" t="n">
        <v>1</v>
      </c>
      <c r="BS331" t="n">
        <v>20</v>
      </c>
      <c r="BT331" t="n">
        <v>5.128</v>
      </c>
      <c r="BW331" t="n">
        <v>1.19</v>
      </c>
      <c r="BX331" t="n">
        <v>1.342</v>
      </c>
      <c r="BY331" t="n">
        <v>1.266</v>
      </c>
      <c r="BZ331" t="n">
        <v>0.325</v>
      </c>
      <c r="CA331" t="n">
        <v>2</v>
      </c>
      <c r="CB331" t="n">
        <v>0.513</v>
      </c>
      <c r="CC331" t="n">
        <v>3</v>
      </c>
      <c r="CD331" t="n">
        <v>3</v>
      </c>
      <c r="CE331" t="n">
        <v>3</v>
      </c>
      <c r="CF331" t="n">
        <v>5</v>
      </c>
      <c r="CI331" t="n">
        <v>1.662</v>
      </c>
      <c r="CJ331" t="n">
        <v>0.989</v>
      </c>
      <c r="CK331" t="n">
        <v>2</v>
      </c>
      <c r="CL331" t="n">
        <v>14</v>
      </c>
      <c r="CM331" t="n">
        <v>7</v>
      </c>
      <c r="CN331" t="n">
        <v>5</v>
      </c>
      <c r="CO331" t="n">
        <v>2</v>
      </c>
      <c r="CR331" t="n">
        <v>17</v>
      </c>
      <c r="CS331" t="n">
        <v>1</v>
      </c>
      <c r="CV331" t="n">
        <v>1</v>
      </c>
      <c r="CW331" t="n">
        <v>6.49</v>
      </c>
      <c r="CX331" t="n">
        <v>1.664</v>
      </c>
      <c r="CY331" t="n">
        <v>0</v>
      </c>
      <c r="DB331" t="n">
        <v>0</v>
      </c>
      <c r="DF331" t="n">
        <v>2</v>
      </c>
      <c r="DG331" t="n">
        <v>0</v>
      </c>
      <c r="DH331" t="n">
        <v>9</v>
      </c>
      <c r="DI331" t="n">
        <v>2</v>
      </c>
      <c r="DL331" t="n">
        <v>7</v>
      </c>
      <c r="DM331" t="n">
        <v>9</v>
      </c>
      <c r="DN331" t="n">
        <v>4</v>
      </c>
      <c r="DO331" t="n">
        <v>0.3</v>
      </c>
      <c r="DP331" t="n">
        <v>44.95</v>
      </c>
      <c r="DQ331" t="n">
        <v>22.51</v>
      </c>
      <c r="DR331" t="n">
        <v>45.02</v>
      </c>
      <c r="DS331" t="n">
        <v>-0.07000000000000001</v>
      </c>
      <c r="DT331" t="n">
        <v>885</v>
      </c>
      <c r="DU331" t="n">
        <v>23.3</v>
      </c>
      <c r="DV331" t="inlineStr">
        <is>
          <t>flat</t>
        </is>
      </c>
      <c r="DW331" t="n">
        <v>77.31</v>
      </c>
      <c r="DY331" t="n">
        <v>19.27</v>
      </c>
      <c r="DZ331" t="n">
        <v>51.2</v>
      </c>
      <c r="EA331" t="n">
        <v>97.59999999999999</v>
      </c>
      <c r="EB331" t="n">
        <v>4</v>
      </c>
      <c r="EC331" t="n">
        <v>1.9</v>
      </c>
      <c r="ED331" t="n">
        <v>0</v>
      </c>
      <c r="EE331" t="n">
        <v>194</v>
      </c>
      <c r="EF331" t="n">
        <v>35.1</v>
      </c>
      <c r="EG331" t="n">
        <v>17.6</v>
      </c>
      <c r="EH331" t="n">
        <v>117</v>
      </c>
      <c r="EI331" t="n">
        <v>477.9</v>
      </c>
      <c r="EJ331" t="n">
        <v>277.3</v>
      </c>
      <c r="EK331" t="n">
        <v>175.5</v>
      </c>
      <c r="EL331" t="n">
        <v>21.9</v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n">
        <v>4.5</v>
      </c>
      <c r="F332" t="b">
        <v>1</v>
      </c>
      <c r="G332" t="b">
        <v>1</v>
      </c>
      <c r="H332" t="n">
        <v>35.4</v>
      </c>
      <c r="I332" t="inlineStr">
        <is>
          <t>a</t>
        </is>
      </c>
      <c r="L332" t="inlineStr">
        <is>
          <t>p72147</t>
        </is>
      </c>
      <c r="M332" t="n">
        <v>29</v>
      </c>
      <c r="Q332" t="n">
        <v>585</v>
      </c>
      <c r="R332" t="n">
        <v>7</v>
      </c>
      <c r="S332" t="n">
        <v>6</v>
      </c>
      <c r="T332" t="n">
        <v>6.5</v>
      </c>
      <c r="U332" t="n">
        <v>83.59999999999999</v>
      </c>
      <c r="V332" t="n">
        <v>16</v>
      </c>
      <c r="W332" t="n">
        <v>2.462</v>
      </c>
      <c r="X332" t="n">
        <v>0</v>
      </c>
      <c r="Y332" t="n">
        <v>0</v>
      </c>
      <c r="AA332" t="n">
        <v>1</v>
      </c>
      <c r="AB332" t="n">
        <v>10</v>
      </c>
      <c r="AC332" t="n">
        <v>0</v>
      </c>
      <c r="AD332" t="n">
        <v>1</v>
      </c>
      <c r="AE332" t="n">
        <v>1</v>
      </c>
      <c r="AF332" t="n">
        <v>75</v>
      </c>
      <c r="AG332" t="n">
        <v>75</v>
      </c>
      <c r="AH332" t="n">
        <v>0</v>
      </c>
      <c r="AI332" t="n">
        <v>17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0.158</v>
      </c>
      <c r="AT332" t="n">
        <v>0.857</v>
      </c>
      <c r="AU332" t="n">
        <v>5</v>
      </c>
      <c r="AV332" t="n">
        <v>0</v>
      </c>
      <c r="AW332" t="n">
        <v>1.29</v>
      </c>
      <c r="AX332" t="n">
        <v>7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H332" t="n">
        <v>1</v>
      </c>
      <c r="BI332" t="n">
        <v>0</v>
      </c>
      <c r="BJ332" t="n">
        <v>0</v>
      </c>
      <c r="BK332" t="n">
        <v>0</v>
      </c>
      <c r="BL332" t="n">
        <v>0</v>
      </c>
      <c r="BO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I332" t="n">
        <v>1.089</v>
      </c>
      <c r="CJ332" t="n">
        <v>1.089</v>
      </c>
      <c r="CK332" t="n">
        <v>10</v>
      </c>
      <c r="CL332" t="n">
        <v>53</v>
      </c>
      <c r="CM332" t="n">
        <v>0</v>
      </c>
      <c r="CP332" t="n">
        <v>10</v>
      </c>
      <c r="CR332" t="n">
        <v>2</v>
      </c>
      <c r="CS332" t="n">
        <v>1</v>
      </c>
      <c r="CU332" t="n">
        <v>1</v>
      </c>
      <c r="CW332" t="n">
        <v>11.02</v>
      </c>
      <c r="CX332" t="n">
        <v>1.695</v>
      </c>
      <c r="CY332" t="n">
        <v>19</v>
      </c>
      <c r="DB332" t="n">
        <v>0</v>
      </c>
      <c r="DC332" t="n">
        <v>7</v>
      </c>
      <c r="DD332" t="n">
        <v>4</v>
      </c>
      <c r="DF332" t="n">
        <v>2</v>
      </c>
      <c r="DG332" t="n">
        <v>0</v>
      </c>
      <c r="DH332" t="n">
        <v>1</v>
      </c>
      <c r="DI332" t="n">
        <v>1</v>
      </c>
      <c r="DK332" t="n">
        <v>1</v>
      </c>
      <c r="DO332" t="n">
        <v>0.1</v>
      </c>
      <c r="DP332" t="n">
        <v>1.52</v>
      </c>
      <c r="DQ332" t="n">
        <v>0.76</v>
      </c>
      <c r="DR332" t="n">
        <v>1.52</v>
      </c>
      <c r="DS332" t="n">
        <v>0</v>
      </c>
      <c r="DT332" t="n">
        <v>35</v>
      </c>
      <c r="DU332" t="n">
        <v>0.91</v>
      </c>
      <c r="DV332" t="inlineStr">
        <is>
          <t>flat</t>
        </is>
      </c>
      <c r="DW332" t="n">
        <v>117.52</v>
      </c>
      <c r="DX332" t="n">
        <v>115</v>
      </c>
      <c r="DY332" t="n">
        <v>2.26</v>
      </c>
      <c r="DZ332" t="n">
        <v>112.5</v>
      </c>
      <c r="EA332" t="n">
        <v>120</v>
      </c>
      <c r="EB332" t="n">
        <v>21</v>
      </c>
      <c r="EC332" t="n">
        <v>10.1</v>
      </c>
      <c r="ED332" t="n">
        <v>8.699999999999999</v>
      </c>
      <c r="EE332" t="n">
        <v>444</v>
      </c>
      <c r="EL332" t="n">
        <v>36.6</v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n">
        <v>5.5</v>
      </c>
      <c r="F333" t="b">
        <v>1</v>
      </c>
      <c r="G333" t="b">
        <v>1</v>
      </c>
      <c r="H333" t="n">
        <v>16.6</v>
      </c>
      <c r="I333" t="inlineStr">
        <is>
          <t>a</t>
        </is>
      </c>
      <c r="L333" t="inlineStr">
        <is>
          <t>p616077</t>
        </is>
      </c>
      <c r="M333" t="n">
        <v>20</v>
      </c>
      <c r="Q333" t="n">
        <v>152</v>
      </c>
      <c r="R333" t="n">
        <v>6</v>
      </c>
      <c r="S333" t="n">
        <v>1</v>
      </c>
      <c r="T333" t="n">
        <v>1.689</v>
      </c>
      <c r="U333" t="n">
        <v>25.3</v>
      </c>
      <c r="V333" t="n">
        <v>16</v>
      </c>
      <c r="W333" t="n">
        <v>9.474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0</v>
      </c>
      <c r="AE333" t="n">
        <v>0</v>
      </c>
      <c r="AF333" t="n">
        <v>51</v>
      </c>
      <c r="AG333" t="n">
        <v>51</v>
      </c>
      <c r="AH333" t="n">
        <v>0</v>
      </c>
      <c r="AI333" t="n">
        <v>16</v>
      </c>
      <c r="AJ333" t="n">
        <v>0</v>
      </c>
      <c r="AK333" t="n">
        <v>0</v>
      </c>
      <c r="AL333" t="n">
        <v>16</v>
      </c>
      <c r="AM333" t="n">
        <v>9.474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0.026</v>
      </c>
      <c r="AT333" t="n">
        <v>0.167</v>
      </c>
      <c r="AU333" t="n">
        <v>3</v>
      </c>
      <c r="AV333" t="n">
        <v>0</v>
      </c>
      <c r="AW333" t="n">
        <v>1.26</v>
      </c>
      <c r="AX333" t="n">
        <v>6</v>
      </c>
      <c r="AY333" t="n">
        <v>1.19</v>
      </c>
      <c r="AZ333" t="n">
        <v>0.669</v>
      </c>
      <c r="BA333" t="n">
        <v>0.93</v>
      </c>
      <c r="BB333" t="n">
        <v>0.669</v>
      </c>
      <c r="BC333" t="n">
        <v>0.705</v>
      </c>
      <c r="BD333" t="n">
        <v>0.396</v>
      </c>
      <c r="BE333" t="n">
        <v>0.55</v>
      </c>
      <c r="BF333" t="n">
        <v>1</v>
      </c>
      <c r="BG333" t="n">
        <v>0.592</v>
      </c>
      <c r="BH333" t="n">
        <v>0.979</v>
      </c>
      <c r="BI333" t="n">
        <v>1.19</v>
      </c>
      <c r="BJ333" t="n">
        <v>1.165</v>
      </c>
      <c r="BK333" t="n">
        <v>0.6899999999999999</v>
      </c>
      <c r="BL333" t="n">
        <v>0.07000000000000001</v>
      </c>
      <c r="BM333" t="n">
        <v>-0.19</v>
      </c>
      <c r="BN333" t="n">
        <v>0</v>
      </c>
      <c r="BO333" t="n">
        <v>0.521</v>
      </c>
      <c r="BP333" t="n">
        <v>6</v>
      </c>
      <c r="BQ333" t="n">
        <v>1</v>
      </c>
      <c r="BS333" t="n">
        <v>19</v>
      </c>
      <c r="BT333" t="n">
        <v>11.25</v>
      </c>
      <c r="BW333" t="n">
        <v>0.3</v>
      </c>
      <c r="BX333" t="n">
        <v>0.634</v>
      </c>
      <c r="BY333" t="n">
        <v>0.467</v>
      </c>
      <c r="BZ333" t="n">
        <v>0.276</v>
      </c>
      <c r="CA333" t="n">
        <v>1.396</v>
      </c>
      <c r="CB333" t="n">
        <v>0.827</v>
      </c>
      <c r="CC333" t="n">
        <v>4</v>
      </c>
      <c r="CD333" t="n">
        <v>0</v>
      </c>
      <c r="CE333" t="n">
        <v>4</v>
      </c>
      <c r="CF333" t="n">
        <v>1</v>
      </c>
      <c r="CG333" t="n">
        <v>1</v>
      </c>
      <c r="CH333" t="n">
        <v>2</v>
      </c>
      <c r="CI333" t="n">
        <v>1.616</v>
      </c>
      <c r="CJ333" t="n">
        <v>0.48</v>
      </c>
      <c r="CK333" t="n">
        <v>1</v>
      </c>
      <c r="CL333" t="n">
        <v>13</v>
      </c>
      <c r="CM333" t="n">
        <v>2</v>
      </c>
      <c r="CN333" t="n">
        <v>2</v>
      </c>
      <c r="CO333" t="n">
        <v>1</v>
      </c>
      <c r="CR333" t="n">
        <v>15</v>
      </c>
      <c r="CW333" t="n">
        <v>0.88</v>
      </c>
      <c r="CX333" t="n">
        <v>0.521</v>
      </c>
      <c r="CY333" t="n">
        <v>0</v>
      </c>
      <c r="DB333" t="n">
        <v>0</v>
      </c>
      <c r="DF333" t="n">
        <v>0</v>
      </c>
      <c r="DG333" t="n">
        <v>0</v>
      </c>
      <c r="DH333" t="n">
        <v>2</v>
      </c>
      <c r="DI333" t="n">
        <v>7</v>
      </c>
      <c r="DJ333" t="n">
        <v>1</v>
      </c>
      <c r="DL333" t="n">
        <v>6</v>
      </c>
      <c r="DM333" t="n">
        <v>7</v>
      </c>
      <c r="DO333" t="n">
        <v>0.2</v>
      </c>
      <c r="DP333" t="n">
        <v>7.27</v>
      </c>
      <c r="DQ333" t="n">
        <v>3.82</v>
      </c>
      <c r="DR333" t="n">
        <v>7.64</v>
      </c>
      <c r="DS333" t="n">
        <v>-0.37</v>
      </c>
      <c r="DT333" t="n">
        <v>85</v>
      </c>
      <c r="DU333" t="n">
        <v>2.24</v>
      </c>
      <c r="DV333" t="inlineStr">
        <is>
          <t>flat</t>
        </is>
      </c>
      <c r="DW333" t="n">
        <v>69.76000000000001</v>
      </c>
      <c r="DX333" t="n">
        <v>61</v>
      </c>
      <c r="DY333" t="n">
        <v>38.09</v>
      </c>
      <c r="DZ333" t="n">
        <v>12</v>
      </c>
      <c r="EA333" t="n">
        <v>110</v>
      </c>
      <c r="EB333" t="n">
        <v>5</v>
      </c>
      <c r="EC333" t="n">
        <v>2.4</v>
      </c>
      <c r="ED333" t="n">
        <v>0</v>
      </c>
      <c r="EE333" t="n">
        <v>191</v>
      </c>
      <c r="EF333" t="n">
        <v>25.3</v>
      </c>
      <c r="EG333" t="n">
        <v>8</v>
      </c>
      <c r="EH333" t="n">
        <v>38</v>
      </c>
      <c r="EI333" t="n">
        <v>163.5</v>
      </c>
      <c r="EJ333" t="n">
        <v>325.6</v>
      </c>
      <c r="EK333" t="n">
        <v>108.9</v>
      </c>
      <c r="EL333" t="n">
        <v>9.5</v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n">
        <v>4.5</v>
      </c>
      <c r="F334" t="b">
        <v>1</v>
      </c>
      <c r="G334" t="b">
        <v>1</v>
      </c>
      <c r="H334" t="n">
        <v>31.6</v>
      </c>
      <c r="I334" t="inlineStr">
        <is>
          <t>a</t>
        </is>
      </c>
      <c r="L334" t="inlineStr">
        <is>
          <t>p153366</t>
        </is>
      </c>
      <c r="M334" t="n">
        <v>270</v>
      </c>
      <c r="Q334" t="n">
        <v>89</v>
      </c>
      <c r="R334" t="n">
        <v>7</v>
      </c>
      <c r="S334" t="n">
        <v>1</v>
      </c>
      <c r="T334" t="n">
        <v>0.989</v>
      </c>
      <c r="U334" t="n">
        <v>12.7</v>
      </c>
      <c r="V334" t="n">
        <v>15</v>
      </c>
      <c r="W334" t="n">
        <v>15.169</v>
      </c>
      <c r="X334" t="n">
        <v>1</v>
      </c>
      <c r="Y334" t="n">
        <v>0</v>
      </c>
      <c r="AA334" t="n">
        <v>0</v>
      </c>
      <c r="AB334" t="n">
        <v>4</v>
      </c>
      <c r="AC334" t="n">
        <v>2</v>
      </c>
      <c r="AD334" t="n">
        <v>2</v>
      </c>
      <c r="AE334" t="n">
        <v>0</v>
      </c>
      <c r="AF334" t="n">
        <v>48</v>
      </c>
      <c r="AG334" t="n">
        <v>48</v>
      </c>
      <c r="AH334" t="n">
        <v>0</v>
      </c>
      <c r="AI334" t="n">
        <v>15</v>
      </c>
      <c r="AJ334" t="n">
        <v>0.133</v>
      </c>
      <c r="AK334" t="n">
        <v>0.154</v>
      </c>
      <c r="AL334" t="n">
        <v>6</v>
      </c>
      <c r="AM334" t="n">
        <v>6.067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0.026</v>
      </c>
      <c r="AT334" t="n">
        <v>0.143</v>
      </c>
      <c r="AU334" t="n">
        <v>6</v>
      </c>
      <c r="AV334" t="n">
        <v>0</v>
      </c>
      <c r="AW334" t="n">
        <v>1.35</v>
      </c>
      <c r="AX334" t="n">
        <v>8</v>
      </c>
      <c r="AY334" t="n">
        <v>0.13</v>
      </c>
      <c r="AZ334" t="n">
        <v>0.08699999999999999</v>
      </c>
      <c r="BA334" t="n">
        <v>0.108</v>
      </c>
      <c r="BB334" t="n">
        <v>0.08699999999999999</v>
      </c>
      <c r="BC334" t="n">
        <v>0.131</v>
      </c>
      <c r="BD334" t="n">
        <v>0.08799999999999999</v>
      </c>
      <c r="BE334" t="n">
        <v>0.11</v>
      </c>
      <c r="BF334" t="n">
        <v>0.8</v>
      </c>
      <c r="BG334" t="n">
        <v>0.8090000000000001</v>
      </c>
      <c r="BH334" t="n">
        <v>1.179</v>
      </c>
      <c r="BI334" t="n">
        <v>2.6</v>
      </c>
      <c r="BJ334" t="n">
        <v>0.153</v>
      </c>
      <c r="BK334" t="n">
        <v>0.155</v>
      </c>
      <c r="BL334" t="n">
        <v>0.892</v>
      </c>
      <c r="BM334" t="n">
        <v>0.67</v>
      </c>
      <c r="BN334" t="n">
        <v>0.2</v>
      </c>
      <c r="BO334" t="n">
        <v>0.043</v>
      </c>
      <c r="BP334" t="n">
        <v>2</v>
      </c>
      <c r="BQ334" t="n">
        <v>1</v>
      </c>
      <c r="BS334" t="n">
        <v>1</v>
      </c>
      <c r="BT334" t="n">
        <v>1.011</v>
      </c>
      <c r="BW334" t="n">
        <v>0.45</v>
      </c>
      <c r="BX334" t="n">
        <v>0.403</v>
      </c>
      <c r="BY334" t="n">
        <v>0.426</v>
      </c>
      <c r="BZ334" t="n">
        <v>0.431</v>
      </c>
      <c r="CA334" t="n">
        <v>0.535</v>
      </c>
      <c r="CB334" t="n">
        <v>0.541</v>
      </c>
      <c r="CC334" t="n">
        <v>3</v>
      </c>
      <c r="CD334" t="n">
        <v>0</v>
      </c>
      <c r="CE334" t="n">
        <v>3</v>
      </c>
      <c r="CF334" t="n">
        <v>3</v>
      </c>
      <c r="CH334" t="n">
        <v>3</v>
      </c>
      <c r="CI334" t="n">
        <v>0.404</v>
      </c>
      <c r="CJ334" t="n">
        <v>0.269</v>
      </c>
      <c r="CK334" t="n">
        <v>1</v>
      </c>
      <c r="CL334" t="n">
        <v>5</v>
      </c>
      <c r="CM334" t="n">
        <v>0</v>
      </c>
      <c r="CP334" t="n">
        <v>1</v>
      </c>
      <c r="CR334" t="n">
        <v>2</v>
      </c>
      <c r="CS334" t="n">
        <v>1</v>
      </c>
      <c r="CW334" t="n">
        <v>3.43</v>
      </c>
      <c r="CX334" t="n">
        <v>3.469</v>
      </c>
      <c r="CY334" t="n">
        <v>0</v>
      </c>
      <c r="DB334" t="n">
        <v>0</v>
      </c>
      <c r="DF334" t="n">
        <v>0</v>
      </c>
      <c r="DG334" t="n">
        <v>0</v>
      </c>
      <c r="DH334" t="n">
        <v>2</v>
      </c>
      <c r="DI334" t="n">
        <v>1</v>
      </c>
      <c r="DO334" t="n">
        <v>1.1</v>
      </c>
      <c r="DP334" t="n">
        <v>8.640000000000001</v>
      </c>
      <c r="DQ334" t="n">
        <v>4.34</v>
      </c>
      <c r="DR334" t="n">
        <v>8.68</v>
      </c>
      <c r="DS334" t="n">
        <v>-0.04</v>
      </c>
      <c r="DT334" t="n">
        <v>46</v>
      </c>
      <c r="DU334" t="n">
        <v>1.21</v>
      </c>
      <c r="DV334" t="inlineStr">
        <is>
          <t>flat</t>
        </is>
      </c>
      <c r="EF334" t="n">
        <v>44.5</v>
      </c>
      <c r="EG334" t="n">
        <v>89</v>
      </c>
      <c r="EH334" t="n">
        <v>29.7</v>
      </c>
      <c r="EI334" t="n">
        <v>821.8</v>
      </c>
      <c r="EJ334" t="n">
        <v>208.7</v>
      </c>
      <c r="EK334" t="n">
        <v>166.4</v>
      </c>
      <c r="EL334" t="n">
        <v>5.9</v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n">
        <v>5</v>
      </c>
      <c r="F335" t="b">
        <v>1</v>
      </c>
      <c r="G335" t="b">
        <v>1</v>
      </c>
      <c r="H335" t="n">
        <v>23.3</v>
      </c>
      <c r="I335" t="inlineStr">
        <is>
          <t>a</t>
        </is>
      </c>
      <c r="L335" t="inlineStr">
        <is>
          <t>p461199</t>
        </is>
      </c>
      <c r="M335" t="n">
        <v>547</v>
      </c>
      <c r="Q335" t="n">
        <v>399</v>
      </c>
      <c r="R335" t="n">
        <v>14</v>
      </c>
      <c r="S335" t="n">
        <v>2</v>
      </c>
      <c r="T335" t="n">
        <v>4.433</v>
      </c>
      <c r="U335" t="n">
        <v>28.5</v>
      </c>
      <c r="V335" t="n">
        <v>14</v>
      </c>
      <c r="W335" t="n">
        <v>3.158</v>
      </c>
      <c r="X335" t="n">
        <v>0</v>
      </c>
      <c r="Y335" t="n">
        <v>0</v>
      </c>
      <c r="AA335" t="n">
        <v>0</v>
      </c>
      <c r="AB335" t="n">
        <v>11</v>
      </c>
      <c r="AC335" t="n">
        <v>0</v>
      </c>
      <c r="AD335" t="n">
        <v>0</v>
      </c>
      <c r="AE335" t="n">
        <v>0</v>
      </c>
      <c r="AF335" t="n">
        <v>42</v>
      </c>
      <c r="AG335" t="n">
        <v>41</v>
      </c>
      <c r="AH335" t="n">
        <v>-1</v>
      </c>
      <c r="AI335" t="n">
        <v>14</v>
      </c>
      <c r="AJ335" t="n">
        <v>0</v>
      </c>
      <c r="AK335" t="n">
        <v>0</v>
      </c>
      <c r="AL335" t="n">
        <v>33</v>
      </c>
      <c r="AM335" t="n">
        <v>7.444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0.053</v>
      </c>
      <c r="AT335" t="n">
        <v>0.07099999999999999</v>
      </c>
      <c r="AU335" t="n">
        <v>14</v>
      </c>
      <c r="AV335" t="n">
        <v>0</v>
      </c>
      <c r="AW335" t="n">
        <v>0.54</v>
      </c>
      <c r="AX335" t="n">
        <v>2</v>
      </c>
      <c r="AY335" t="n">
        <v>0.87</v>
      </c>
      <c r="AZ335" t="n">
        <v>0.673</v>
      </c>
      <c r="BA335" t="n">
        <v>0.772</v>
      </c>
      <c r="BB335" t="n">
        <v>0.673</v>
      </c>
      <c r="BC335" t="n">
        <v>0.196</v>
      </c>
      <c r="BD335" t="n">
        <v>0.152</v>
      </c>
      <c r="BE335" t="n">
        <v>0.174</v>
      </c>
      <c r="BF335" t="n">
        <v>0.1</v>
      </c>
      <c r="BG335" t="n">
        <v>0.023</v>
      </c>
      <c r="BH335" t="n">
        <v>0.913</v>
      </c>
      <c r="BI335" t="n">
        <v>0.87</v>
      </c>
      <c r="BJ335" t="n">
        <v>0.794</v>
      </c>
      <c r="BK335" t="n">
        <v>0.179</v>
      </c>
      <c r="BL335" t="n">
        <v>-0.772</v>
      </c>
      <c r="BM335" t="n">
        <v>-0.77</v>
      </c>
      <c r="BN335" t="n">
        <v>-0.1</v>
      </c>
      <c r="BO335" t="n">
        <v>0.197</v>
      </c>
      <c r="BP335" t="n">
        <v>7</v>
      </c>
      <c r="BQ335" t="n">
        <v>2</v>
      </c>
      <c r="BR335" t="n">
        <v>1</v>
      </c>
      <c r="BS335" t="n">
        <v>18</v>
      </c>
      <c r="BT335" t="n">
        <v>4.06</v>
      </c>
      <c r="BW335" t="n">
        <v>0.48</v>
      </c>
      <c r="BX335" t="n">
        <v>0.017</v>
      </c>
      <c r="BY335" t="n">
        <v>0.249</v>
      </c>
      <c r="BZ335" t="n">
        <v>0.056</v>
      </c>
      <c r="CA335" t="n">
        <v>1.02</v>
      </c>
      <c r="CB335" t="n">
        <v>0.23</v>
      </c>
      <c r="CC335" t="n">
        <v>1</v>
      </c>
      <c r="CE335" t="n">
        <v>1</v>
      </c>
      <c r="CF335" t="n">
        <v>2</v>
      </c>
      <c r="CH335" t="n">
        <v>1</v>
      </c>
      <c r="CI335" t="n">
        <v>1.284</v>
      </c>
      <c r="CJ335" t="n">
        <v>0.611</v>
      </c>
      <c r="CK335" t="n">
        <v>6</v>
      </c>
      <c r="CL335" t="n">
        <v>22</v>
      </c>
      <c r="CM335" t="n">
        <v>5</v>
      </c>
      <c r="CN335" t="n">
        <v>5</v>
      </c>
      <c r="CO335" t="n">
        <v>1</v>
      </c>
      <c r="CP335" t="n">
        <v>6</v>
      </c>
      <c r="CR335" t="n">
        <v>24</v>
      </c>
      <c r="CS335" t="n">
        <v>5</v>
      </c>
      <c r="CW335" t="n">
        <v>8.539999999999999</v>
      </c>
      <c r="CX335" t="n">
        <v>1.926</v>
      </c>
      <c r="CY335" t="n">
        <v>0</v>
      </c>
      <c r="DB335" t="n">
        <v>0</v>
      </c>
      <c r="DF335" t="n">
        <v>1</v>
      </c>
      <c r="DG335" t="n">
        <v>0</v>
      </c>
      <c r="DH335" t="n">
        <v>7</v>
      </c>
      <c r="DI335" t="n">
        <v>8</v>
      </c>
      <c r="DL335" t="n">
        <v>7</v>
      </c>
      <c r="DM335" t="n">
        <v>14</v>
      </c>
      <c r="DO335" t="n">
        <v>0</v>
      </c>
      <c r="DP335" t="n">
        <v>21.46</v>
      </c>
      <c r="DQ335" t="n">
        <v>10.73</v>
      </c>
      <c r="DR335" t="n">
        <v>21.46</v>
      </c>
      <c r="DS335" t="n">
        <v>0</v>
      </c>
      <c r="DT335" t="n">
        <v>52</v>
      </c>
      <c r="DU335" t="n">
        <v>1.38</v>
      </c>
      <c r="DV335" t="inlineStr">
        <is>
          <t>flat</t>
        </is>
      </c>
      <c r="EF335" t="n">
        <v>57</v>
      </c>
      <c r="EG335" t="n">
        <v>22.2</v>
      </c>
      <c r="EH335" t="n">
        <v>399</v>
      </c>
      <c r="EI335" t="n">
        <v>517</v>
      </c>
      <c r="EJ335" t="n">
        <v>1605.2</v>
      </c>
      <c r="EK335" t="n">
        <v>391.1</v>
      </c>
      <c r="EL335" t="n">
        <v>28.5</v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n">
        <v>4.5</v>
      </c>
      <c r="F336" t="b">
        <v>1</v>
      </c>
      <c r="G336" t="b">
        <v>1</v>
      </c>
      <c r="H336" t="n">
        <v>33.2</v>
      </c>
      <c r="I336" t="inlineStr">
        <is>
          <t>a</t>
        </is>
      </c>
      <c r="L336" t="inlineStr">
        <is>
          <t>p231065</t>
        </is>
      </c>
      <c r="M336" t="n">
        <v>91</v>
      </c>
      <c r="Q336" t="n">
        <v>318</v>
      </c>
      <c r="R336" t="n">
        <v>4</v>
      </c>
      <c r="S336" t="n">
        <v>4</v>
      </c>
      <c r="T336" t="n">
        <v>3.533</v>
      </c>
      <c r="U336" t="n">
        <v>79.5</v>
      </c>
      <c r="V336" t="n">
        <v>14</v>
      </c>
      <c r="W336" t="n">
        <v>3.962</v>
      </c>
      <c r="X336" t="n">
        <v>0</v>
      </c>
      <c r="Y336" t="n">
        <v>0</v>
      </c>
      <c r="AA336" t="n">
        <v>1</v>
      </c>
      <c r="AB336" t="n">
        <v>5</v>
      </c>
      <c r="AC336" t="n">
        <v>2</v>
      </c>
      <c r="AD336" t="n">
        <v>2</v>
      </c>
      <c r="AE336" t="n">
        <v>0</v>
      </c>
      <c r="AF336" t="n">
        <v>53</v>
      </c>
      <c r="AG336" t="n">
        <v>47</v>
      </c>
      <c r="AH336" t="n">
        <v>-6</v>
      </c>
      <c r="AI336" t="n">
        <v>14</v>
      </c>
      <c r="AJ336" t="n">
        <v>0.143</v>
      </c>
      <c r="AK336" t="n">
        <v>0.167</v>
      </c>
      <c r="AL336" t="n">
        <v>42</v>
      </c>
      <c r="AM336" t="n">
        <v>11.887</v>
      </c>
      <c r="AN336" t="n">
        <v>2</v>
      </c>
      <c r="AO336" t="n">
        <v>4</v>
      </c>
      <c r="AP336" t="n">
        <v>0.5</v>
      </c>
      <c r="AQ336" t="n">
        <v>0.5</v>
      </c>
      <c r="AR336" t="n">
        <v>0.5</v>
      </c>
      <c r="AS336" t="n">
        <v>0.105</v>
      </c>
      <c r="AT336" t="n">
        <v>1</v>
      </c>
      <c r="AU336" t="n">
        <v>2</v>
      </c>
      <c r="AV336" t="n">
        <v>1</v>
      </c>
      <c r="AW336" t="n">
        <v>1.75</v>
      </c>
      <c r="AX336" t="n">
        <v>10</v>
      </c>
      <c r="AY336" t="n">
        <v>0.01</v>
      </c>
      <c r="AZ336" t="n">
        <v>0.008999999999999999</v>
      </c>
      <c r="BA336" t="n">
        <v>0.01</v>
      </c>
      <c r="BB336" t="n">
        <v>0.008999999999999999</v>
      </c>
      <c r="BC336" t="n">
        <v>0.003</v>
      </c>
      <c r="BD336" t="n">
        <v>0.003</v>
      </c>
      <c r="BE336" t="n">
        <v>0.003</v>
      </c>
      <c r="BF336" t="n">
        <v>0.1</v>
      </c>
      <c r="BG336" t="n">
        <v>0.028</v>
      </c>
      <c r="BH336" t="n">
        <v>1.034</v>
      </c>
      <c r="BI336" t="n">
        <v>5.83</v>
      </c>
      <c r="BJ336" t="n">
        <v>0.01</v>
      </c>
      <c r="BK336" t="n">
        <v>0.003</v>
      </c>
      <c r="BL336" t="n">
        <v>-0.01</v>
      </c>
      <c r="BM336" t="n">
        <v>0.09</v>
      </c>
      <c r="BN336" t="n">
        <v>-0.1</v>
      </c>
      <c r="BO336" t="n">
        <v>0.001</v>
      </c>
      <c r="BP336" t="n">
        <v>1</v>
      </c>
      <c r="BQ336" t="n">
        <v>1</v>
      </c>
      <c r="BS336" t="n">
        <v>9</v>
      </c>
      <c r="BT336" t="n">
        <v>2.547</v>
      </c>
      <c r="BW336" t="n">
        <v>0.06</v>
      </c>
      <c r="BX336" t="n">
        <v>0</v>
      </c>
      <c r="BY336" t="n">
        <v>0.03</v>
      </c>
      <c r="BZ336" t="n">
        <v>0.008</v>
      </c>
      <c r="CA336" t="n">
        <v>0.04</v>
      </c>
      <c r="CB336" t="n">
        <v>0.011</v>
      </c>
      <c r="CC336" t="n">
        <v>0</v>
      </c>
      <c r="CE336" t="n">
        <v>0</v>
      </c>
      <c r="CI336" t="n">
        <v>0.109</v>
      </c>
      <c r="CJ336" t="n">
        <v>0.109</v>
      </c>
      <c r="CK336" t="n">
        <v>37</v>
      </c>
      <c r="CL336" t="n">
        <v>11</v>
      </c>
      <c r="CM336" t="n">
        <v>5</v>
      </c>
      <c r="CN336" t="n">
        <v>4</v>
      </c>
      <c r="CO336" t="n">
        <v>5</v>
      </c>
      <c r="CP336" t="n">
        <v>27</v>
      </c>
      <c r="CQ336" t="n">
        <v>5</v>
      </c>
      <c r="CR336" t="n">
        <v>20</v>
      </c>
      <c r="CS336" t="n">
        <v>13</v>
      </c>
      <c r="CW336" t="n">
        <v>3.7</v>
      </c>
      <c r="CX336" t="n">
        <v>1.047</v>
      </c>
      <c r="CY336" t="n">
        <v>0</v>
      </c>
      <c r="DB336" t="n">
        <v>0</v>
      </c>
      <c r="DF336" t="n">
        <v>1</v>
      </c>
      <c r="DG336" t="n">
        <v>0</v>
      </c>
      <c r="DI336" t="n">
        <v>2</v>
      </c>
      <c r="DL336" t="n">
        <v>1</v>
      </c>
      <c r="DM336" t="n">
        <v>1</v>
      </c>
      <c r="DO336" t="n">
        <v>0.1</v>
      </c>
      <c r="DP336" t="n">
        <v>1.16</v>
      </c>
      <c r="DQ336" t="n">
        <v>1.16</v>
      </c>
      <c r="DR336" t="n">
        <v>2.32</v>
      </c>
      <c r="DS336" t="n">
        <v>-1.16</v>
      </c>
      <c r="DT336" t="n">
        <v>0</v>
      </c>
      <c r="DU336" t="n">
        <v>0</v>
      </c>
      <c r="DV336" t="inlineStr">
        <is>
          <t>flat</t>
        </is>
      </c>
      <c r="EF336" t="n">
        <v>318</v>
      </c>
      <c r="EG336" t="n">
        <v>35.3</v>
      </c>
      <c r="EI336" t="n">
        <v>33133.6</v>
      </c>
      <c r="EJ336" t="n">
        <v>10600</v>
      </c>
      <c r="EK336" t="n">
        <v>8030.8</v>
      </c>
      <c r="EL336" t="n">
        <v>22.7</v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n">
        <v>5</v>
      </c>
      <c r="F337" t="b">
        <v>1</v>
      </c>
      <c r="G337" t="b">
        <v>1</v>
      </c>
      <c r="H337" t="n">
        <v>20.6</v>
      </c>
      <c r="I337" t="inlineStr">
        <is>
          <t>a</t>
        </is>
      </c>
      <c r="L337" t="inlineStr">
        <is>
          <t>p499309</t>
        </is>
      </c>
      <c r="M337" t="n">
        <v>168</v>
      </c>
      <c r="Q337" t="n">
        <v>265</v>
      </c>
      <c r="R337" t="n">
        <v>10</v>
      </c>
      <c r="S337" t="n">
        <v>1</v>
      </c>
      <c r="T337" t="n">
        <v>2.944</v>
      </c>
      <c r="U337" t="n">
        <v>26.5</v>
      </c>
      <c r="V337" t="n">
        <v>13</v>
      </c>
      <c r="W337" t="n">
        <v>4.415</v>
      </c>
      <c r="X337" t="n">
        <v>0</v>
      </c>
      <c r="Y337" t="n">
        <v>1</v>
      </c>
      <c r="Z337" t="n">
        <v>1</v>
      </c>
      <c r="AA337" t="n">
        <v>0</v>
      </c>
      <c r="AB337" t="n">
        <v>3</v>
      </c>
      <c r="AC337" t="n">
        <v>0</v>
      </c>
      <c r="AD337" t="n">
        <v>0</v>
      </c>
      <c r="AE337" t="n">
        <v>0</v>
      </c>
      <c r="AF337" t="n">
        <v>19</v>
      </c>
      <c r="AG337" t="n">
        <v>18</v>
      </c>
      <c r="AH337" t="n">
        <v>-1</v>
      </c>
      <c r="AI337" t="n">
        <v>13</v>
      </c>
      <c r="AJ337" t="n">
        <v>0</v>
      </c>
      <c r="AK337" t="n">
        <v>0</v>
      </c>
      <c r="AL337" t="n">
        <v>8</v>
      </c>
      <c r="AM337" t="n">
        <v>2.717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0.026</v>
      </c>
      <c r="AT337" t="n">
        <v>0.1</v>
      </c>
      <c r="AU337" t="n">
        <v>9</v>
      </c>
      <c r="AV337" t="n">
        <v>0</v>
      </c>
      <c r="AW337" t="n">
        <v>0.78</v>
      </c>
      <c r="AX337" t="n">
        <v>4</v>
      </c>
      <c r="AY337" t="n">
        <v>1.54</v>
      </c>
      <c r="AZ337" t="n">
        <v>2.507</v>
      </c>
      <c r="BA337" t="n">
        <v>2.024</v>
      </c>
      <c r="BB337" t="n">
        <v>2.507</v>
      </c>
      <c r="BC337" t="n">
        <v>0.523</v>
      </c>
      <c r="BD337" t="n">
        <v>0.851</v>
      </c>
      <c r="BE337" t="n">
        <v>0.6870000000000001</v>
      </c>
      <c r="BF337" t="n">
        <v>0.1</v>
      </c>
      <c r="BG337" t="n">
        <v>0.034</v>
      </c>
      <c r="BH337" t="n">
        <v>0.849</v>
      </c>
      <c r="BI337" t="n">
        <v>1.54</v>
      </c>
      <c r="BJ337" t="n">
        <v>1.308</v>
      </c>
      <c r="BK337" t="n">
        <v>0.444</v>
      </c>
      <c r="BL337" t="n">
        <v>-2.024</v>
      </c>
      <c r="BM337" t="n">
        <v>-1.44</v>
      </c>
      <c r="BN337" t="n">
        <v>-0.1</v>
      </c>
      <c r="BO337" t="n">
        <v>-0.967</v>
      </c>
      <c r="BP337" t="n">
        <v>13</v>
      </c>
      <c r="BQ337" t="n">
        <v>2</v>
      </c>
      <c r="BR337" t="n">
        <v>3</v>
      </c>
      <c r="BS337" t="n">
        <v>16</v>
      </c>
      <c r="BT337" t="n">
        <v>5.434</v>
      </c>
      <c r="BW337" t="n">
        <v>0.29</v>
      </c>
      <c r="BX337" t="n">
        <v>0.759</v>
      </c>
      <c r="BY337" t="n">
        <v>0.524</v>
      </c>
      <c r="BZ337" t="n">
        <v>0.178</v>
      </c>
      <c r="CA337" t="n">
        <v>2.548</v>
      </c>
      <c r="CB337" t="n">
        <v>0.865</v>
      </c>
      <c r="CC337" t="n">
        <v>3</v>
      </c>
      <c r="CD337" t="n">
        <v>1</v>
      </c>
      <c r="CE337" t="n">
        <v>3</v>
      </c>
      <c r="CI337" t="n">
        <v>3.278</v>
      </c>
      <c r="CJ337" t="n">
        <v>0.123</v>
      </c>
      <c r="CK337" t="n">
        <v>4</v>
      </c>
      <c r="CL337" t="n">
        <v>4</v>
      </c>
      <c r="CM337" t="n">
        <v>0</v>
      </c>
      <c r="CP337" t="n">
        <v>4</v>
      </c>
      <c r="CR337" t="n">
        <v>8</v>
      </c>
      <c r="CS337" t="n">
        <v>5</v>
      </c>
      <c r="CW337" t="n">
        <v>5.89</v>
      </c>
      <c r="CX337" t="n">
        <v>2</v>
      </c>
      <c r="CY337" t="n">
        <v>0</v>
      </c>
      <c r="DB337" t="n">
        <v>0</v>
      </c>
      <c r="DF337" t="n">
        <v>1</v>
      </c>
      <c r="DG337" t="n">
        <v>0</v>
      </c>
      <c r="DH337" t="n">
        <v>10</v>
      </c>
      <c r="DI337" t="n">
        <v>2</v>
      </c>
      <c r="DL337" t="n">
        <v>1</v>
      </c>
      <c r="DM337" t="n">
        <v>1</v>
      </c>
      <c r="DN337" t="n">
        <v>2</v>
      </c>
      <c r="DO337" t="n">
        <v>0.4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inlineStr">
        <is>
          <t>flat</t>
        </is>
      </c>
      <c r="DW337" t="n">
        <v>100.65</v>
      </c>
      <c r="DX337" t="n">
        <v>100</v>
      </c>
      <c r="DY337" t="n">
        <v>12.37</v>
      </c>
      <c r="DZ337" t="n">
        <v>80.73</v>
      </c>
      <c r="EA337" t="n">
        <v>114.5</v>
      </c>
      <c r="EB337" t="n">
        <v>5</v>
      </c>
      <c r="EC337" t="n">
        <v>2.4</v>
      </c>
      <c r="ED337" t="n">
        <v>0</v>
      </c>
      <c r="EE337" t="n">
        <v>311</v>
      </c>
      <c r="EF337" t="n">
        <v>20.4</v>
      </c>
      <c r="EG337" t="n">
        <v>16.6</v>
      </c>
      <c r="EH337" t="n">
        <v>88.3</v>
      </c>
      <c r="EI337" t="n">
        <v>131</v>
      </c>
      <c r="EJ337" t="n">
        <v>505.4</v>
      </c>
      <c r="EK337" t="n">
        <v>104</v>
      </c>
      <c r="EL337" t="n">
        <v>20.4</v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n">
        <v>4.5</v>
      </c>
      <c r="F338" t="b">
        <v>1</v>
      </c>
      <c r="G338" t="b">
        <v>1</v>
      </c>
      <c r="H338" t="n">
        <v>21.5</v>
      </c>
      <c r="I338" t="inlineStr">
        <is>
          <t>a</t>
        </is>
      </c>
      <c r="L338" t="inlineStr">
        <is>
          <t>p575458</t>
        </is>
      </c>
      <c r="M338" t="n">
        <v>474</v>
      </c>
      <c r="Q338" t="n">
        <v>514</v>
      </c>
      <c r="R338" t="n">
        <v>9</v>
      </c>
      <c r="S338" t="n">
        <v>6</v>
      </c>
      <c r="T338" t="n">
        <v>5.711</v>
      </c>
      <c r="U338" t="n">
        <v>57.1</v>
      </c>
      <c r="V338" t="n">
        <v>13</v>
      </c>
      <c r="W338" t="n">
        <v>2.276</v>
      </c>
      <c r="X338" t="n">
        <v>0</v>
      </c>
      <c r="Y338" t="n">
        <v>0</v>
      </c>
      <c r="AA338" t="n">
        <v>0</v>
      </c>
      <c r="AB338" t="n">
        <v>7</v>
      </c>
      <c r="AC338" t="n">
        <v>0</v>
      </c>
      <c r="AD338" t="n">
        <v>0</v>
      </c>
      <c r="AE338" t="n">
        <v>0</v>
      </c>
      <c r="AF338" t="n">
        <v>48</v>
      </c>
      <c r="AG338" t="n">
        <v>41</v>
      </c>
      <c r="AH338" t="n">
        <v>-7</v>
      </c>
      <c r="AI338" t="n">
        <v>13</v>
      </c>
      <c r="AJ338" t="n">
        <v>0</v>
      </c>
      <c r="AK338" t="n">
        <v>0</v>
      </c>
      <c r="AL338" t="n">
        <v>47</v>
      </c>
      <c r="AM338" t="n">
        <v>8.23</v>
      </c>
      <c r="AN338" t="n">
        <v>1</v>
      </c>
      <c r="AO338" t="n">
        <v>2</v>
      </c>
      <c r="AP338" t="n">
        <v>0.167</v>
      </c>
      <c r="AQ338" t="n">
        <v>0.167</v>
      </c>
      <c r="AR338" t="n">
        <v>0</v>
      </c>
      <c r="AS338" t="n">
        <v>0.158</v>
      </c>
      <c r="AT338" t="n">
        <v>0.444</v>
      </c>
      <c r="AU338" t="n">
        <v>8</v>
      </c>
      <c r="AV338" t="n">
        <v>0</v>
      </c>
      <c r="AW338" t="n">
        <v>0.71</v>
      </c>
      <c r="AX338" t="n">
        <v>3</v>
      </c>
      <c r="AY338" t="n">
        <v>0.27</v>
      </c>
      <c r="AZ338" t="n">
        <v>0.485</v>
      </c>
      <c r="BA338" t="n">
        <v>0.377</v>
      </c>
      <c r="BB338" t="n">
        <v>0.485</v>
      </c>
      <c r="BC338" t="n">
        <v>0.047</v>
      </c>
      <c r="BD338" t="n">
        <v>0.08500000000000001</v>
      </c>
      <c r="BE338" t="n">
        <v>0.066</v>
      </c>
      <c r="BF338" t="n">
        <v>0.1</v>
      </c>
      <c r="BG338" t="n">
        <v>0.018</v>
      </c>
      <c r="BH338" t="n">
        <v>0.979</v>
      </c>
      <c r="BI338" t="n">
        <v>0.27</v>
      </c>
      <c r="BJ338" t="n">
        <v>0.264</v>
      </c>
      <c r="BK338" t="n">
        <v>0.046</v>
      </c>
      <c r="BL338" t="n">
        <v>-0.377</v>
      </c>
      <c r="BM338" t="n">
        <v>-0.17</v>
      </c>
      <c r="BN338" t="n">
        <v>-0.1</v>
      </c>
      <c r="BO338" t="n">
        <v>-0.215</v>
      </c>
      <c r="BP338" t="n">
        <v>3</v>
      </c>
      <c r="BQ338" t="n">
        <v>1</v>
      </c>
      <c r="BR338" t="n">
        <v>1</v>
      </c>
      <c r="BS338" t="n">
        <v>4</v>
      </c>
      <c r="BT338" t="n">
        <v>0.7</v>
      </c>
      <c r="BW338" t="n">
        <v>0.06</v>
      </c>
      <c r="BX338" t="n">
        <v>0.079</v>
      </c>
      <c r="BY338" t="n">
        <v>0.06900000000000001</v>
      </c>
      <c r="BZ338" t="n">
        <v>0.012</v>
      </c>
      <c r="CA338" t="n">
        <v>0.447</v>
      </c>
      <c r="CB338" t="n">
        <v>0.078</v>
      </c>
      <c r="CC338" t="n">
        <v>1</v>
      </c>
      <c r="CE338" t="n">
        <v>1</v>
      </c>
      <c r="CF338" t="n">
        <v>0</v>
      </c>
      <c r="CI338" t="n">
        <v>1.19</v>
      </c>
      <c r="CJ338" t="n">
        <v>0.627</v>
      </c>
      <c r="CK338" t="n">
        <v>38</v>
      </c>
      <c r="CL338" t="n">
        <v>13</v>
      </c>
      <c r="CM338" t="n">
        <v>9</v>
      </c>
      <c r="CN338" t="n">
        <v>5</v>
      </c>
      <c r="CO338" t="n">
        <v>5</v>
      </c>
      <c r="CP338" t="n">
        <v>31</v>
      </c>
      <c r="CQ338" t="n">
        <v>2</v>
      </c>
      <c r="CR338" t="n">
        <v>22</v>
      </c>
      <c r="CS338" t="n">
        <v>5</v>
      </c>
      <c r="CU338" t="n">
        <v>1</v>
      </c>
      <c r="CV338" t="n">
        <v>2</v>
      </c>
      <c r="CW338" t="n">
        <v>10.35</v>
      </c>
      <c r="CX338" t="n">
        <v>1.812</v>
      </c>
      <c r="CY338" t="n">
        <v>0</v>
      </c>
      <c r="DB338" t="n">
        <v>0</v>
      </c>
      <c r="DF338" t="n">
        <v>0</v>
      </c>
      <c r="DG338" t="n">
        <v>0</v>
      </c>
      <c r="DI338" t="n">
        <v>6</v>
      </c>
      <c r="DL338" t="n">
        <v>2</v>
      </c>
      <c r="DM338" t="n">
        <v>1</v>
      </c>
      <c r="DO338" t="n">
        <v>0.3</v>
      </c>
      <c r="DP338" t="n">
        <v>10.49</v>
      </c>
      <c r="DQ338" t="n">
        <v>5.25</v>
      </c>
      <c r="DR338" t="n">
        <v>10.5</v>
      </c>
      <c r="DS338" t="n">
        <v>-0.01</v>
      </c>
      <c r="DT338" t="n">
        <v>249</v>
      </c>
      <c r="DU338" t="n">
        <v>6.55</v>
      </c>
      <c r="DV338" t="inlineStr">
        <is>
          <t>flat</t>
        </is>
      </c>
      <c r="DW338" t="n">
        <v>78.67</v>
      </c>
      <c r="DZ338" t="n">
        <v>78.67</v>
      </c>
      <c r="EA338" t="n">
        <v>78.67</v>
      </c>
      <c r="EB338" t="n">
        <v>1</v>
      </c>
      <c r="EC338" t="n">
        <v>0.5</v>
      </c>
      <c r="ED338" t="n">
        <v>0</v>
      </c>
      <c r="EE338" t="n">
        <v>448</v>
      </c>
      <c r="EF338" t="n">
        <v>171.3</v>
      </c>
      <c r="EG338" t="n">
        <v>128.5</v>
      </c>
      <c r="EH338" t="n">
        <v>514</v>
      </c>
      <c r="EI338" t="n">
        <v>1361.9</v>
      </c>
      <c r="EJ338" t="n">
        <v>7407</v>
      </c>
      <c r="EK338" t="n">
        <v>1150.4</v>
      </c>
      <c r="EL338" t="n">
        <v>39.5</v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n">
        <v>5</v>
      </c>
      <c r="F339" t="b">
        <v>1</v>
      </c>
      <c r="G339" t="b">
        <v>1</v>
      </c>
      <c r="H339" t="n">
        <v>22.6</v>
      </c>
      <c r="I339" t="inlineStr">
        <is>
          <t>a</t>
        </is>
      </c>
      <c r="L339" t="inlineStr">
        <is>
          <t>p514356</t>
        </is>
      </c>
      <c r="M339" t="n">
        <v>161</v>
      </c>
      <c r="Q339" t="n">
        <v>374</v>
      </c>
      <c r="R339" t="n">
        <v>12</v>
      </c>
      <c r="S339" t="n">
        <v>4</v>
      </c>
      <c r="T339" t="n">
        <v>4.156</v>
      </c>
      <c r="U339" t="n">
        <v>31.2</v>
      </c>
      <c r="V339" t="n">
        <v>13</v>
      </c>
      <c r="W339" t="n">
        <v>3.128</v>
      </c>
      <c r="X339" t="n">
        <v>0</v>
      </c>
      <c r="Y339" t="n">
        <v>0</v>
      </c>
      <c r="AA339" t="n">
        <v>0</v>
      </c>
      <c r="AB339" t="n">
        <v>10</v>
      </c>
      <c r="AC339" t="n">
        <v>0</v>
      </c>
      <c r="AD339" t="n">
        <v>0</v>
      </c>
      <c r="AE339" t="n">
        <v>0</v>
      </c>
      <c r="AF339" t="n">
        <v>81</v>
      </c>
      <c r="AG339" t="n">
        <v>79</v>
      </c>
      <c r="AH339" t="n">
        <v>-2</v>
      </c>
      <c r="AI339" t="n">
        <v>13</v>
      </c>
      <c r="AJ339" t="n">
        <v>0</v>
      </c>
      <c r="AK339" t="n">
        <v>0</v>
      </c>
      <c r="AL339" t="n">
        <v>37</v>
      </c>
      <c r="AM339" t="n">
        <v>8.904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0.105</v>
      </c>
      <c r="AT339" t="n">
        <v>0.083</v>
      </c>
      <c r="AU339" t="n">
        <v>12</v>
      </c>
      <c r="AV339" t="n">
        <v>0</v>
      </c>
      <c r="AW339" t="n">
        <v>0.53</v>
      </c>
      <c r="AX339" t="n">
        <v>2</v>
      </c>
      <c r="AY339" t="n">
        <v>0.21</v>
      </c>
      <c r="AZ339" t="n">
        <v>0.277</v>
      </c>
      <c r="BA339" t="n">
        <v>0.243</v>
      </c>
      <c r="BB339" t="n">
        <v>0.277</v>
      </c>
      <c r="BC339" t="n">
        <v>0.051</v>
      </c>
      <c r="BD339" t="n">
        <v>0.067</v>
      </c>
      <c r="BE339" t="n">
        <v>0.059</v>
      </c>
      <c r="BH339" t="n">
        <v>0.957</v>
      </c>
      <c r="BI339" t="n">
        <v>0.88</v>
      </c>
      <c r="BJ339" t="n">
        <v>0.201</v>
      </c>
      <c r="BK339" t="n">
        <v>0.048</v>
      </c>
      <c r="BL339" t="n">
        <v>-0.243</v>
      </c>
      <c r="BO339" t="n">
        <v>-0.067</v>
      </c>
      <c r="BP339" t="n">
        <v>3</v>
      </c>
      <c r="BR339" t="n">
        <v>0</v>
      </c>
      <c r="BS339" t="n">
        <v>3</v>
      </c>
      <c r="BT339" t="n">
        <v>0.722</v>
      </c>
      <c r="BW339" t="n">
        <v>0.55</v>
      </c>
      <c r="BX339" t="n">
        <v>0.415</v>
      </c>
      <c r="BY339" t="n">
        <v>0.483</v>
      </c>
      <c r="BZ339" t="n">
        <v>0.116</v>
      </c>
      <c r="CA339" t="n">
        <v>0.726</v>
      </c>
      <c r="CB339" t="n">
        <v>0.175</v>
      </c>
      <c r="CC339" t="n">
        <v>1</v>
      </c>
      <c r="CD339" t="n">
        <v>1</v>
      </c>
      <c r="CE339" t="n">
        <v>1</v>
      </c>
      <c r="CG339" t="n">
        <v>2</v>
      </c>
      <c r="CI339" t="n">
        <v>3.3</v>
      </c>
      <c r="CJ339" t="n">
        <v>3.252</v>
      </c>
      <c r="CK339" t="n">
        <v>9</v>
      </c>
      <c r="CL339" t="n">
        <v>20</v>
      </c>
      <c r="CM339" t="n">
        <v>8</v>
      </c>
      <c r="CN339" t="n">
        <v>7</v>
      </c>
      <c r="CO339" t="n">
        <v>5</v>
      </c>
      <c r="CP339" t="n">
        <v>4</v>
      </c>
      <c r="CQ339" t="n">
        <v>0</v>
      </c>
      <c r="CR339" t="n">
        <v>22</v>
      </c>
      <c r="CS339" t="n">
        <v>3</v>
      </c>
      <c r="CV339" t="n">
        <v>1</v>
      </c>
      <c r="CW339" t="n">
        <v>8.529999999999999</v>
      </c>
      <c r="CX339" t="n">
        <v>2.053</v>
      </c>
      <c r="CY339" t="n">
        <v>0</v>
      </c>
      <c r="DB339" t="n">
        <v>0</v>
      </c>
      <c r="DF339" t="n">
        <v>0</v>
      </c>
      <c r="DG339" t="n">
        <v>0</v>
      </c>
      <c r="DH339" t="n">
        <v>8</v>
      </c>
      <c r="DI339" t="n">
        <v>8</v>
      </c>
      <c r="DL339" t="n">
        <v>3</v>
      </c>
      <c r="DM339" t="n">
        <v>6</v>
      </c>
      <c r="DO339" t="n">
        <v>0.1</v>
      </c>
      <c r="DP339" t="n">
        <v>18.36</v>
      </c>
      <c r="DQ339" t="n">
        <v>9.529999999999999</v>
      </c>
      <c r="DR339" t="n">
        <v>19.06</v>
      </c>
      <c r="DS339" t="n">
        <v>-0.7</v>
      </c>
      <c r="DT339" t="n">
        <v>128</v>
      </c>
      <c r="DU339" t="n">
        <v>3.36</v>
      </c>
      <c r="DV339" t="inlineStr">
        <is>
          <t>flat</t>
        </is>
      </c>
      <c r="EF339" t="n">
        <v>124.7</v>
      </c>
      <c r="EG339" t="n">
        <v>124.7</v>
      </c>
      <c r="EH339" t="n">
        <v>374</v>
      </c>
      <c r="EI339" t="n">
        <v>1536.8</v>
      </c>
      <c r="EJ339" t="n">
        <v>774.9</v>
      </c>
      <c r="EK339" t="n">
        <v>515.1</v>
      </c>
      <c r="EL339" t="n">
        <v>28.8</v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n">
        <v>5</v>
      </c>
      <c r="F340" t="b">
        <v>1</v>
      </c>
      <c r="G340" t="b">
        <v>1</v>
      </c>
      <c r="H340" t="n">
        <v>23.2</v>
      </c>
      <c r="I340" t="inlineStr">
        <is>
          <t>a</t>
        </is>
      </c>
      <c r="L340" t="inlineStr">
        <is>
          <t>p536661</t>
        </is>
      </c>
      <c r="M340" t="n">
        <v>551</v>
      </c>
      <c r="Q340" t="n">
        <v>401</v>
      </c>
      <c r="R340" t="n">
        <v>8</v>
      </c>
      <c r="S340" t="n">
        <v>5</v>
      </c>
      <c r="T340" t="n">
        <v>4.456</v>
      </c>
      <c r="U340" t="n">
        <v>50.1</v>
      </c>
      <c r="V340" t="n">
        <v>13</v>
      </c>
      <c r="W340" t="n">
        <v>2.918</v>
      </c>
      <c r="X340" t="n">
        <v>0</v>
      </c>
      <c r="Y340" t="n">
        <v>0</v>
      </c>
      <c r="AA340" t="n">
        <v>1</v>
      </c>
      <c r="AB340" t="n">
        <v>6</v>
      </c>
      <c r="AC340" t="n">
        <v>0</v>
      </c>
      <c r="AD340" t="n">
        <v>0</v>
      </c>
      <c r="AE340" t="n">
        <v>0</v>
      </c>
      <c r="AF340" t="n">
        <v>43</v>
      </c>
      <c r="AG340" t="n">
        <v>40</v>
      </c>
      <c r="AH340" t="n">
        <v>-3</v>
      </c>
      <c r="AI340" t="n">
        <v>13</v>
      </c>
      <c r="AJ340" t="n">
        <v>0</v>
      </c>
      <c r="AK340" t="n">
        <v>0</v>
      </c>
      <c r="AL340" t="n">
        <v>35</v>
      </c>
      <c r="AM340" t="n">
        <v>7.855</v>
      </c>
      <c r="AN340" t="n">
        <v>0</v>
      </c>
      <c r="AO340" t="n">
        <v>0</v>
      </c>
      <c r="AP340" t="n">
        <v>0</v>
      </c>
      <c r="AQ340" t="n">
        <v>0.4</v>
      </c>
      <c r="AR340" t="n">
        <v>0</v>
      </c>
      <c r="AS340" t="n">
        <v>0.132</v>
      </c>
      <c r="AT340" t="n">
        <v>0.625</v>
      </c>
      <c r="AU340" t="n">
        <v>7</v>
      </c>
      <c r="AV340" t="n">
        <v>0</v>
      </c>
      <c r="AW340" t="n">
        <v>1</v>
      </c>
      <c r="AX340" t="n">
        <v>3</v>
      </c>
      <c r="AY340" t="n">
        <v>0.77</v>
      </c>
      <c r="AZ340" t="n">
        <v>0.906</v>
      </c>
      <c r="BA340" t="n">
        <v>0.838</v>
      </c>
      <c r="BB340" t="n">
        <v>0.906</v>
      </c>
      <c r="BC340" t="n">
        <v>0.173</v>
      </c>
      <c r="BD340" t="n">
        <v>0.203</v>
      </c>
      <c r="BE340" t="n">
        <v>0.188</v>
      </c>
      <c r="BF340" t="n">
        <v>0.5</v>
      </c>
      <c r="BG340" t="n">
        <v>0.112</v>
      </c>
      <c r="BH340" t="n">
        <v>0.969</v>
      </c>
      <c r="BI340" t="n">
        <v>0.77</v>
      </c>
      <c r="BJ340" t="n">
        <v>0.746</v>
      </c>
      <c r="BK340" t="n">
        <v>0.167</v>
      </c>
      <c r="BL340" t="n">
        <v>-0.838</v>
      </c>
      <c r="BM340" t="n">
        <v>-0.27</v>
      </c>
      <c r="BN340" t="n">
        <v>-0.5</v>
      </c>
      <c r="BO340" t="n">
        <v>-0.136</v>
      </c>
      <c r="BP340" t="n">
        <v>7</v>
      </c>
      <c r="BQ340" t="n">
        <v>3</v>
      </c>
      <c r="BR340" t="n">
        <v>2</v>
      </c>
      <c r="BS340" t="n">
        <v>16</v>
      </c>
      <c r="BT340" t="n">
        <v>3.591</v>
      </c>
      <c r="BW340" t="n">
        <v>0.12</v>
      </c>
      <c r="BX340" t="n">
        <v>0.053</v>
      </c>
      <c r="BY340" t="n">
        <v>0.08599999999999999</v>
      </c>
      <c r="BZ340" t="n">
        <v>0.019</v>
      </c>
      <c r="CA340" t="n">
        <v>0.924</v>
      </c>
      <c r="CB340" t="n">
        <v>0.207</v>
      </c>
      <c r="CC340" t="n">
        <v>3</v>
      </c>
      <c r="CE340" t="n">
        <v>3</v>
      </c>
      <c r="CF340" t="n">
        <v>1</v>
      </c>
      <c r="CI340" t="n">
        <v>0.894</v>
      </c>
      <c r="CJ340" t="n">
        <v>0.162</v>
      </c>
      <c r="CK340" t="n">
        <v>16</v>
      </c>
      <c r="CL340" t="n">
        <v>9</v>
      </c>
      <c r="CM340" t="n">
        <v>10</v>
      </c>
      <c r="CN340" t="n">
        <v>7</v>
      </c>
      <c r="CO340" t="n">
        <v>5</v>
      </c>
      <c r="CP340" t="n">
        <v>11</v>
      </c>
      <c r="CR340" t="n">
        <v>25</v>
      </c>
      <c r="CS340" t="n">
        <v>5</v>
      </c>
      <c r="CW340" t="n">
        <v>7.26</v>
      </c>
      <c r="CX340" t="n">
        <v>1.629</v>
      </c>
      <c r="CY340" t="n">
        <v>0</v>
      </c>
      <c r="DB340" t="n">
        <v>0</v>
      </c>
      <c r="DF340" t="n">
        <v>1</v>
      </c>
      <c r="DG340" t="n">
        <v>0</v>
      </c>
      <c r="DH340" t="n">
        <v>11</v>
      </c>
      <c r="DI340" t="n">
        <v>3</v>
      </c>
      <c r="DL340" t="n">
        <v>7</v>
      </c>
      <c r="DM340" t="n">
        <v>5</v>
      </c>
      <c r="DN340" t="n">
        <v>1</v>
      </c>
      <c r="DO340" t="n">
        <v>0.1</v>
      </c>
      <c r="DP340" t="n">
        <v>47.2</v>
      </c>
      <c r="DQ340" t="n">
        <v>23.6</v>
      </c>
      <c r="DR340" t="n">
        <v>47.2</v>
      </c>
      <c r="DS340" t="n">
        <v>0</v>
      </c>
      <c r="DT340" t="n">
        <v>648</v>
      </c>
      <c r="DU340" t="n">
        <v>17.04</v>
      </c>
      <c r="DV340" t="inlineStr">
        <is>
          <t>flat</t>
        </is>
      </c>
      <c r="EF340" t="n">
        <v>57.3</v>
      </c>
      <c r="EG340" t="n">
        <v>25.1</v>
      </c>
      <c r="EH340" t="n">
        <v>133.7</v>
      </c>
      <c r="EI340" t="n">
        <v>478.6</v>
      </c>
      <c r="EJ340" t="n">
        <v>4639.3</v>
      </c>
      <c r="EK340" t="n">
        <v>433.9</v>
      </c>
      <c r="EL340" t="n">
        <v>30.8</v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n">
        <v>5</v>
      </c>
      <c r="F341" t="b">
        <v>1</v>
      </c>
      <c r="G341" t="b">
        <v>1</v>
      </c>
      <c r="H341" t="n">
        <v>24</v>
      </c>
      <c r="I341" t="inlineStr">
        <is>
          <t>a</t>
        </is>
      </c>
      <c r="K341" t="n">
        <v>100</v>
      </c>
      <c r="L341" t="inlineStr">
        <is>
          <t>p244858</t>
        </is>
      </c>
      <c r="M341" t="n">
        <v>100</v>
      </c>
      <c r="Q341" t="n">
        <v>100</v>
      </c>
      <c r="R341" t="n">
        <v>6</v>
      </c>
      <c r="S341" t="n">
        <v>1</v>
      </c>
      <c r="T341" t="n">
        <v>1.111</v>
      </c>
      <c r="U341" t="n">
        <v>16.7</v>
      </c>
      <c r="V341" t="n">
        <v>13</v>
      </c>
      <c r="W341" t="n">
        <v>11.7</v>
      </c>
      <c r="X341" t="n">
        <v>1</v>
      </c>
      <c r="Y341" t="n">
        <v>0</v>
      </c>
      <c r="AA341" t="n">
        <v>0</v>
      </c>
      <c r="AB341" t="n">
        <v>4</v>
      </c>
      <c r="AC341" t="n">
        <v>1</v>
      </c>
      <c r="AD341" t="n">
        <v>1</v>
      </c>
      <c r="AE341" t="n">
        <v>0</v>
      </c>
      <c r="AF341" t="n">
        <v>42</v>
      </c>
      <c r="AG341" t="n">
        <v>42</v>
      </c>
      <c r="AH341" t="n">
        <v>0</v>
      </c>
      <c r="AI341" t="n">
        <v>13</v>
      </c>
      <c r="AJ341" t="n">
        <v>0.077</v>
      </c>
      <c r="AK341" t="n">
        <v>0.083</v>
      </c>
      <c r="AL341" t="n">
        <v>8</v>
      </c>
      <c r="AM341" t="n">
        <v>7.2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0.026</v>
      </c>
      <c r="AT341" t="n">
        <v>0.167</v>
      </c>
      <c r="AU341" t="n">
        <v>5</v>
      </c>
      <c r="AV341" t="n">
        <v>0</v>
      </c>
      <c r="AW341" t="n">
        <v>1.19</v>
      </c>
      <c r="AX341" t="n">
        <v>7</v>
      </c>
      <c r="AY341" t="n">
        <v>0.7</v>
      </c>
      <c r="AZ341" t="n">
        <v>0.6899999999999999</v>
      </c>
      <c r="BA341" t="n">
        <v>0.695</v>
      </c>
      <c r="BB341" t="n">
        <v>0.6899999999999999</v>
      </c>
      <c r="BC341" t="n">
        <v>0.63</v>
      </c>
      <c r="BD341" t="n">
        <v>0.621</v>
      </c>
      <c r="BE341" t="n">
        <v>0.625</v>
      </c>
      <c r="BF341" t="n">
        <v>0.7</v>
      </c>
      <c r="BG341" t="n">
        <v>0.63</v>
      </c>
      <c r="BH341" t="n">
        <v>1</v>
      </c>
      <c r="BI341" t="n">
        <v>4.3</v>
      </c>
      <c r="BJ341" t="n">
        <v>0.7</v>
      </c>
      <c r="BK341" t="n">
        <v>0.63</v>
      </c>
      <c r="BL341" t="n">
        <v>0.305</v>
      </c>
      <c r="BM341" t="n">
        <v>0</v>
      </c>
      <c r="BN341" t="n">
        <v>0.3</v>
      </c>
      <c r="BO341" t="n">
        <v>0.01</v>
      </c>
      <c r="BP341" t="n">
        <v>2</v>
      </c>
      <c r="BQ341" t="n">
        <v>1</v>
      </c>
      <c r="BS341" t="n">
        <v>2</v>
      </c>
      <c r="BT341" t="n">
        <v>1.8</v>
      </c>
      <c r="BW341" t="n">
        <v>0.03</v>
      </c>
      <c r="BX341" t="n">
        <v>0</v>
      </c>
      <c r="BY341" t="n">
        <v>0.015</v>
      </c>
      <c r="BZ341" t="n">
        <v>0.013</v>
      </c>
      <c r="CA341" t="n">
        <v>0.71</v>
      </c>
      <c r="CB341" t="n">
        <v>0.639</v>
      </c>
      <c r="CC341" t="n">
        <v>0</v>
      </c>
      <c r="CF341" t="n">
        <v>1</v>
      </c>
      <c r="CH341" t="n">
        <v>3</v>
      </c>
      <c r="CI341" t="n">
        <v>0.6899999999999999</v>
      </c>
      <c r="CJ341" t="n">
        <v>0</v>
      </c>
      <c r="CK341" t="n">
        <v>0</v>
      </c>
      <c r="CL341" t="n">
        <v>5</v>
      </c>
      <c r="CM341" t="n">
        <v>3</v>
      </c>
      <c r="CN341" t="n">
        <v>2</v>
      </c>
      <c r="CR341" t="n">
        <v>5</v>
      </c>
      <c r="CS341" t="n">
        <v>1</v>
      </c>
      <c r="CW341" t="n">
        <v>2.08</v>
      </c>
      <c r="CX341" t="n">
        <v>1.872</v>
      </c>
      <c r="CY341" t="n">
        <v>0</v>
      </c>
      <c r="DB341" t="n">
        <v>0</v>
      </c>
      <c r="DF341" t="n">
        <v>0</v>
      </c>
      <c r="DG341" t="n">
        <v>0</v>
      </c>
      <c r="DH341" t="n">
        <v>0</v>
      </c>
      <c r="DL341" t="n">
        <v>1</v>
      </c>
      <c r="DM341" t="n">
        <v>1</v>
      </c>
      <c r="DO341" t="n">
        <v>0</v>
      </c>
      <c r="DP341" t="n">
        <v>19</v>
      </c>
      <c r="DQ341" t="n">
        <v>9.5</v>
      </c>
      <c r="DR341" t="n">
        <v>19</v>
      </c>
      <c r="DS341" t="n">
        <v>0</v>
      </c>
      <c r="DT341" t="n">
        <v>10</v>
      </c>
      <c r="DU341" t="n">
        <v>0.25</v>
      </c>
      <c r="DV341" t="inlineStr">
        <is>
          <t>flat</t>
        </is>
      </c>
      <c r="EF341" t="n">
        <v>50</v>
      </c>
      <c r="EG341" t="n">
        <v>50</v>
      </c>
      <c r="EI341" t="n">
        <v>143.9</v>
      </c>
      <c r="EJ341" t="n">
        <v>6666.7</v>
      </c>
      <c r="EK341" t="n">
        <v>140.9</v>
      </c>
      <c r="EL341" t="n">
        <v>7.7</v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n">
        <v>5.5</v>
      </c>
      <c r="F342" t="b">
        <v>1</v>
      </c>
      <c r="G342" t="b">
        <v>1</v>
      </c>
      <c r="H342" t="n">
        <v>26.7</v>
      </c>
      <c r="I342" t="inlineStr">
        <is>
          <t>a</t>
        </is>
      </c>
      <c r="L342" t="inlineStr">
        <is>
          <t>p200641</t>
        </is>
      </c>
      <c r="M342" t="n">
        <v>24</v>
      </c>
      <c r="Q342" t="n">
        <v>118</v>
      </c>
      <c r="R342" t="n">
        <v>10</v>
      </c>
      <c r="S342" t="n">
        <v>0</v>
      </c>
      <c r="T342" t="n">
        <v>1.311</v>
      </c>
      <c r="U342" t="n">
        <v>11.8</v>
      </c>
      <c r="V342" t="n">
        <v>13</v>
      </c>
      <c r="W342" t="n">
        <v>9.914999999999999</v>
      </c>
      <c r="X342" t="n">
        <v>0</v>
      </c>
      <c r="Y342" t="n">
        <v>1</v>
      </c>
      <c r="Z342" t="n">
        <v>1</v>
      </c>
      <c r="AA342" t="n">
        <v>0</v>
      </c>
      <c r="AB342" t="n">
        <v>2</v>
      </c>
      <c r="AC342" t="n">
        <v>0</v>
      </c>
      <c r="AD342" t="n">
        <v>0</v>
      </c>
      <c r="AE342" t="n">
        <v>0</v>
      </c>
      <c r="AF342" t="n">
        <v>39</v>
      </c>
      <c r="AG342" t="n">
        <v>38</v>
      </c>
      <c r="AH342" t="n">
        <v>-1</v>
      </c>
      <c r="AI342" t="n">
        <v>13</v>
      </c>
      <c r="AJ342" t="n">
        <v>0</v>
      </c>
      <c r="AK342" t="n">
        <v>0</v>
      </c>
      <c r="AL342" t="n">
        <v>23</v>
      </c>
      <c r="AM342" t="n">
        <v>17.542</v>
      </c>
      <c r="AN342" t="n">
        <v>0</v>
      </c>
      <c r="AO342" t="n">
        <v>0</v>
      </c>
      <c r="AS342" t="n">
        <v>0</v>
      </c>
      <c r="AT342" t="n">
        <v>0</v>
      </c>
      <c r="AU342" t="n">
        <v>9</v>
      </c>
      <c r="AV342" t="n">
        <v>0</v>
      </c>
      <c r="AW342" t="n">
        <v>0.75</v>
      </c>
      <c r="AX342" t="n">
        <v>4</v>
      </c>
      <c r="AY342" t="n">
        <v>0.71</v>
      </c>
      <c r="AZ342" t="n">
        <v>0.901</v>
      </c>
      <c r="BA342" t="n">
        <v>0.805</v>
      </c>
      <c r="BB342" t="n">
        <v>0.901</v>
      </c>
      <c r="BC342" t="n">
        <v>0.542</v>
      </c>
      <c r="BD342" t="n">
        <v>0.6870000000000001</v>
      </c>
      <c r="BE342" t="n">
        <v>0.614</v>
      </c>
      <c r="BF342" t="n">
        <v>0.5</v>
      </c>
      <c r="BG342" t="n">
        <v>0.381</v>
      </c>
      <c r="BH342" t="n">
        <v>1.122</v>
      </c>
      <c r="BI342" t="n">
        <v>3.05</v>
      </c>
      <c r="BJ342" t="n">
        <v>0.797</v>
      </c>
      <c r="BK342" t="n">
        <v>0.608</v>
      </c>
      <c r="BL342" t="n">
        <v>-0.805</v>
      </c>
      <c r="BM342" t="n">
        <v>-0.21</v>
      </c>
      <c r="BN342" t="n">
        <v>-0.5</v>
      </c>
      <c r="BO342" t="n">
        <v>-0.191</v>
      </c>
      <c r="BP342" t="n">
        <v>5</v>
      </c>
      <c r="BQ342" t="n">
        <v>1</v>
      </c>
      <c r="BR342" t="n">
        <v>2</v>
      </c>
      <c r="BS342" t="n">
        <v>8</v>
      </c>
      <c r="BT342" t="n">
        <v>6.102</v>
      </c>
      <c r="BW342" t="n">
        <v>0.11</v>
      </c>
      <c r="BX342" t="n">
        <v>0.059</v>
      </c>
      <c r="BY342" t="n">
        <v>0.08500000000000001</v>
      </c>
      <c r="BZ342" t="n">
        <v>0.064</v>
      </c>
      <c r="CA342" t="n">
        <v>0.89</v>
      </c>
      <c r="CB342" t="n">
        <v>0.679</v>
      </c>
      <c r="CC342" t="n">
        <v>2</v>
      </c>
      <c r="CE342" t="n">
        <v>2</v>
      </c>
      <c r="CI342" t="n">
        <v>1.589</v>
      </c>
      <c r="CJ342" t="n">
        <v>1.123</v>
      </c>
      <c r="CK342" t="n">
        <v>3</v>
      </c>
      <c r="CL342" t="n">
        <v>16</v>
      </c>
      <c r="CM342" t="n">
        <v>4</v>
      </c>
      <c r="CN342" t="n">
        <v>3</v>
      </c>
      <c r="CP342" t="n">
        <v>2</v>
      </c>
      <c r="CQ342" t="n">
        <v>1</v>
      </c>
      <c r="CR342" t="n">
        <v>11</v>
      </c>
      <c r="CW342" t="n">
        <v>3.02</v>
      </c>
      <c r="CX342" t="n">
        <v>2.303</v>
      </c>
      <c r="CY342" t="n">
        <v>0</v>
      </c>
      <c r="DB342" t="n">
        <v>0</v>
      </c>
      <c r="DF342" t="n">
        <v>0</v>
      </c>
      <c r="DG342" t="n">
        <v>0</v>
      </c>
      <c r="DI342" t="n">
        <v>2</v>
      </c>
      <c r="DL342" t="n">
        <v>5</v>
      </c>
      <c r="DM342" t="n">
        <v>4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inlineStr">
        <is>
          <t>flat</t>
        </is>
      </c>
      <c r="EF342" t="n">
        <v>23.6</v>
      </c>
      <c r="EG342" t="n">
        <v>14.8</v>
      </c>
      <c r="EH342" t="n">
        <v>59</v>
      </c>
      <c r="EI342" t="n">
        <v>146.5</v>
      </c>
      <c r="EJ342" t="n">
        <v>1396.3</v>
      </c>
      <c r="EK342" t="n">
        <v>132.6</v>
      </c>
      <c r="EL342" t="n">
        <v>9.1</v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n">
        <v>5</v>
      </c>
      <c r="F343" t="b">
        <v>1</v>
      </c>
      <c r="G343" t="b">
        <v>1</v>
      </c>
      <c r="H343" t="n">
        <v>23.9</v>
      </c>
      <c r="I343" t="inlineStr">
        <is>
          <t>a</t>
        </is>
      </c>
      <c r="L343" t="inlineStr">
        <is>
          <t>p432720</t>
        </is>
      </c>
      <c r="M343" t="n">
        <v>385</v>
      </c>
      <c r="Q343" t="n">
        <v>360</v>
      </c>
      <c r="R343" t="n">
        <v>4</v>
      </c>
      <c r="S343" t="n">
        <v>4</v>
      </c>
      <c r="T343" t="n">
        <v>4</v>
      </c>
      <c r="U343" t="n">
        <v>90</v>
      </c>
      <c r="V343" t="n">
        <v>13</v>
      </c>
      <c r="W343" t="n">
        <v>3.25</v>
      </c>
      <c r="X343" t="n">
        <v>0</v>
      </c>
      <c r="Y343" t="n">
        <v>0</v>
      </c>
      <c r="AA343" t="n">
        <v>1</v>
      </c>
      <c r="AB343" t="n">
        <v>6</v>
      </c>
      <c r="AC343" t="n">
        <v>0</v>
      </c>
      <c r="AD343" t="n">
        <v>0</v>
      </c>
      <c r="AE343" t="n">
        <v>0</v>
      </c>
      <c r="AF343" t="n">
        <v>67</v>
      </c>
      <c r="AG343" t="n">
        <v>66</v>
      </c>
      <c r="AH343" t="n">
        <v>-1</v>
      </c>
      <c r="AI343" t="n">
        <v>13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0.105</v>
      </c>
      <c r="AT343" t="n">
        <v>1</v>
      </c>
      <c r="AU343" t="n">
        <v>3</v>
      </c>
      <c r="AV343" t="n">
        <v>0</v>
      </c>
      <c r="AW343" t="n">
        <v>1.24</v>
      </c>
      <c r="AX343" t="n">
        <v>7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H343" t="n">
        <v>1</v>
      </c>
      <c r="BI343" t="n">
        <v>0</v>
      </c>
      <c r="BJ343" t="n">
        <v>0</v>
      </c>
      <c r="BK343" t="n">
        <v>0</v>
      </c>
      <c r="BL343" t="n">
        <v>0</v>
      </c>
      <c r="BO343" t="n">
        <v>0</v>
      </c>
      <c r="BS343" t="n">
        <v>0</v>
      </c>
      <c r="BT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I343" t="n">
        <v>1.546</v>
      </c>
      <c r="CJ343" t="n">
        <v>1.546</v>
      </c>
      <c r="CK343" t="n">
        <v>6</v>
      </c>
      <c r="CL343" t="n">
        <v>35</v>
      </c>
      <c r="CM343" t="n">
        <v>2</v>
      </c>
      <c r="CN343" t="n">
        <v>1</v>
      </c>
      <c r="CP343" t="n">
        <v>6</v>
      </c>
      <c r="CR343" t="n">
        <v>5</v>
      </c>
      <c r="CS343" t="n">
        <v>1</v>
      </c>
      <c r="CU343" t="n">
        <v>1</v>
      </c>
      <c r="CW343" t="n">
        <v>5.74</v>
      </c>
      <c r="CX343" t="n">
        <v>1.435</v>
      </c>
      <c r="CY343" t="n">
        <v>14</v>
      </c>
      <c r="DB343" t="n">
        <v>0</v>
      </c>
      <c r="DC343" t="n">
        <v>2</v>
      </c>
      <c r="DD343" t="n">
        <v>1</v>
      </c>
      <c r="DF343" t="n">
        <v>0</v>
      </c>
      <c r="DG343" t="n">
        <v>0</v>
      </c>
      <c r="DI343" t="n">
        <v>1</v>
      </c>
      <c r="DL343" t="n">
        <v>1</v>
      </c>
      <c r="DO343" t="n">
        <v>2.5</v>
      </c>
      <c r="DP343" t="n">
        <v>123.14</v>
      </c>
      <c r="DQ343" t="n">
        <v>61.57</v>
      </c>
      <c r="DR343" t="n">
        <v>123.14</v>
      </c>
      <c r="DS343" t="n">
        <v>0</v>
      </c>
      <c r="DT343" t="n">
        <v>3385</v>
      </c>
      <c r="DU343" t="n">
        <v>89.09</v>
      </c>
      <c r="DV343" t="inlineStr">
        <is>
          <t>flat</t>
        </is>
      </c>
      <c r="DW343" t="n">
        <v>88.72</v>
      </c>
      <c r="DX343" t="n">
        <v>99.7</v>
      </c>
      <c r="DY343" t="n">
        <v>29.86</v>
      </c>
      <c r="DZ343" t="n">
        <v>2.4</v>
      </c>
      <c r="EA343" t="n">
        <v>120</v>
      </c>
      <c r="EB343" t="n">
        <v>158</v>
      </c>
      <c r="EC343" t="n">
        <v>76</v>
      </c>
      <c r="ED343" t="n">
        <v>15.1</v>
      </c>
      <c r="EE343" t="n">
        <v>312</v>
      </c>
      <c r="EL343" t="n">
        <v>27.7</v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n">
        <v>5</v>
      </c>
      <c r="F344" t="b">
        <v>1</v>
      </c>
      <c r="G344" t="b">
        <v>1</v>
      </c>
      <c r="H344" t="n">
        <v>29.7</v>
      </c>
      <c r="I344" t="inlineStr">
        <is>
          <t>u</t>
        </is>
      </c>
      <c r="J344" t="inlineStr">
        <is>
          <t>Has joined New England Revolution permanently</t>
        </is>
      </c>
      <c r="K344" t="n">
        <v>0</v>
      </c>
      <c r="L344" t="inlineStr">
        <is>
          <t>p221399</t>
        </is>
      </c>
      <c r="M344" t="n">
        <v>342</v>
      </c>
      <c r="Q344" t="n">
        <v>262</v>
      </c>
      <c r="R344" t="n">
        <v>11</v>
      </c>
      <c r="S344" t="n">
        <v>1</v>
      </c>
      <c r="T344" t="n">
        <v>2.911</v>
      </c>
      <c r="U344" t="n">
        <v>23.8</v>
      </c>
      <c r="V344" t="n">
        <v>12</v>
      </c>
      <c r="W344" t="n">
        <v>4.122</v>
      </c>
      <c r="X344" t="n">
        <v>0</v>
      </c>
      <c r="Y344" t="n">
        <v>0</v>
      </c>
      <c r="AA344" t="n">
        <v>0</v>
      </c>
      <c r="AB344" t="n">
        <v>5</v>
      </c>
      <c r="AC344" t="n">
        <v>0</v>
      </c>
      <c r="AD344" t="n">
        <v>0</v>
      </c>
      <c r="AE344" t="n">
        <v>0</v>
      </c>
      <c r="AF344" t="n">
        <v>51</v>
      </c>
      <c r="AG344" t="n">
        <v>50</v>
      </c>
      <c r="AH344" t="n">
        <v>-1</v>
      </c>
      <c r="AI344" t="n">
        <v>12</v>
      </c>
      <c r="AJ344" t="n">
        <v>0</v>
      </c>
      <c r="AK344" t="n">
        <v>0</v>
      </c>
      <c r="AL344" t="n">
        <v>24</v>
      </c>
      <c r="AM344" t="n">
        <v>8.244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0.026</v>
      </c>
      <c r="AT344" t="n">
        <v>0.091</v>
      </c>
      <c r="AU344" t="n">
        <v>11</v>
      </c>
      <c r="AV344" t="n">
        <v>0</v>
      </c>
      <c r="AW344" t="n">
        <v>0.53</v>
      </c>
      <c r="AX344" t="n">
        <v>2</v>
      </c>
      <c r="AY344" t="n">
        <v>0.28</v>
      </c>
      <c r="AZ344" t="n">
        <v>0.434</v>
      </c>
      <c r="BA344" t="n">
        <v>0.357</v>
      </c>
      <c r="BB344" t="n">
        <v>0.434</v>
      </c>
      <c r="BC344" t="n">
        <v>0.096</v>
      </c>
      <c r="BD344" t="n">
        <v>0.149</v>
      </c>
      <c r="BE344" t="n">
        <v>0.123</v>
      </c>
      <c r="BF344" t="n">
        <v>0.1</v>
      </c>
      <c r="BG344" t="n">
        <v>0.034</v>
      </c>
      <c r="BH344" t="n">
        <v>0.845</v>
      </c>
      <c r="BI344" t="n">
        <v>12.94</v>
      </c>
      <c r="BJ344" t="n">
        <v>0.237</v>
      </c>
      <c r="BK344" t="n">
        <v>0.081</v>
      </c>
      <c r="BL344" t="n">
        <v>-0.357</v>
      </c>
      <c r="BM344" t="n">
        <v>-0.18</v>
      </c>
      <c r="BN344" t="n">
        <v>-0.1</v>
      </c>
      <c r="BO344" t="n">
        <v>-0.154</v>
      </c>
      <c r="BP344" t="n">
        <v>6</v>
      </c>
      <c r="BQ344" t="n">
        <v>2</v>
      </c>
      <c r="BR344" t="n">
        <v>1</v>
      </c>
      <c r="BS344" t="n">
        <v>7</v>
      </c>
      <c r="BT344" t="n">
        <v>2.405</v>
      </c>
      <c r="BW344" t="n">
        <v>0.23</v>
      </c>
      <c r="BX344" t="n">
        <v>0.338</v>
      </c>
      <c r="BY344" t="n">
        <v>0.284</v>
      </c>
      <c r="BZ344" t="n">
        <v>0.098</v>
      </c>
      <c r="CA344" t="n">
        <v>0.641</v>
      </c>
      <c r="CB344" t="n">
        <v>0.22</v>
      </c>
      <c r="CC344" t="n">
        <v>1</v>
      </c>
      <c r="CD344" t="n">
        <v>1</v>
      </c>
      <c r="CE344" t="n">
        <v>2</v>
      </c>
      <c r="CF344" t="n">
        <v>2</v>
      </c>
      <c r="CH344" t="n">
        <v>3</v>
      </c>
      <c r="CI344" t="n">
        <v>1.066</v>
      </c>
      <c r="CJ344" t="n">
        <v>0.329</v>
      </c>
      <c r="CK344" t="n">
        <v>6</v>
      </c>
      <c r="CL344" t="n">
        <v>13</v>
      </c>
      <c r="CM344" t="n">
        <v>5</v>
      </c>
      <c r="CN344" t="n">
        <v>2</v>
      </c>
      <c r="CO344" t="n">
        <v>4</v>
      </c>
      <c r="CP344" t="n">
        <v>2</v>
      </c>
      <c r="CR344" t="n">
        <v>13</v>
      </c>
      <c r="CS344" t="n">
        <v>1</v>
      </c>
      <c r="CW344" t="n">
        <v>3.82</v>
      </c>
      <c r="CX344" t="n">
        <v>1.312</v>
      </c>
      <c r="CY344" t="n">
        <v>0</v>
      </c>
      <c r="DB344" t="n">
        <v>0</v>
      </c>
      <c r="DF344" t="n">
        <v>0</v>
      </c>
      <c r="DG344" t="n">
        <v>0</v>
      </c>
      <c r="DH344" t="n">
        <v>1</v>
      </c>
      <c r="DI344" t="n">
        <v>4</v>
      </c>
      <c r="DK344" t="n">
        <v>1</v>
      </c>
      <c r="DL344" t="n">
        <v>3</v>
      </c>
      <c r="DO344" t="n">
        <v>0</v>
      </c>
      <c r="EF344" t="n">
        <v>43.7</v>
      </c>
      <c r="EG344" t="n">
        <v>37.4</v>
      </c>
      <c r="EH344" t="n">
        <v>131</v>
      </c>
      <c r="EI344" t="n">
        <v>734</v>
      </c>
      <c r="EJ344" t="n">
        <v>922.5</v>
      </c>
      <c r="EK344" t="n">
        <v>408.8</v>
      </c>
      <c r="EL344" t="n">
        <v>21.8</v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n">
        <v>5</v>
      </c>
      <c r="F345" t="b">
        <v>1</v>
      </c>
      <c r="G345" t="b">
        <v>1</v>
      </c>
      <c r="H345" t="n">
        <v>33.5</v>
      </c>
      <c r="I345" t="inlineStr">
        <is>
          <t>a</t>
        </is>
      </c>
      <c r="K345" t="n">
        <v>100</v>
      </c>
      <c r="L345" t="inlineStr">
        <is>
          <t>p158983</t>
        </is>
      </c>
      <c r="M345" t="n">
        <v>374</v>
      </c>
      <c r="Q345" t="n">
        <v>170</v>
      </c>
      <c r="R345" t="n">
        <v>8</v>
      </c>
      <c r="S345" t="n">
        <v>1</v>
      </c>
      <c r="T345" t="n">
        <v>1.889</v>
      </c>
      <c r="U345" t="n">
        <v>21.2</v>
      </c>
      <c r="V345" t="n">
        <v>12</v>
      </c>
      <c r="W345" t="n">
        <v>6.353</v>
      </c>
      <c r="X345" t="n">
        <v>0</v>
      </c>
      <c r="Y345" t="n">
        <v>1</v>
      </c>
      <c r="Z345" t="n">
        <v>1</v>
      </c>
      <c r="AA345" t="n">
        <v>1</v>
      </c>
      <c r="AB345" t="n">
        <v>5</v>
      </c>
      <c r="AC345" t="n">
        <v>0</v>
      </c>
      <c r="AD345" t="n">
        <v>0</v>
      </c>
      <c r="AE345" t="n">
        <v>0</v>
      </c>
      <c r="AF345" t="n">
        <v>49</v>
      </c>
      <c r="AG345" t="n">
        <v>47</v>
      </c>
      <c r="AH345" t="n">
        <v>-2</v>
      </c>
      <c r="AI345" t="n">
        <v>12</v>
      </c>
      <c r="AJ345" t="n">
        <v>0</v>
      </c>
      <c r="AK345" t="n">
        <v>0</v>
      </c>
      <c r="AL345" t="n">
        <v>23</v>
      </c>
      <c r="AM345" t="n">
        <v>12.176</v>
      </c>
      <c r="AN345" t="n">
        <v>0</v>
      </c>
      <c r="AO345" t="n">
        <v>0</v>
      </c>
      <c r="AP345" t="n">
        <v>0</v>
      </c>
      <c r="AQ345" t="n">
        <v>1</v>
      </c>
      <c r="AR345" t="n">
        <v>0</v>
      </c>
      <c r="AS345" t="n">
        <v>0.026</v>
      </c>
      <c r="AT345" t="n">
        <v>0.125</v>
      </c>
      <c r="AU345" t="n">
        <v>6</v>
      </c>
      <c r="AV345" t="n">
        <v>0</v>
      </c>
      <c r="AW345" t="n">
        <v>0.84</v>
      </c>
      <c r="AX345" t="n">
        <v>4</v>
      </c>
      <c r="AY345" t="n">
        <v>0.04</v>
      </c>
      <c r="AZ345" t="n">
        <v>0.062</v>
      </c>
      <c r="BA345" t="n">
        <v>0.051</v>
      </c>
      <c r="BB345" t="n">
        <v>0.062</v>
      </c>
      <c r="BC345" t="n">
        <v>0.021</v>
      </c>
      <c r="BD345" t="n">
        <v>0.033</v>
      </c>
      <c r="BE345" t="n">
        <v>0.027</v>
      </c>
      <c r="BH345" t="n">
        <v>1.041</v>
      </c>
      <c r="BI345" t="n">
        <v>0.55</v>
      </c>
      <c r="BJ345" t="n">
        <v>0.042</v>
      </c>
      <c r="BK345" t="n">
        <v>0.022</v>
      </c>
      <c r="BL345" t="n">
        <v>-0.051</v>
      </c>
      <c r="BO345" t="n">
        <v>-0.022</v>
      </c>
      <c r="BP345" t="n">
        <v>1</v>
      </c>
      <c r="BS345" t="n">
        <v>2</v>
      </c>
      <c r="BT345" t="n">
        <v>1.059</v>
      </c>
      <c r="BW345" t="n">
        <v>0.05</v>
      </c>
      <c r="BX345" t="n">
        <v>0.139</v>
      </c>
      <c r="BY345" t="n">
        <v>0.094</v>
      </c>
      <c r="BZ345" t="n">
        <v>0.05</v>
      </c>
      <c r="CA345" t="n">
        <v>0.145</v>
      </c>
      <c r="CB345" t="n">
        <v>0.077</v>
      </c>
      <c r="CC345" t="n">
        <v>1</v>
      </c>
      <c r="CE345" t="n">
        <v>1</v>
      </c>
      <c r="CI345" t="n">
        <v>0.96</v>
      </c>
      <c r="CJ345" t="n">
        <v>0.759</v>
      </c>
      <c r="CK345" t="n">
        <v>13</v>
      </c>
      <c r="CL345" t="n">
        <v>3</v>
      </c>
      <c r="CM345" t="n">
        <v>7</v>
      </c>
      <c r="CN345" t="n">
        <v>3</v>
      </c>
      <c r="CP345" t="n">
        <v>13</v>
      </c>
      <c r="CR345" t="n">
        <v>18</v>
      </c>
      <c r="CS345" t="n">
        <v>8</v>
      </c>
      <c r="CW345" t="n">
        <v>4.11</v>
      </c>
      <c r="CX345" t="n">
        <v>2.176</v>
      </c>
      <c r="CY345" t="n">
        <v>0</v>
      </c>
      <c r="DB345" t="n">
        <v>0</v>
      </c>
      <c r="DF345" t="n">
        <v>1</v>
      </c>
      <c r="DG345" t="n">
        <v>0</v>
      </c>
      <c r="DH345" t="n">
        <v>2</v>
      </c>
      <c r="DI345" t="n">
        <v>3</v>
      </c>
      <c r="DM345" t="n">
        <v>1</v>
      </c>
      <c r="DO345" t="n">
        <v>0</v>
      </c>
      <c r="DP345" t="n">
        <v>6.15</v>
      </c>
      <c r="DQ345" t="n">
        <v>3.17</v>
      </c>
      <c r="DR345" t="n">
        <v>6.34</v>
      </c>
      <c r="DS345" t="n">
        <v>-0.19</v>
      </c>
      <c r="DT345" t="n">
        <v>76</v>
      </c>
      <c r="DU345" t="n">
        <v>2</v>
      </c>
      <c r="DV345" t="inlineStr">
        <is>
          <t>flat</t>
        </is>
      </c>
      <c r="EF345" t="n">
        <v>170</v>
      </c>
      <c r="EG345" t="n">
        <v>85</v>
      </c>
      <c r="EH345" t="n">
        <v>170</v>
      </c>
      <c r="EI345" t="n">
        <v>3334.6</v>
      </c>
      <c r="EJ345" t="n">
        <v>1799.8</v>
      </c>
      <c r="EK345" t="n">
        <v>1168.9</v>
      </c>
      <c r="EL345" t="n">
        <v>14.2</v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n">
        <v>5</v>
      </c>
      <c r="F346" t="b">
        <v>1</v>
      </c>
      <c r="G346" t="b">
        <v>1</v>
      </c>
      <c r="H346" t="n">
        <v>28.6</v>
      </c>
      <c r="I346" t="inlineStr">
        <is>
          <t>a</t>
        </is>
      </c>
      <c r="L346" t="inlineStr">
        <is>
          <t>p428580</t>
        </is>
      </c>
      <c r="M346" t="n">
        <v>104</v>
      </c>
      <c r="Q346" t="n">
        <v>88</v>
      </c>
      <c r="R346" t="n">
        <v>6</v>
      </c>
      <c r="S346" t="n">
        <v>0</v>
      </c>
      <c r="T346" t="n">
        <v>0.978</v>
      </c>
      <c r="U346" t="n">
        <v>14.7</v>
      </c>
      <c r="V346" t="n">
        <v>12</v>
      </c>
      <c r="W346" t="n">
        <v>12.273</v>
      </c>
      <c r="X346" t="n">
        <v>0</v>
      </c>
      <c r="Y346" t="n">
        <v>2</v>
      </c>
      <c r="Z346" t="n">
        <v>1</v>
      </c>
      <c r="AA346" t="n">
        <v>0</v>
      </c>
      <c r="AB346" t="n">
        <v>2</v>
      </c>
      <c r="AC346" t="n">
        <v>0</v>
      </c>
      <c r="AD346" t="n">
        <v>0</v>
      </c>
      <c r="AE346" t="n">
        <v>0</v>
      </c>
      <c r="AF346" t="n">
        <v>41</v>
      </c>
      <c r="AG346" t="n">
        <v>40</v>
      </c>
      <c r="AH346" t="n">
        <v>-1</v>
      </c>
      <c r="AI346" t="n">
        <v>12</v>
      </c>
      <c r="AJ346" t="n">
        <v>0</v>
      </c>
      <c r="AK346" t="n">
        <v>0</v>
      </c>
      <c r="AL346" t="n">
        <v>10</v>
      </c>
      <c r="AM346" t="n">
        <v>10.227</v>
      </c>
      <c r="AN346" t="n">
        <v>0</v>
      </c>
      <c r="AO346" t="n">
        <v>0</v>
      </c>
      <c r="AS346" t="n">
        <v>0</v>
      </c>
      <c r="AT346" t="n">
        <v>0</v>
      </c>
      <c r="AU346" t="n">
        <v>4</v>
      </c>
      <c r="AV346" t="n">
        <v>0</v>
      </c>
      <c r="AW346" t="n">
        <v>0.93</v>
      </c>
      <c r="AX346" t="n">
        <v>4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H346" t="n">
        <v>0.908</v>
      </c>
      <c r="BI346" t="n">
        <v>3.12</v>
      </c>
      <c r="BJ346" t="n">
        <v>0</v>
      </c>
      <c r="BK346" t="n">
        <v>0</v>
      </c>
      <c r="BL346" t="n">
        <v>0</v>
      </c>
      <c r="BO346" t="n">
        <v>0</v>
      </c>
      <c r="BS346" t="n">
        <v>2</v>
      </c>
      <c r="BT346" t="n">
        <v>2.045</v>
      </c>
      <c r="BW346" t="n">
        <v>0.36</v>
      </c>
      <c r="BX346" t="n">
        <v>0.371</v>
      </c>
      <c r="BY346" t="n">
        <v>0.365</v>
      </c>
      <c r="BZ346" t="n">
        <v>0.374</v>
      </c>
      <c r="CA346" t="n">
        <v>0.365</v>
      </c>
      <c r="CB346" t="n">
        <v>0.374</v>
      </c>
      <c r="CC346" t="n">
        <v>1</v>
      </c>
      <c r="CD346" t="n">
        <v>1</v>
      </c>
      <c r="CE346" t="n">
        <v>1</v>
      </c>
      <c r="CI346" t="n">
        <v>0.371</v>
      </c>
      <c r="CJ346" t="n">
        <v>0.371</v>
      </c>
      <c r="CK346" t="n">
        <v>3</v>
      </c>
      <c r="CL346" t="n">
        <v>5</v>
      </c>
      <c r="CM346" t="n">
        <v>2</v>
      </c>
      <c r="CP346" t="n">
        <v>3</v>
      </c>
      <c r="CR346" t="n">
        <v>8</v>
      </c>
      <c r="CS346" t="n">
        <v>1</v>
      </c>
      <c r="CW346" t="n">
        <v>2.02</v>
      </c>
      <c r="CX346" t="n">
        <v>2.066</v>
      </c>
      <c r="CY346" t="n">
        <v>0</v>
      </c>
      <c r="DB346" t="n">
        <v>0</v>
      </c>
      <c r="DF346" t="n">
        <v>0</v>
      </c>
      <c r="DG346" t="n">
        <v>0</v>
      </c>
      <c r="DH346" t="n">
        <v>3</v>
      </c>
      <c r="DI346" t="n">
        <v>3</v>
      </c>
      <c r="DL346" t="n">
        <v>2</v>
      </c>
      <c r="DO346" t="n">
        <v>0.2</v>
      </c>
      <c r="DP346" t="n">
        <v>21.91</v>
      </c>
      <c r="DQ346" t="n">
        <v>10.96</v>
      </c>
      <c r="DR346" t="n">
        <v>21.92</v>
      </c>
      <c r="DS346" t="n">
        <v>-0.01</v>
      </c>
      <c r="DT346" t="n">
        <v>480</v>
      </c>
      <c r="DU346" t="n">
        <v>12.63</v>
      </c>
      <c r="DV346" t="inlineStr">
        <is>
          <t>flat</t>
        </is>
      </c>
      <c r="EG346" t="n">
        <v>44</v>
      </c>
      <c r="EH346" t="n">
        <v>88</v>
      </c>
      <c r="EJ346" t="n">
        <v>240.9</v>
      </c>
      <c r="EK346" t="n">
        <v>240.9</v>
      </c>
      <c r="EL346" t="n">
        <v>7.3</v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n">
        <v>4.5</v>
      </c>
      <c r="F347" t="b">
        <v>1</v>
      </c>
      <c r="G347" t="b">
        <v>1</v>
      </c>
      <c r="H347" t="n">
        <v>28.4</v>
      </c>
      <c r="I347" t="inlineStr">
        <is>
          <t>u</t>
        </is>
      </c>
      <c r="J347" t="inlineStr">
        <is>
          <t>Has joined Celta Vigo on loan for the rest of the season</t>
        </is>
      </c>
      <c r="K347" t="n">
        <v>0</v>
      </c>
      <c r="L347" t="inlineStr">
        <is>
          <t>p451302</t>
        </is>
      </c>
      <c r="M347" t="n">
        <v>413</v>
      </c>
      <c r="Q347" t="n">
        <v>540</v>
      </c>
      <c r="R347" t="n">
        <v>6</v>
      </c>
      <c r="S347" t="n">
        <v>6</v>
      </c>
      <c r="T347" t="n">
        <v>6</v>
      </c>
      <c r="U347" t="n">
        <v>90</v>
      </c>
      <c r="V347" t="n">
        <v>11</v>
      </c>
      <c r="W347" t="n">
        <v>1.833</v>
      </c>
      <c r="X347" t="n">
        <v>0</v>
      </c>
      <c r="Y347" t="n">
        <v>0</v>
      </c>
      <c r="AA347" t="n">
        <v>0</v>
      </c>
      <c r="AB347" t="n">
        <v>11</v>
      </c>
      <c r="AC347" t="n">
        <v>0</v>
      </c>
      <c r="AD347" t="n">
        <v>0</v>
      </c>
      <c r="AE347" t="n">
        <v>0</v>
      </c>
      <c r="AF347" t="n">
        <v>49</v>
      </c>
      <c r="AG347" t="n">
        <v>48</v>
      </c>
      <c r="AH347" t="n">
        <v>-1</v>
      </c>
      <c r="AI347" t="n">
        <v>11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0.158</v>
      </c>
      <c r="AT347" t="n">
        <v>1</v>
      </c>
      <c r="AU347" t="n">
        <v>6</v>
      </c>
      <c r="AV347" t="n">
        <v>0</v>
      </c>
      <c r="AW347" t="n">
        <v>0.6899999999999999</v>
      </c>
      <c r="AX347" t="n">
        <v>2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H347" t="n">
        <v>1</v>
      </c>
      <c r="BI347" t="n">
        <v>0</v>
      </c>
      <c r="BJ347" t="n">
        <v>0</v>
      </c>
      <c r="BK347" t="n">
        <v>0</v>
      </c>
      <c r="BL347" t="n">
        <v>0</v>
      </c>
      <c r="BO347" t="n">
        <v>0</v>
      </c>
      <c r="BW347" t="n">
        <v>0.05</v>
      </c>
      <c r="BX347" t="n">
        <v>0.294</v>
      </c>
      <c r="BY347" t="n">
        <v>0.172</v>
      </c>
      <c r="BZ347" t="n">
        <v>0.029</v>
      </c>
      <c r="CA347" t="n">
        <v>0.172</v>
      </c>
      <c r="CB347" t="n">
        <v>0.029</v>
      </c>
      <c r="CC347" t="n">
        <v>1</v>
      </c>
      <c r="CD347" t="n">
        <v>1</v>
      </c>
      <c r="CE347" t="n">
        <v>1</v>
      </c>
      <c r="CI347" t="n">
        <v>1.049</v>
      </c>
      <c r="CJ347" t="n">
        <v>0.755</v>
      </c>
      <c r="CK347" t="n">
        <v>7</v>
      </c>
      <c r="CL347" t="n">
        <v>39</v>
      </c>
      <c r="CM347" t="n">
        <v>0</v>
      </c>
      <c r="CP347" t="n">
        <v>7</v>
      </c>
      <c r="CR347" t="n">
        <v>5</v>
      </c>
      <c r="CS347" t="n">
        <v>1</v>
      </c>
      <c r="CU347" t="n">
        <v>1</v>
      </c>
      <c r="CW347" t="n">
        <v>9.24</v>
      </c>
      <c r="CX347" t="n">
        <v>1.54</v>
      </c>
      <c r="CY347" t="n">
        <v>13</v>
      </c>
      <c r="DB347" t="n">
        <v>0</v>
      </c>
      <c r="DC347" t="n">
        <v>6</v>
      </c>
      <c r="DD347" t="n">
        <v>1</v>
      </c>
      <c r="DF347" t="n">
        <v>0</v>
      </c>
      <c r="DG347" t="n">
        <v>0</v>
      </c>
      <c r="DI347" t="n">
        <v>3</v>
      </c>
      <c r="DL347" t="n">
        <v>1</v>
      </c>
      <c r="DO347" t="n">
        <v>0.1</v>
      </c>
      <c r="DW347" t="n">
        <v>116.82</v>
      </c>
      <c r="DY347" t="n">
        <v>1.6</v>
      </c>
      <c r="DZ347" t="n">
        <v>114.46</v>
      </c>
      <c r="EA347" t="n">
        <v>118</v>
      </c>
      <c r="EB347" t="n">
        <v>4</v>
      </c>
      <c r="EC347" t="n">
        <v>1.9</v>
      </c>
      <c r="ED347" t="n">
        <v>20</v>
      </c>
      <c r="EE347" t="n">
        <v>449</v>
      </c>
      <c r="EH347" t="n">
        <v>540</v>
      </c>
      <c r="EJ347" t="n">
        <v>3140.3</v>
      </c>
      <c r="EK347" t="n">
        <v>3140.3</v>
      </c>
      <c r="EL347" t="n">
        <v>49.1</v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n">
        <v>5</v>
      </c>
      <c r="F348" t="b">
        <v>1</v>
      </c>
      <c r="G348" t="b">
        <v>1</v>
      </c>
      <c r="H348" t="n">
        <v>20.8</v>
      </c>
      <c r="I348" t="inlineStr">
        <is>
          <t>a</t>
        </is>
      </c>
      <c r="L348" t="inlineStr">
        <is>
          <t>p496208</t>
        </is>
      </c>
      <c r="M348" t="n">
        <v>72</v>
      </c>
      <c r="Q348" t="n">
        <v>105</v>
      </c>
      <c r="R348" t="n">
        <v>8</v>
      </c>
      <c r="S348" t="n">
        <v>0</v>
      </c>
      <c r="T348" t="n">
        <v>1.167</v>
      </c>
      <c r="U348" t="n">
        <v>13.1</v>
      </c>
      <c r="V348" t="n">
        <v>11</v>
      </c>
      <c r="W348" t="n">
        <v>9.429</v>
      </c>
      <c r="X348" t="n">
        <v>0</v>
      </c>
      <c r="Y348" t="n">
        <v>1</v>
      </c>
      <c r="Z348" t="n">
        <v>1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33</v>
      </c>
      <c r="AG348" t="n">
        <v>33</v>
      </c>
      <c r="AH348" t="n">
        <v>0</v>
      </c>
      <c r="AI348" t="n">
        <v>11</v>
      </c>
      <c r="AJ348" t="n">
        <v>0</v>
      </c>
      <c r="AK348" t="n">
        <v>0</v>
      </c>
      <c r="AL348" t="n">
        <v>13</v>
      </c>
      <c r="AM348" t="n">
        <v>11.143</v>
      </c>
      <c r="AN348" t="n">
        <v>0</v>
      </c>
      <c r="AO348" t="n">
        <v>0</v>
      </c>
      <c r="AS348" t="n">
        <v>0</v>
      </c>
      <c r="AT348" t="n">
        <v>0</v>
      </c>
      <c r="AU348" t="n">
        <v>7</v>
      </c>
      <c r="AV348" t="n">
        <v>0</v>
      </c>
      <c r="AW348" t="n">
        <v>0.73</v>
      </c>
      <c r="AX348" t="n">
        <v>4</v>
      </c>
      <c r="AY348" t="n">
        <v>0.26</v>
      </c>
      <c r="AZ348" t="n">
        <v>0.446</v>
      </c>
      <c r="BA348" t="n">
        <v>0.353</v>
      </c>
      <c r="BB348" t="n">
        <v>0.446</v>
      </c>
      <c r="BC348" t="n">
        <v>0.223</v>
      </c>
      <c r="BD348" t="n">
        <v>0.382</v>
      </c>
      <c r="BE348" t="n">
        <v>0.303</v>
      </c>
      <c r="BF348" t="n">
        <v>0.1</v>
      </c>
      <c r="BG348" t="n">
        <v>0.08599999999999999</v>
      </c>
      <c r="BH348" t="n">
        <v>0.981</v>
      </c>
      <c r="BI348" t="n">
        <v>0.26</v>
      </c>
      <c r="BJ348" t="n">
        <v>0.255</v>
      </c>
      <c r="BK348" t="n">
        <v>0.219</v>
      </c>
      <c r="BL348" t="n">
        <v>-0.353</v>
      </c>
      <c r="BM348" t="n">
        <v>-0.16</v>
      </c>
      <c r="BN348" t="n">
        <v>-0.1</v>
      </c>
      <c r="BO348" t="n">
        <v>-0.186</v>
      </c>
      <c r="BP348" t="n">
        <v>3</v>
      </c>
      <c r="BQ348" t="n">
        <v>1</v>
      </c>
      <c r="BR348" t="n">
        <v>1</v>
      </c>
      <c r="BS348" t="n">
        <v>10</v>
      </c>
      <c r="BT348" t="n">
        <v>8.571</v>
      </c>
      <c r="BW348" t="n">
        <v>0.13</v>
      </c>
      <c r="BX348" t="n">
        <v>0.457</v>
      </c>
      <c r="BY348" t="n">
        <v>0.294</v>
      </c>
      <c r="BZ348" t="n">
        <v>0.252</v>
      </c>
      <c r="CA348" t="n">
        <v>0.647</v>
      </c>
      <c r="CB348" t="n">
        <v>0.554</v>
      </c>
      <c r="CC348" t="n">
        <v>1</v>
      </c>
      <c r="CD348" t="n">
        <v>1</v>
      </c>
      <c r="CE348" t="n">
        <v>1</v>
      </c>
      <c r="CI348" t="n">
        <v>1.941</v>
      </c>
      <c r="CJ348" t="n">
        <v>1.038</v>
      </c>
      <c r="CK348" t="n">
        <v>1</v>
      </c>
      <c r="CL348" t="n">
        <v>6</v>
      </c>
      <c r="CM348" t="n">
        <v>6</v>
      </c>
      <c r="CN348" t="n">
        <v>2</v>
      </c>
      <c r="CO348" t="n">
        <v>1</v>
      </c>
      <c r="CR348" t="n">
        <v>10</v>
      </c>
      <c r="CS348" t="n">
        <v>1</v>
      </c>
      <c r="CW348" t="n">
        <v>4.74</v>
      </c>
      <c r="CX348" t="n">
        <v>4.063</v>
      </c>
      <c r="CY348" t="n">
        <v>0</v>
      </c>
      <c r="DB348" t="n">
        <v>0</v>
      </c>
      <c r="DF348" t="n">
        <v>0</v>
      </c>
      <c r="DG348" t="n">
        <v>0</v>
      </c>
      <c r="DH348" t="n">
        <v>3</v>
      </c>
      <c r="DI348" t="n">
        <v>1</v>
      </c>
      <c r="DL348" t="n">
        <v>2</v>
      </c>
      <c r="DO348" t="n">
        <v>0.1</v>
      </c>
      <c r="DP348" t="n">
        <v>17.28</v>
      </c>
      <c r="DQ348" t="n">
        <v>9.07</v>
      </c>
      <c r="DR348" t="n">
        <v>18.14</v>
      </c>
      <c r="DS348" t="n">
        <v>-0.86</v>
      </c>
      <c r="DT348" t="n">
        <v>160</v>
      </c>
      <c r="DU348" t="n">
        <v>4.2</v>
      </c>
      <c r="DV348" t="inlineStr">
        <is>
          <t>flat</t>
        </is>
      </c>
      <c r="EF348" t="n">
        <v>35</v>
      </c>
      <c r="EG348" t="n">
        <v>10.5</v>
      </c>
      <c r="EH348" t="n">
        <v>105</v>
      </c>
      <c r="EI348" t="n">
        <v>297.5</v>
      </c>
      <c r="EJ348" t="n">
        <v>357.7</v>
      </c>
      <c r="EK348" t="n">
        <v>162.4</v>
      </c>
      <c r="EL348" t="n">
        <v>9.5</v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n">
        <v>4.5</v>
      </c>
      <c r="F349" t="b">
        <v>1</v>
      </c>
      <c r="G349" t="b">
        <v>1</v>
      </c>
      <c r="H349" t="n">
        <v>30.5</v>
      </c>
      <c r="I349" t="inlineStr">
        <is>
          <t>a</t>
        </is>
      </c>
      <c r="L349" t="inlineStr">
        <is>
          <t>p221389</t>
        </is>
      </c>
      <c r="M349" t="n">
        <v>468</v>
      </c>
      <c r="Q349" t="n">
        <v>437</v>
      </c>
      <c r="R349" t="n">
        <v>5</v>
      </c>
      <c r="S349" t="n">
        <v>5</v>
      </c>
      <c r="T349" t="n">
        <v>4.856</v>
      </c>
      <c r="U349" t="n">
        <v>87.40000000000001</v>
      </c>
      <c r="V349" t="n">
        <v>11</v>
      </c>
      <c r="W349" t="n">
        <v>2.265</v>
      </c>
      <c r="X349" t="n">
        <v>0</v>
      </c>
      <c r="Y349" t="n">
        <v>0</v>
      </c>
      <c r="AA349" t="n">
        <v>1</v>
      </c>
      <c r="AB349" t="n">
        <v>8</v>
      </c>
      <c r="AC349" t="n">
        <v>0</v>
      </c>
      <c r="AD349" t="n">
        <v>0</v>
      </c>
      <c r="AE349" t="n">
        <v>0</v>
      </c>
      <c r="AF349" t="n">
        <v>32</v>
      </c>
      <c r="AG349" t="n">
        <v>31</v>
      </c>
      <c r="AH349" t="n">
        <v>-1</v>
      </c>
      <c r="AI349" t="n">
        <v>11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0.132</v>
      </c>
      <c r="AT349" t="n">
        <v>1</v>
      </c>
      <c r="AU349" t="n">
        <v>4</v>
      </c>
      <c r="AV349" t="n">
        <v>0</v>
      </c>
      <c r="AW349" t="n">
        <v>1.08</v>
      </c>
      <c r="AX349" t="n">
        <v>6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H349" t="n">
        <v>1</v>
      </c>
      <c r="BI349" t="n">
        <v>0</v>
      </c>
      <c r="BJ349" t="n">
        <v>0</v>
      </c>
      <c r="BK349" t="n">
        <v>0</v>
      </c>
      <c r="BL349" t="n">
        <v>0</v>
      </c>
      <c r="BO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I349" t="n">
        <v>0.848</v>
      </c>
      <c r="CJ349" t="n">
        <v>0.848</v>
      </c>
      <c r="CK349" t="n">
        <v>4</v>
      </c>
      <c r="CL349" t="n">
        <v>26</v>
      </c>
      <c r="CM349" t="n">
        <v>0</v>
      </c>
      <c r="CP349" t="n">
        <v>4</v>
      </c>
      <c r="CU349" t="n">
        <v>1</v>
      </c>
      <c r="CW349" t="n">
        <v>6.13</v>
      </c>
      <c r="CX349" t="n">
        <v>1.262</v>
      </c>
      <c r="CY349" t="n">
        <v>6</v>
      </c>
      <c r="DB349" t="n">
        <v>0</v>
      </c>
      <c r="DC349" t="n">
        <v>1</v>
      </c>
      <c r="DD349" t="n">
        <v>3</v>
      </c>
      <c r="DF349" t="n">
        <v>1</v>
      </c>
      <c r="DG349" t="n">
        <v>0</v>
      </c>
      <c r="DO349" t="n">
        <v>0.1</v>
      </c>
      <c r="DP349" t="n">
        <v>1.5</v>
      </c>
      <c r="DQ349" t="n">
        <v>0.75</v>
      </c>
      <c r="DR349" t="n">
        <v>1.5</v>
      </c>
      <c r="DS349" t="n">
        <v>0</v>
      </c>
      <c r="DT349" t="n">
        <v>35</v>
      </c>
      <c r="DU349" t="n">
        <v>0.91</v>
      </c>
      <c r="DV349" t="inlineStr">
        <is>
          <t>flat</t>
        </is>
      </c>
      <c r="DW349" t="n">
        <v>118.75</v>
      </c>
      <c r="DY349" t="n">
        <v>1.85</v>
      </c>
      <c r="DZ349" t="n">
        <v>116</v>
      </c>
      <c r="EA349" t="n">
        <v>120</v>
      </c>
      <c r="EB349" t="n">
        <v>4</v>
      </c>
      <c r="EC349" t="n">
        <v>1.9</v>
      </c>
      <c r="ED349" t="n">
        <v>20</v>
      </c>
      <c r="EE349" t="n">
        <v>450</v>
      </c>
      <c r="EL349" t="n">
        <v>39.7</v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n">
        <v>4.5</v>
      </c>
      <c r="F350" t="b">
        <v>1</v>
      </c>
      <c r="G350" t="b">
        <v>1</v>
      </c>
      <c r="H350" t="n">
        <v>23.3</v>
      </c>
      <c r="I350" t="inlineStr">
        <is>
          <t>a</t>
        </is>
      </c>
      <c r="L350" t="inlineStr">
        <is>
          <t>p470315</t>
        </is>
      </c>
      <c r="M350" t="n">
        <v>478</v>
      </c>
      <c r="Q350" t="n">
        <v>353</v>
      </c>
      <c r="R350" t="n">
        <v>7</v>
      </c>
      <c r="S350" t="n">
        <v>3</v>
      </c>
      <c r="T350" t="n">
        <v>3.922</v>
      </c>
      <c r="U350" t="n">
        <v>50.4</v>
      </c>
      <c r="V350" t="n">
        <v>11</v>
      </c>
      <c r="W350" t="n">
        <v>2.805</v>
      </c>
      <c r="X350" t="n">
        <v>0</v>
      </c>
      <c r="Y350" t="n">
        <v>0</v>
      </c>
      <c r="AA350" t="n">
        <v>0</v>
      </c>
      <c r="AB350" t="n">
        <v>5</v>
      </c>
      <c r="AC350" t="n">
        <v>0</v>
      </c>
      <c r="AD350" t="n">
        <v>0</v>
      </c>
      <c r="AE350" t="n">
        <v>0</v>
      </c>
      <c r="AF350" t="n">
        <v>33</v>
      </c>
      <c r="AG350" t="n">
        <v>30</v>
      </c>
      <c r="AH350" t="n">
        <v>-3</v>
      </c>
      <c r="AI350" t="n">
        <v>11</v>
      </c>
      <c r="AJ350" t="n">
        <v>0</v>
      </c>
      <c r="AK350" t="n">
        <v>0</v>
      </c>
      <c r="AL350" t="n">
        <v>27</v>
      </c>
      <c r="AM350" t="n">
        <v>6.884</v>
      </c>
      <c r="AN350" t="n">
        <v>1</v>
      </c>
      <c r="AO350" t="n">
        <v>2</v>
      </c>
      <c r="AP350" t="n">
        <v>0.333</v>
      </c>
      <c r="AQ350" t="n">
        <v>0.333</v>
      </c>
      <c r="AR350" t="n">
        <v>0</v>
      </c>
      <c r="AS350" t="n">
        <v>0.079</v>
      </c>
      <c r="AT350" t="n">
        <v>0.429</v>
      </c>
      <c r="AU350" t="n">
        <v>6</v>
      </c>
      <c r="AV350" t="n">
        <v>0</v>
      </c>
      <c r="AW350" t="n">
        <v>1.12</v>
      </c>
      <c r="AX350" t="n">
        <v>4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H350" t="n">
        <v>1</v>
      </c>
      <c r="BI350" t="n">
        <v>0</v>
      </c>
      <c r="BJ350" t="n">
        <v>0</v>
      </c>
      <c r="BK350" t="n">
        <v>0</v>
      </c>
      <c r="BL350" t="n">
        <v>0</v>
      </c>
      <c r="BO350" t="n">
        <v>0</v>
      </c>
      <c r="BS350" t="n">
        <v>5</v>
      </c>
      <c r="BT350" t="n">
        <v>1.275</v>
      </c>
      <c r="BW350" t="n">
        <v>0.41</v>
      </c>
      <c r="BX350" t="n">
        <v>0.098</v>
      </c>
      <c r="BY350" t="n">
        <v>0.254</v>
      </c>
      <c r="BZ350" t="n">
        <v>0.065</v>
      </c>
      <c r="CA350" t="n">
        <v>0.254</v>
      </c>
      <c r="CB350" t="n">
        <v>0.065</v>
      </c>
      <c r="CC350" t="n">
        <v>2</v>
      </c>
      <c r="CE350" t="n">
        <v>2</v>
      </c>
      <c r="CI350" t="n">
        <v>3.101</v>
      </c>
      <c r="CJ350" t="n">
        <v>3.084</v>
      </c>
      <c r="CK350" t="n">
        <v>15</v>
      </c>
      <c r="CL350" t="n">
        <v>15</v>
      </c>
      <c r="CM350" t="n">
        <v>12</v>
      </c>
      <c r="CN350" t="n">
        <v>7</v>
      </c>
      <c r="CO350" t="n">
        <v>3</v>
      </c>
      <c r="CP350" t="n">
        <v>9</v>
      </c>
      <c r="CQ350" t="n">
        <v>3</v>
      </c>
      <c r="CR350" t="n">
        <v>18</v>
      </c>
      <c r="CS350" t="n">
        <v>2</v>
      </c>
      <c r="CW350" t="n">
        <v>7.87</v>
      </c>
      <c r="CX350" t="n">
        <v>2.007</v>
      </c>
      <c r="CY350" t="n">
        <v>0</v>
      </c>
      <c r="DB350" t="n">
        <v>0</v>
      </c>
      <c r="DF350" t="n">
        <v>0</v>
      </c>
      <c r="DG350" t="n">
        <v>0</v>
      </c>
      <c r="DH350" t="n">
        <v>5</v>
      </c>
      <c r="DI350" t="n">
        <v>2</v>
      </c>
      <c r="DL350" t="n">
        <v>2</v>
      </c>
      <c r="DO350" t="n">
        <v>0</v>
      </c>
      <c r="DP350" t="n">
        <v>16.43</v>
      </c>
      <c r="DQ350" t="n">
        <v>8.23</v>
      </c>
      <c r="DR350" t="n">
        <v>16.46</v>
      </c>
      <c r="DS350" t="n">
        <v>-0.03</v>
      </c>
      <c r="DT350" t="n">
        <v>115</v>
      </c>
      <c r="DU350" t="n">
        <v>3.02</v>
      </c>
      <c r="DV350" t="inlineStr">
        <is>
          <t>flat</t>
        </is>
      </c>
      <c r="EG350" t="n">
        <v>70.59999999999999</v>
      </c>
      <c r="EH350" t="n">
        <v>176.5</v>
      </c>
      <c r="EJ350" t="n">
        <v>1389.6</v>
      </c>
      <c r="EK350" t="n">
        <v>1389.6</v>
      </c>
      <c r="EL350" t="n">
        <v>32.1</v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n">
        <v>4</v>
      </c>
      <c r="F351" t="b">
        <v>1</v>
      </c>
      <c r="G351" t="b">
        <v>1</v>
      </c>
      <c r="H351" t="n">
        <v>33.3</v>
      </c>
      <c r="I351" t="inlineStr">
        <is>
          <t>a</t>
        </is>
      </c>
      <c r="L351" t="inlineStr">
        <is>
          <t>p115556</t>
        </is>
      </c>
      <c r="M351" t="n">
        <v>508</v>
      </c>
      <c r="Q351" t="n">
        <v>136</v>
      </c>
      <c r="R351" t="n">
        <v>3</v>
      </c>
      <c r="S351" t="n">
        <v>2</v>
      </c>
      <c r="T351" t="n">
        <v>1.511</v>
      </c>
      <c r="U351" t="n">
        <v>45.3</v>
      </c>
      <c r="V351" t="n">
        <v>10</v>
      </c>
      <c r="W351" t="n">
        <v>6.618</v>
      </c>
      <c r="X351" t="n">
        <v>1</v>
      </c>
      <c r="Y351" t="n">
        <v>0</v>
      </c>
      <c r="AA351" t="n">
        <v>0</v>
      </c>
      <c r="AB351" t="n">
        <v>3</v>
      </c>
      <c r="AC351" t="n">
        <v>1</v>
      </c>
      <c r="AD351" t="n">
        <v>1</v>
      </c>
      <c r="AE351" t="n">
        <v>0</v>
      </c>
      <c r="AF351" t="n">
        <v>29</v>
      </c>
      <c r="AG351" t="n">
        <v>27</v>
      </c>
      <c r="AH351" t="n">
        <v>-2</v>
      </c>
      <c r="AI351" t="n">
        <v>10</v>
      </c>
      <c r="AJ351" t="n">
        <v>0.1</v>
      </c>
      <c r="AK351" t="n">
        <v>0.111</v>
      </c>
      <c r="AL351" t="n">
        <v>14</v>
      </c>
      <c r="AM351" t="n">
        <v>9.265000000000001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0.053</v>
      </c>
      <c r="AT351" t="n">
        <v>0.333</v>
      </c>
      <c r="AU351" t="n">
        <v>2</v>
      </c>
      <c r="AV351" t="n">
        <v>0</v>
      </c>
      <c r="AW351" t="n">
        <v>1.46</v>
      </c>
      <c r="AX351" t="n">
        <v>9</v>
      </c>
      <c r="AY351" t="n">
        <v>0.49</v>
      </c>
      <c r="AZ351" t="n">
        <v>0.798</v>
      </c>
      <c r="BA351" t="n">
        <v>0.644</v>
      </c>
      <c r="BB351" t="n">
        <v>0.798</v>
      </c>
      <c r="BC351" t="n">
        <v>0.324</v>
      </c>
      <c r="BD351" t="n">
        <v>0.528</v>
      </c>
      <c r="BE351" t="n">
        <v>0.426</v>
      </c>
      <c r="BF351" t="n">
        <v>1</v>
      </c>
      <c r="BG351" t="n">
        <v>0.662</v>
      </c>
      <c r="BH351" t="n">
        <v>0.9409999999999999</v>
      </c>
      <c r="BI351" t="n">
        <v>4.11</v>
      </c>
      <c r="BJ351" t="n">
        <v>0.461</v>
      </c>
      <c r="BK351" t="n">
        <v>0.305</v>
      </c>
      <c r="BL351" t="n">
        <v>0.356</v>
      </c>
      <c r="BM351" t="n">
        <v>0.51</v>
      </c>
      <c r="BN351" t="n">
        <v>0</v>
      </c>
      <c r="BO351" t="n">
        <v>-0.308</v>
      </c>
      <c r="BP351" t="n">
        <v>2</v>
      </c>
      <c r="BQ351" t="n">
        <v>2</v>
      </c>
      <c r="BS351" t="n">
        <v>3</v>
      </c>
      <c r="BT351" t="n">
        <v>1.985</v>
      </c>
      <c r="BW351" t="n">
        <v>0.07000000000000001</v>
      </c>
      <c r="BX351" t="n">
        <v>0.025</v>
      </c>
      <c r="BY351" t="n">
        <v>0.047</v>
      </c>
      <c r="BZ351" t="n">
        <v>0.031</v>
      </c>
      <c r="CA351" t="n">
        <v>0.6909999999999999</v>
      </c>
      <c r="CB351" t="n">
        <v>0.458</v>
      </c>
      <c r="CC351" t="n">
        <v>1</v>
      </c>
      <c r="CE351" t="n">
        <v>1</v>
      </c>
      <c r="CF351" t="n">
        <v>2</v>
      </c>
      <c r="CI351" t="n">
        <v>0.025</v>
      </c>
      <c r="CJ351" t="n">
        <v>0.025</v>
      </c>
      <c r="CK351" t="n">
        <v>9</v>
      </c>
      <c r="CL351" t="n">
        <v>5</v>
      </c>
      <c r="CM351" t="n">
        <v>5</v>
      </c>
      <c r="CN351" t="n">
        <v>4</v>
      </c>
      <c r="CO351" t="n">
        <v>1</v>
      </c>
      <c r="CP351" t="n">
        <v>8</v>
      </c>
      <c r="CQ351" t="n">
        <v>1</v>
      </c>
      <c r="CR351" t="n">
        <v>9</v>
      </c>
      <c r="CS351" t="n">
        <v>4</v>
      </c>
      <c r="CW351" t="n">
        <v>1.11</v>
      </c>
      <c r="CX351" t="n">
        <v>0.735</v>
      </c>
      <c r="CY351" t="n">
        <v>0</v>
      </c>
      <c r="DB351" t="n">
        <v>0</v>
      </c>
      <c r="DF351" t="n">
        <v>1</v>
      </c>
      <c r="DG351" t="n">
        <v>0</v>
      </c>
      <c r="DH351" t="n">
        <v>2</v>
      </c>
      <c r="DI351" t="n">
        <v>0</v>
      </c>
      <c r="DM351" t="n">
        <v>1</v>
      </c>
      <c r="DO351" t="n">
        <v>0.9</v>
      </c>
      <c r="DP351" t="n">
        <v>6.08</v>
      </c>
      <c r="DQ351" t="n">
        <v>3.05</v>
      </c>
      <c r="DR351" t="n">
        <v>6.1</v>
      </c>
      <c r="DS351" t="n">
        <v>-0.02</v>
      </c>
      <c r="DT351" t="n">
        <v>108</v>
      </c>
      <c r="DU351" t="n">
        <v>2.84</v>
      </c>
      <c r="DV351" t="inlineStr">
        <is>
          <t>flat</t>
        </is>
      </c>
      <c r="EF351" t="n">
        <v>68</v>
      </c>
      <c r="EG351" t="n">
        <v>45.3</v>
      </c>
      <c r="EH351" t="n">
        <v>136</v>
      </c>
      <c r="EI351" t="n">
        <v>211.1</v>
      </c>
      <c r="EJ351" t="n">
        <v>2871.1</v>
      </c>
      <c r="EK351" t="n">
        <v>196.7</v>
      </c>
      <c r="EL351" t="n">
        <v>13.6</v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n">
        <v>4.5</v>
      </c>
      <c r="F352" t="b">
        <v>1</v>
      </c>
      <c r="G352" t="b">
        <v>1</v>
      </c>
      <c r="I352" t="inlineStr">
        <is>
          <t>a</t>
        </is>
      </c>
      <c r="L352" t="inlineStr">
        <is>
          <t>p550090</t>
        </is>
      </c>
      <c r="M352" t="n">
        <v>117</v>
      </c>
      <c r="Q352" t="n">
        <v>193</v>
      </c>
      <c r="R352" t="n">
        <v>5</v>
      </c>
      <c r="S352" t="n">
        <v>2</v>
      </c>
      <c r="T352" t="n">
        <v>2.144</v>
      </c>
      <c r="U352" t="n">
        <v>38.6</v>
      </c>
      <c r="V352" t="n">
        <v>10</v>
      </c>
      <c r="W352" t="n">
        <v>4.663</v>
      </c>
      <c r="X352" t="n">
        <v>0</v>
      </c>
      <c r="Y352" t="n">
        <v>0</v>
      </c>
      <c r="AA352" t="n">
        <v>1</v>
      </c>
      <c r="AB352" t="n">
        <v>3</v>
      </c>
      <c r="AC352" t="n">
        <v>0</v>
      </c>
      <c r="AD352" t="n">
        <v>0</v>
      </c>
      <c r="AE352" t="n">
        <v>0</v>
      </c>
      <c r="AF352" t="n">
        <v>32</v>
      </c>
      <c r="AG352" t="n">
        <v>29</v>
      </c>
      <c r="AH352" t="n">
        <v>-3</v>
      </c>
      <c r="AI352" t="n">
        <v>10</v>
      </c>
      <c r="AJ352" t="n">
        <v>0</v>
      </c>
      <c r="AK352" t="n">
        <v>0</v>
      </c>
      <c r="AL352" t="n">
        <v>18</v>
      </c>
      <c r="AM352" t="n">
        <v>8.394</v>
      </c>
      <c r="AN352" t="n">
        <v>1</v>
      </c>
      <c r="AO352" t="n">
        <v>2</v>
      </c>
      <c r="AP352" t="n">
        <v>0.5</v>
      </c>
      <c r="AQ352" t="n">
        <v>0.5</v>
      </c>
      <c r="AR352" t="n">
        <v>0</v>
      </c>
      <c r="AS352" t="n">
        <v>0.053</v>
      </c>
      <c r="AT352" t="n">
        <v>0.4</v>
      </c>
      <c r="AU352" t="n">
        <v>4</v>
      </c>
      <c r="AV352" t="n">
        <v>0</v>
      </c>
      <c r="AW352" t="n">
        <v>1.16</v>
      </c>
      <c r="AX352" t="n">
        <v>7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H352" t="n">
        <v>1</v>
      </c>
      <c r="BI352" t="n">
        <v>0</v>
      </c>
      <c r="BJ352" t="n">
        <v>0</v>
      </c>
      <c r="BK352" t="n">
        <v>0</v>
      </c>
      <c r="BL352" t="n">
        <v>0</v>
      </c>
      <c r="BO352" t="n">
        <v>0</v>
      </c>
      <c r="BS352" t="n">
        <v>1</v>
      </c>
      <c r="BT352" t="n">
        <v>0.466</v>
      </c>
      <c r="BW352" t="n">
        <v>0.01</v>
      </c>
      <c r="BX352" t="n">
        <v>0</v>
      </c>
      <c r="BY352" t="n">
        <v>0.005</v>
      </c>
      <c r="BZ352" t="n">
        <v>0.002</v>
      </c>
      <c r="CA352" t="n">
        <v>0.005</v>
      </c>
      <c r="CB352" t="n">
        <v>0.002</v>
      </c>
      <c r="CC352" t="n">
        <v>0</v>
      </c>
      <c r="CI352" t="n">
        <v>0.486</v>
      </c>
      <c r="CJ352" t="n">
        <v>0.486</v>
      </c>
      <c r="CK352" t="n">
        <v>16</v>
      </c>
      <c r="CL352" t="n">
        <v>6</v>
      </c>
      <c r="CM352" t="n">
        <v>2</v>
      </c>
      <c r="CN352" t="n">
        <v>2</v>
      </c>
      <c r="CO352" t="n">
        <v>1</v>
      </c>
      <c r="CP352" t="n">
        <v>13</v>
      </c>
      <c r="CQ352" t="n">
        <v>2</v>
      </c>
      <c r="CR352" t="n">
        <v>13</v>
      </c>
      <c r="CS352" t="n">
        <v>10</v>
      </c>
      <c r="CW352" t="n">
        <v>4.52</v>
      </c>
      <c r="CX352" t="n">
        <v>2.108</v>
      </c>
      <c r="CY352" t="n">
        <v>0</v>
      </c>
      <c r="DB352" t="n">
        <v>0</v>
      </c>
      <c r="DF352" t="n">
        <v>2</v>
      </c>
      <c r="DG352" t="n">
        <v>0</v>
      </c>
      <c r="DH352" t="n">
        <v>4</v>
      </c>
      <c r="DL352" t="n">
        <v>1</v>
      </c>
      <c r="DO352" t="n">
        <v>0</v>
      </c>
      <c r="DP352" t="n">
        <v>2.96</v>
      </c>
      <c r="DQ352" t="n">
        <v>1.52</v>
      </c>
      <c r="DR352" t="n">
        <v>3.04</v>
      </c>
      <c r="DS352" t="n">
        <v>-0.08</v>
      </c>
      <c r="DT352" t="n">
        <v>3</v>
      </c>
      <c r="DU352" t="n">
        <v>0.08</v>
      </c>
      <c r="DV352" t="inlineStr">
        <is>
          <t>flat</t>
        </is>
      </c>
      <c r="EG352" t="n">
        <v>193</v>
      </c>
      <c r="EJ352" t="n">
        <v>38600</v>
      </c>
      <c r="EK352" t="n">
        <v>38600</v>
      </c>
      <c r="EL352" t="n">
        <v>19.3</v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n">
        <v>5.5</v>
      </c>
      <c r="F353" t="b">
        <v>1</v>
      </c>
      <c r="G353" t="b">
        <v>1</v>
      </c>
      <c r="H353" t="n">
        <v>32.3</v>
      </c>
      <c r="I353" t="inlineStr">
        <is>
          <t>a</t>
        </is>
      </c>
      <c r="L353" t="inlineStr">
        <is>
          <t>p91651</t>
        </is>
      </c>
      <c r="M353" t="n">
        <v>406</v>
      </c>
      <c r="Q353" t="n">
        <v>125</v>
      </c>
      <c r="R353" t="n">
        <v>6</v>
      </c>
      <c r="S353" t="n">
        <v>1</v>
      </c>
      <c r="T353" t="n">
        <v>1.389</v>
      </c>
      <c r="U353" t="n">
        <v>20.8</v>
      </c>
      <c r="V353" t="n">
        <v>9</v>
      </c>
      <c r="W353" t="n">
        <v>6.48</v>
      </c>
      <c r="X353" t="n">
        <v>0</v>
      </c>
      <c r="Y353" t="n">
        <v>1</v>
      </c>
      <c r="Z353" t="n">
        <v>1</v>
      </c>
      <c r="AA353" t="n">
        <v>0</v>
      </c>
      <c r="AB353" t="n">
        <v>3</v>
      </c>
      <c r="AC353" t="n">
        <v>0</v>
      </c>
      <c r="AD353" t="n">
        <v>0</v>
      </c>
      <c r="AE353" t="n">
        <v>0</v>
      </c>
      <c r="AF353" t="n">
        <v>41</v>
      </c>
      <c r="AG353" t="n">
        <v>39</v>
      </c>
      <c r="AH353" t="n">
        <v>-2</v>
      </c>
      <c r="AI353" t="n">
        <v>9</v>
      </c>
      <c r="AJ353" t="n">
        <v>0</v>
      </c>
      <c r="AK353" t="n">
        <v>0</v>
      </c>
      <c r="AL353" t="n">
        <v>18</v>
      </c>
      <c r="AM353" t="n">
        <v>12.96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0.026</v>
      </c>
      <c r="AT353" t="n">
        <v>0</v>
      </c>
      <c r="AU353" t="n">
        <v>5</v>
      </c>
      <c r="AV353" t="n">
        <v>0</v>
      </c>
      <c r="AW353" t="n">
        <v>0.71</v>
      </c>
      <c r="AX353" t="n">
        <v>4</v>
      </c>
      <c r="AY353" t="n">
        <v>0.13</v>
      </c>
      <c r="AZ353" t="n">
        <v>0.092</v>
      </c>
      <c r="BA353" t="n">
        <v>0.111</v>
      </c>
      <c r="BB353" t="n">
        <v>0.092</v>
      </c>
      <c r="BC353" t="n">
        <v>0.094</v>
      </c>
      <c r="BD353" t="n">
        <v>0.066</v>
      </c>
      <c r="BE353" t="n">
        <v>0.08</v>
      </c>
      <c r="BH353" t="n">
        <v>0.88</v>
      </c>
      <c r="BI353" t="n">
        <v>5.07</v>
      </c>
      <c r="BJ353" t="n">
        <v>0.114</v>
      </c>
      <c r="BK353" t="n">
        <v>0.082</v>
      </c>
      <c r="BL353" t="n">
        <v>-0.111</v>
      </c>
      <c r="BO353" t="n">
        <v>0.038</v>
      </c>
      <c r="BP353" t="n">
        <v>2</v>
      </c>
      <c r="BW353" t="n">
        <v>0.42</v>
      </c>
      <c r="BX353" t="n">
        <v>0.427</v>
      </c>
      <c r="BY353" t="n">
        <v>0.424</v>
      </c>
      <c r="BZ353" t="n">
        <v>0.305</v>
      </c>
      <c r="CA353" t="n">
        <v>0.535</v>
      </c>
      <c r="CB353" t="n">
        <v>0.385</v>
      </c>
      <c r="CC353" t="n">
        <v>4</v>
      </c>
      <c r="CD353" t="n">
        <v>1</v>
      </c>
      <c r="CE353" t="n">
        <v>4</v>
      </c>
      <c r="CG353" t="n">
        <v>1</v>
      </c>
      <c r="CI353" t="n">
        <v>1.729</v>
      </c>
      <c r="CJ353" t="n">
        <v>1.26</v>
      </c>
      <c r="CK353" t="n">
        <v>6</v>
      </c>
      <c r="CL353" t="n">
        <v>10</v>
      </c>
      <c r="CM353" t="n">
        <v>2</v>
      </c>
      <c r="CN353" t="n">
        <v>1</v>
      </c>
      <c r="CO353" t="n">
        <v>2</v>
      </c>
      <c r="CP353" t="n">
        <v>4</v>
      </c>
      <c r="CR353" t="n">
        <v>6</v>
      </c>
      <c r="CW353" t="n">
        <v>4</v>
      </c>
      <c r="CX353" t="n">
        <v>2.88</v>
      </c>
      <c r="CY353" t="n">
        <v>0</v>
      </c>
      <c r="DB353" t="n">
        <v>0</v>
      </c>
      <c r="DF353" t="n">
        <v>0</v>
      </c>
      <c r="DG353" t="n">
        <v>0</v>
      </c>
      <c r="DI353" t="n">
        <v>2</v>
      </c>
      <c r="DL353" t="n">
        <v>2</v>
      </c>
      <c r="DM353" t="n">
        <v>5</v>
      </c>
      <c r="DO353" t="n">
        <v>0</v>
      </c>
      <c r="DP353" t="n">
        <v>17.64</v>
      </c>
      <c r="DQ353" t="n">
        <v>10.59</v>
      </c>
      <c r="DR353" t="n">
        <v>21.18</v>
      </c>
      <c r="DS353" t="n">
        <v>-3.54</v>
      </c>
      <c r="DT353" t="n">
        <v>206</v>
      </c>
      <c r="DU353" t="n">
        <v>5.42</v>
      </c>
      <c r="DV353" t="inlineStr">
        <is>
          <t>flat</t>
        </is>
      </c>
      <c r="DW353" t="n">
        <v>101</v>
      </c>
      <c r="DZ353" t="n">
        <v>101</v>
      </c>
      <c r="EA353" t="n">
        <v>101</v>
      </c>
      <c r="EB353" t="n">
        <v>1</v>
      </c>
      <c r="EC353" t="n">
        <v>0.5</v>
      </c>
      <c r="ED353" t="n">
        <v>0</v>
      </c>
      <c r="EE353" t="n">
        <v>196</v>
      </c>
      <c r="EF353" t="n">
        <v>62.5</v>
      </c>
      <c r="EH353" t="n">
        <v>31.2</v>
      </c>
      <c r="EI353" t="n">
        <v>1125.3</v>
      </c>
      <c r="EJ353" t="n">
        <v>295</v>
      </c>
      <c r="EK353" t="n">
        <v>233.7</v>
      </c>
      <c r="EL353" t="n">
        <v>13.9</v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n">
        <v>5.5</v>
      </c>
      <c r="F354" t="b">
        <v>1</v>
      </c>
      <c r="G354" t="b">
        <v>1</v>
      </c>
      <c r="H354" t="n">
        <v>24.6</v>
      </c>
      <c r="I354" t="inlineStr">
        <is>
          <t>a</t>
        </is>
      </c>
      <c r="L354" t="inlineStr">
        <is>
          <t>p465680</t>
        </is>
      </c>
      <c r="M354" t="n">
        <v>493</v>
      </c>
      <c r="Q354" t="n">
        <v>89</v>
      </c>
      <c r="R354" t="n">
        <v>9</v>
      </c>
      <c r="S354" t="n">
        <v>0</v>
      </c>
      <c r="T354" t="n">
        <v>0.989</v>
      </c>
      <c r="U354" t="n">
        <v>9.9</v>
      </c>
      <c r="V354" t="n">
        <v>9</v>
      </c>
      <c r="W354" t="n">
        <v>9.101000000000001</v>
      </c>
      <c r="X354" t="n">
        <v>0</v>
      </c>
      <c r="Y354" t="n">
        <v>0</v>
      </c>
      <c r="AA354" t="n">
        <v>0</v>
      </c>
      <c r="AB354" t="n">
        <v>3</v>
      </c>
      <c r="AC354" t="n">
        <v>0</v>
      </c>
      <c r="AD354" t="n">
        <v>0</v>
      </c>
      <c r="AE354" t="n">
        <v>0</v>
      </c>
      <c r="AF354" t="n">
        <v>24</v>
      </c>
      <c r="AG354" t="n">
        <v>24</v>
      </c>
      <c r="AH354" t="n">
        <v>0</v>
      </c>
      <c r="AI354" t="n">
        <v>9</v>
      </c>
      <c r="AJ354" t="n">
        <v>0</v>
      </c>
      <c r="AK354" t="n">
        <v>0</v>
      </c>
      <c r="AL354" t="n">
        <v>6</v>
      </c>
      <c r="AM354" t="n">
        <v>6.067</v>
      </c>
      <c r="AN354" t="n">
        <v>0</v>
      </c>
      <c r="AO354" t="n">
        <v>0</v>
      </c>
      <c r="AS354" t="n">
        <v>0</v>
      </c>
      <c r="AT354" t="n">
        <v>0</v>
      </c>
      <c r="AU354" t="n">
        <v>9</v>
      </c>
      <c r="AV354" t="n">
        <v>0</v>
      </c>
      <c r="AW354" t="n">
        <v>0.43</v>
      </c>
      <c r="AX354" t="n">
        <v>1</v>
      </c>
      <c r="AY354" t="n">
        <v>0.44</v>
      </c>
      <c r="AZ354" t="n">
        <v>0.251</v>
      </c>
      <c r="BA354" t="n">
        <v>0.346</v>
      </c>
      <c r="BB354" t="n">
        <v>0.251</v>
      </c>
      <c r="BC354" t="n">
        <v>0.445</v>
      </c>
      <c r="BD354" t="n">
        <v>0.254</v>
      </c>
      <c r="BE354" t="n">
        <v>0.349</v>
      </c>
      <c r="BF354" t="n">
        <v>0.1</v>
      </c>
      <c r="BG354" t="n">
        <v>0.101</v>
      </c>
      <c r="BH354" t="n">
        <v>0.96</v>
      </c>
      <c r="BI354" t="n">
        <v>0.44</v>
      </c>
      <c r="BJ354" t="n">
        <v>0.422</v>
      </c>
      <c r="BK354" t="n">
        <v>0.427</v>
      </c>
      <c r="BL354" t="n">
        <v>-0.346</v>
      </c>
      <c r="BM354" t="n">
        <v>-0.34</v>
      </c>
      <c r="BN354" t="n">
        <v>-0.1</v>
      </c>
      <c r="BO354" t="n">
        <v>0.189</v>
      </c>
      <c r="BP354" t="n">
        <v>4</v>
      </c>
      <c r="BQ354" t="n">
        <v>1</v>
      </c>
      <c r="BR354" t="n">
        <v>1</v>
      </c>
      <c r="BS354" t="n">
        <v>8</v>
      </c>
      <c r="BT354" t="n">
        <v>8.09</v>
      </c>
      <c r="BW354" t="n">
        <v>0.02</v>
      </c>
      <c r="BX354" t="n">
        <v>0.011</v>
      </c>
      <c r="BY354" t="n">
        <v>0.016</v>
      </c>
      <c r="BZ354" t="n">
        <v>0.016</v>
      </c>
      <c r="CA354" t="n">
        <v>0.361</v>
      </c>
      <c r="CB354" t="n">
        <v>0.365</v>
      </c>
      <c r="CC354" t="n">
        <v>1</v>
      </c>
      <c r="CE354" t="n">
        <v>1</v>
      </c>
      <c r="CI354" t="n">
        <v>0.313</v>
      </c>
      <c r="CJ354" t="n">
        <v>0.062</v>
      </c>
      <c r="CK354" t="n">
        <v>1</v>
      </c>
      <c r="CL354" t="n">
        <v>4</v>
      </c>
      <c r="CM354" t="n">
        <v>1</v>
      </c>
      <c r="CN354" t="n">
        <v>1</v>
      </c>
      <c r="CP354" t="n">
        <v>1</v>
      </c>
      <c r="CR354" t="n">
        <v>5</v>
      </c>
      <c r="CS354" t="n">
        <v>4</v>
      </c>
      <c r="CW354" t="n">
        <v>1.57</v>
      </c>
      <c r="CX354" t="n">
        <v>1.588</v>
      </c>
      <c r="CY354" t="n">
        <v>0</v>
      </c>
      <c r="DB354" t="n">
        <v>0</v>
      </c>
      <c r="DF354" t="n">
        <v>0</v>
      </c>
      <c r="DG354" t="n">
        <v>0</v>
      </c>
      <c r="DH354" t="n">
        <v>2</v>
      </c>
      <c r="DM354" t="n">
        <v>1</v>
      </c>
      <c r="DN354" t="n">
        <v>1</v>
      </c>
      <c r="DO354" t="n">
        <v>0.1</v>
      </c>
      <c r="DP354" t="n">
        <v>8.34</v>
      </c>
      <c r="DQ354" t="n">
        <v>4.17</v>
      </c>
      <c r="DR354" t="n">
        <v>8.34</v>
      </c>
      <c r="DS354" t="n">
        <v>0</v>
      </c>
      <c r="DT354" t="n">
        <v>38</v>
      </c>
      <c r="DU354" t="n">
        <v>1</v>
      </c>
      <c r="DV354" t="inlineStr">
        <is>
          <t>flat</t>
        </is>
      </c>
      <c r="DW354" t="n">
        <v>102.08</v>
      </c>
      <c r="DX354" t="n">
        <v>38</v>
      </c>
      <c r="DY354" t="n">
        <v>26.03</v>
      </c>
      <c r="DZ354" t="n">
        <v>38</v>
      </c>
      <c r="EA354" t="n">
        <v>115.08</v>
      </c>
      <c r="EB354" t="n">
        <v>8</v>
      </c>
      <c r="EC354" t="n">
        <v>3.8</v>
      </c>
      <c r="ED354" t="n">
        <v>11.1</v>
      </c>
      <c r="EE354" t="n">
        <v>197</v>
      </c>
      <c r="EF354" t="n">
        <v>22.2</v>
      </c>
      <c r="EG354" t="n">
        <v>11.1</v>
      </c>
      <c r="EH354" t="n">
        <v>89</v>
      </c>
      <c r="EI354" t="n">
        <v>257.6</v>
      </c>
      <c r="EJ354" t="n">
        <v>5678.1</v>
      </c>
      <c r="EK354" t="n">
        <v>246.4</v>
      </c>
      <c r="EL354" t="n">
        <v>9.9</v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n">
        <v>5</v>
      </c>
      <c r="F355" t="b">
        <v>1</v>
      </c>
      <c r="G355" t="b">
        <v>1</v>
      </c>
      <c r="H355" t="n">
        <v>24.3</v>
      </c>
      <c r="I355" t="inlineStr">
        <is>
          <t>u</t>
        </is>
      </c>
      <c r="J355" t="inlineStr">
        <is>
          <t>Has joined RC Strasbourg on loan for the rest of the season</t>
        </is>
      </c>
      <c r="K355" t="n">
        <v>0</v>
      </c>
      <c r="L355" t="inlineStr">
        <is>
          <t>p508479</t>
        </is>
      </c>
      <c r="M355" t="n">
        <v>141</v>
      </c>
      <c r="Q355" t="n">
        <v>378</v>
      </c>
      <c r="R355" t="n">
        <v>5</v>
      </c>
      <c r="S355" t="n">
        <v>3</v>
      </c>
      <c r="T355" t="n">
        <v>4.2</v>
      </c>
      <c r="U355" t="n">
        <v>75.59999999999999</v>
      </c>
      <c r="V355" t="n">
        <v>9</v>
      </c>
      <c r="W355" t="n">
        <v>2.143</v>
      </c>
      <c r="X355" t="n">
        <v>0</v>
      </c>
      <c r="Y355" t="n">
        <v>0</v>
      </c>
      <c r="AA355" t="n">
        <v>0</v>
      </c>
      <c r="AB355" t="n">
        <v>5</v>
      </c>
      <c r="AC355" t="n">
        <v>0</v>
      </c>
      <c r="AD355" t="n">
        <v>0</v>
      </c>
      <c r="AE355" t="n">
        <v>0</v>
      </c>
      <c r="AF355" t="n">
        <v>50</v>
      </c>
      <c r="AG355" t="n">
        <v>49</v>
      </c>
      <c r="AH355" t="n">
        <v>-1</v>
      </c>
      <c r="AI355" t="n">
        <v>9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0.079</v>
      </c>
      <c r="AT355" t="n">
        <v>0.8</v>
      </c>
      <c r="AU355" t="n">
        <v>4</v>
      </c>
      <c r="AV355" t="n">
        <v>0</v>
      </c>
      <c r="AW355" t="n">
        <v>0.68</v>
      </c>
      <c r="AX355" t="n">
        <v>3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H355" t="n">
        <v>1</v>
      </c>
      <c r="BI355" t="n">
        <v>0</v>
      </c>
      <c r="BJ355" t="n">
        <v>0</v>
      </c>
      <c r="BK355" t="n">
        <v>0</v>
      </c>
      <c r="BL355" t="n">
        <v>0</v>
      </c>
      <c r="BO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I355" t="n">
        <v>1.313</v>
      </c>
      <c r="CJ355" t="n">
        <v>1.313</v>
      </c>
      <c r="CK355" t="n">
        <v>3</v>
      </c>
      <c r="CL355" t="n">
        <v>34</v>
      </c>
      <c r="CM355" t="n">
        <v>0</v>
      </c>
      <c r="CO355" t="n">
        <v>1</v>
      </c>
      <c r="CP355" t="n">
        <v>2</v>
      </c>
      <c r="CR355" t="n">
        <v>3</v>
      </c>
      <c r="CS355" t="n">
        <v>2</v>
      </c>
      <c r="CW355" t="n">
        <v>4.12</v>
      </c>
      <c r="CX355" t="n">
        <v>0.981</v>
      </c>
      <c r="CY355" t="n">
        <v>8</v>
      </c>
      <c r="DB355" t="n">
        <v>0</v>
      </c>
      <c r="DC355" t="n">
        <v>4</v>
      </c>
      <c r="DD355" t="n">
        <v>1</v>
      </c>
      <c r="DF355" t="n">
        <v>0</v>
      </c>
      <c r="DG355" t="n">
        <v>0</v>
      </c>
      <c r="DL355" t="n">
        <v>1</v>
      </c>
      <c r="DM355" t="n">
        <v>1</v>
      </c>
      <c r="DO355" t="n">
        <v>0.1</v>
      </c>
      <c r="DW355" t="n">
        <v>114.8</v>
      </c>
      <c r="DY355" t="n">
        <v>7.04</v>
      </c>
      <c r="DZ355" t="n">
        <v>93</v>
      </c>
      <c r="EA355" t="n">
        <v>120</v>
      </c>
      <c r="EB355" t="n">
        <v>15</v>
      </c>
      <c r="EC355" t="n">
        <v>7.2</v>
      </c>
      <c r="ED355" t="n">
        <v>67.40000000000001</v>
      </c>
      <c r="EE355" t="n">
        <v>318</v>
      </c>
      <c r="EL355" t="n">
        <v>42</v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n">
        <v>5</v>
      </c>
      <c r="F356" t="b">
        <v>1</v>
      </c>
      <c r="G356" t="b">
        <v>1</v>
      </c>
      <c r="H356" t="n">
        <v>23.5</v>
      </c>
      <c r="I356" t="inlineStr">
        <is>
          <t>a</t>
        </is>
      </c>
      <c r="L356" t="inlineStr">
        <is>
          <t>p460028</t>
        </is>
      </c>
      <c r="M356" t="n">
        <v>149</v>
      </c>
      <c r="Q356" t="n">
        <v>225</v>
      </c>
      <c r="R356" t="n">
        <v>3</v>
      </c>
      <c r="S356" t="n">
        <v>2</v>
      </c>
      <c r="T356" t="n">
        <v>2.5</v>
      </c>
      <c r="U356" t="n">
        <v>75</v>
      </c>
      <c r="V356" t="n">
        <v>8</v>
      </c>
      <c r="W356" t="n">
        <v>3.2</v>
      </c>
      <c r="X356" t="n">
        <v>0</v>
      </c>
      <c r="Y356" t="n">
        <v>0</v>
      </c>
      <c r="AA356" t="n">
        <v>0</v>
      </c>
      <c r="AB356" t="n">
        <v>4</v>
      </c>
      <c r="AC356" t="n">
        <v>0</v>
      </c>
      <c r="AD356" t="n">
        <v>0</v>
      </c>
      <c r="AE356" t="n">
        <v>0</v>
      </c>
      <c r="AF356" t="n">
        <v>30</v>
      </c>
      <c r="AG356" t="n">
        <v>26</v>
      </c>
      <c r="AH356" t="n">
        <v>-4</v>
      </c>
      <c r="AI356" t="n">
        <v>8</v>
      </c>
      <c r="AJ356" t="n">
        <v>0</v>
      </c>
      <c r="AK356" t="n">
        <v>0</v>
      </c>
      <c r="AL356" t="n">
        <v>25</v>
      </c>
      <c r="AM356" t="n">
        <v>10</v>
      </c>
      <c r="AN356" t="n">
        <v>2</v>
      </c>
      <c r="AO356" t="n">
        <v>4</v>
      </c>
      <c r="AP356" t="n">
        <v>1</v>
      </c>
      <c r="AQ356" t="n">
        <v>1</v>
      </c>
      <c r="AR356" t="n">
        <v>0.5</v>
      </c>
      <c r="AS356" t="n">
        <v>0.053</v>
      </c>
      <c r="AT356" t="n">
        <v>0.667</v>
      </c>
      <c r="AU356" t="n">
        <v>1</v>
      </c>
      <c r="AV356" t="n">
        <v>0</v>
      </c>
      <c r="AW356" t="n">
        <v>0.8100000000000001</v>
      </c>
      <c r="AX356" t="n">
        <v>4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H356" t="n">
        <v>0.951</v>
      </c>
      <c r="BI356" t="n">
        <v>4.62</v>
      </c>
      <c r="BJ356" t="n">
        <v>0</v>
      </c>
      <c r="BK356" t="n">
        <v>0</v>
      </c>
      <c r="BL356" t="n">
        <v>0</v>
      </c>
      <c r="BO356" t="n">
        <v>0</v>
      </c>
      <c r="BS356" t="n">
        <v>3</v>
      </c>
      <c r="BT356" t="n">
        <v>1.2</v>
      </c>
      <c r="BW356" t="n">
        <v>0.12</v>
      </c>
      <c r="BX356" t="n">
        <v>0</v>
      </c>
      <c r="BY356" t="n">
        <v>0.06</v>
      </c>
      <c r="BZ356" t="n">
        <v>0.024</v>
      </c>
      <c r="CA356" t="n">
        <v>0.06</v>
      </c>
      <c r="CB356" t="n">
        <v>0.024</v>
      </c>
      <c r="CC356" t="n">
        <v>0</v>
      </c>
      <c r="CI356" t="n">
        <v>1.294</v>
      </c>
      <c r="CJ356" t="n">
        <v>1.294</v>
      </c>
      <c r="CK356" t="n">
        <v>22</v>
      </c>
      <c r="CL356" t="n">
        <v>9</v>
      </c>
      <c r="CM356" t="n">
        <v>3</v>
      </c>
      <c r="CN356" t="n">
        <v>2</v>
      </c>
      <c r="CO356" t="n">
        <v>5</v>
      </c>
      <c r="CP356" t="n">
        <v>14</v>
      </c>
      <c r="CQ356" t="n">
        <v>3</v>
      </c>
      <c r="CR356" t="n">
        <v>11</v>
      </c>
      <c r="CS356" t="n">
        <v>6</v>
      </c>
      <c r="CW356" t="n">
        <v>3.36</v>
      </c>
      <c r="CX356" t="n">
        <v>1.344</v>
      </c>
      <c r="CY356" t="n">
        <v>0</v>
      </c>
      <c r="DB356" t="n">
        <v>0</v>
      </c>
      <c r="DF356" t="n">
        <v>0</v>
      </c>
      <c r="DG356" t="n">
        <v>0</v>
      </c>
      <c r="DH356" t="n">
        <v>1</v>
      </c>
      <c r="DI356" t="n">
        <v>2</v>
      </c>
      <c r="DM356" t="n">
        <v>1</v>
      </c>
      <c r="DO356" t="n">
        <v>1.7</v>
      </c>
      <c r="DP356" t="n">
        <v>102.63</v>
      </c>
      <c r="DQ356" t="n">
        <v>51.32</v>
      </c>
      <c r="DR356" t="n">
        <v>102.64</v>
      </c>
      <c r="DS356" t="n">
        <v>-0.01</v>
      </c>
      <c r="DT356" t="n">
        <v>2576</v>
      </c>
      <c r="DU356" t="n">
        <v>67.8</v>
      </c>
      <c r="DV356" t="inlineStr">
        <is>
          <t>flat</t>
        </is>
      </c>
      <c r="DW356" t="n">
        <v>85.94</v>
      </c>
      <c r="DX356" t="n">
        <v>90.5</v>
      </c>
      <c r="DY356" t="n">
        <v>22.08</v>
      </c>
      <c r="DZ356" t="n">
        <v>25.33</v>
      </c>
      <c r="EA356" t="n">
        <v>117</v>
      </c>
      <c r="EB356" t="n">
        <v>92</v>
      </c>
      <c r="EC356" t="n">
        <v>44.2</v>
      </c>
      <c r="ED356" t="n">
        <v>4.2</v>
      </c>
      <c r="EE356" t="n">
        <v>320</v>
      </c>
      <c r="EG356" t="n">
        <v>75</v>
      </c>
      <c r="EJ356" t="n">
        <v>3750</v>
      </c>
      <c r="EK356" t="n">
        <v>3750</v>
      </c>
      <c r="EL356" t="n">
        <v>28.1</v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n">
        <v>5</v>
      </c>
      <c r="F357" t="b">
        <v>1</v>
      </c>
      <c r="G357" t="b">
        <v>1</v>
      </c>
      <c r="H357" t="n">
        <v>20.8</v>
      </c>
      <c r="I357" t="inlineStr">
        <is>
          <t>a</t>
        </is>
      </c>
      <c r="L357" t="inlineStr">
        <is>
          <t>p614574</t>
        </is>
      </c>
      <c r="M357" t="n">
        <v>76</v>
      </c>
      <c r="Q357" t="n">
        <v>135</v>
      </c>
      <c r="R357" t="n">
        <v>9</v>
      </c>
      <c r="S357" t="n">
        <v>2</v>
      </c>
      <c r="T357" t="n">
        <v>1.5</v>
      </c>
      <c r="U357" t="n">
        <v>15</v>
      </c>
      <c r="V357" t="n">
        <v>8</v>
      </c>
      <c r="W357" t="n">
        <v>5.333</v>
      </c>
      <c r="X357" t="n">
        <v>0</v>
      </c>
      <c r="Y357" t="n">
        <v>0</v>
      </c>
      <c r="AA357" t="n">
        <v>0</v>
      </c>
      <c r="AB357" t="n">
        <v>3</v>
      </c>
      <c r="AC357" t="n">
        <v>0</v>
      </c>
      <c r="AD357" t="n">
        <v>0</v>
      </c>
      <c r="AE357" t="n">
        <v>0</v>
      </c>
      <c r="AF357" t="n">
        <v>32</v>
      </c>
      <c r="AG357" t="n">
        <v>31</v>
      </c>
      <c r="AH357" t="n">
        <v>-1</v>
      </c>
      <c r="AI357" t="n">
        <v>8</v>
      </c>
      <c r="AJ357" t="n">
        <v>0</v>
      </c>
      <c r="AK357" t="n">
        <v>0</v>
      </c>
      <c r="AL357" t="n">
        <v>17</v>
      </c>
      <c r="AM357" t="n">
        <v>11.333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0.053</v>
      </c>
      <c r="AT357" t="n">
        <v>0</v>
      </c>
      <c r="AU357" t="n">
        <v>9</v>
      </c>
      <c r="AV357" t="n">
        <v>0</v>
      </c>
      <c r="AW357" t="n">
        <v>0.52</v>
      </c>
      <c r="AX357" t="n">
        <v>1</v>
      </c>
      <c r="AY357" t="n">
        <v>0.11</v>
      </c>
      <c r="AZ357" t="n">
        <v>0.181</v>
      </c>
      <c r="BA357" t="n">
        <v>0.146</v>
      </c>
      <c r="BB357" t="n">
        <v>0.181</v>
      </c>
      <c r="BC357" t="n">
        <v>0.073</v>
      </c>
      <c r="BD357" t="n">
        <v>0.121</v>
      </c>
      <c r="BE357" t="n">
        <v>0.097</v>
      </c>
      <c r="BH357" t="n">
        <v>0.986</v>
      </c>
      <c r="BI357" t="n">
        <v>0.11</v>
      </c>
      <c r="BJ357" t="n">
        <v>0.109</v>
      </c>
      <c r="BK357" t="n">
        <v>0.073</v>
      </c>
      <c r="BL357" t="n">
        <v>-0.146</v>
      </c>
      <c r="BO357" t="n">
        <v>-0.07099999999999999</v>
      </c>
      <c r="BP357" t="n">
        <v>2</v>
      </c>
      <c r="BS357" t="n">
        <v>7</v>
      </c>
      <c r="BT357" t="n">
        <v>4.667</v>
      </c>
      <c r="BW357" t="n">
        <v>0.33</v>
      </c>
      <c r="BX357" t="n">
        <v>0.357</v>
      </c>
      <c r="BY357" t="n">
        <v>0.344</v>
      </c>
      <c r="BZ357" t="n">
        <v>0.229</v>
      </c>
      <c r="CA357" t="n">
        <v>0.489</v>
      </c>
      <c r="CB357" t="n">
        <v>0.326</v>
      </c>
      <c r="CC357" t="n">
        <v>5</v>
      </c>
      <c r="CE357" t="n">
        <v>5</v>
      </c>
      <c r="CH357" t="n">
        <v>2</v>
      </c>
      <c r="CI357" t="n">
        <v>1.299</v>
      </c>
      <c r="CJ357" t="n">
        <v>0.868</v>
      </c>
      <c r="CK357" t="n">
        <v>8</v>
      </c>
      <c r="CL357" t="n">
        <v>8</v>
      </c>
      <c r="CM357" t="n">
        <v>1</v>
      </c>
      <c r="CO357" t="n">
        <v>3</v>
      </c>
      <c r="CP357" t="n">
        <v>4</v>
      </c>
      <c r="CQ357" t="n">
        <v>1</v>
      </c>
      <c r="CR357" t="n">
        <v>4</v>
      </c>
      <c r="CV357" t="n">
        <v>1</v>
      </c>
      <c r="CW357" t="n">
        <v>4.9</v>
      </c>
      <c r="CX357" t="n">
        <v>3.267</v>
      </c>
      <c r="CY357" t="n">
        <v>0</v>
      </c>
      <c r="DB357" t="n">
        <v>0</v>
      </c>
      <c r="DF357" t="n">
        <v>1</v>
      </c>
      <c r="DG357" t="n">
        <v>0</v>
      </c>
      <c r="DH357" t="n">
        <v>1</v>
      </c>
      <c r="DI357" t="n">
        <v>2</v>
      </c>
      <c r="DL357" t="n">
        <v>1</v>
      </c>
      <c r="DM357" t="n">
        <v>2</v>
      </c>
      <c r="DO357" t="n">
        <v>0</v>
      </c>
      <c r="DP357" t="n">
        <v>19.79</v>
      </c>
      <c r="DQ357" t="n">
        <v>10.15</v>
      </c>
      <c r="DR357" t="n">
        <v>20.3</v>
      </c>
      <c r="DS357" t="n">
        <v>-0.51</v>
      </c>
      <c r="DT357" t="n">
        <v>126</v>
      </c>
      <c r="DU357" t="n">
        <v>3.31</v>
      </c>
      <c r="DV357" t="inlineStr">
        <is>
          <t>flat</t>
        </is>
      </c>
      <c r="EF357" t="n">
        <v>67.5</v>
      </c>
      <c r="EG357" t="n">
        <v>19.3</v>
      </c>
      <c r="EH357" t="n">
        <v>27</v>
      </c>
      <c r="EI357" t="n">
        <v>927.3</v>
      </c>
      <c r="EJ357" t="n">
        <v>392.9</v>
      </c>
      <c r="EK357" t="n">
        <v>276</v>
      </c>
      <c r="EL357" t="n">
        <v>16.9</v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n">
        <v>5.5</v>
      </c>
      <c r="F358" t="b">
        <v>1</v>
      </c>
      <c r="G358" t="b">
        <v>1</v>
      </c>
      <c r="H358" t="n">
        <v>19.4</v>
      </c>
      <c r="I358" t="inlineStr">
        <is>
          <t>a</t>
        </is>
      </c>
      <c r="L358" t="inlineStr">
        <is>
          <t>p499175</t>
        </is>
      </c>
      <c r="M358" t="n">
        <v>22</v>
      </c>
      <c r="Q358" t="n">
        <v>165</v>
      </c>
      <c r="R358" t="n">
        <v>6</v>
      </c>
      <c r="S358" t="n">
        <v>0</v>
      </c>
      <c r="T358" t="n">
        <v>1.833</v>
      </c>
      <c r="U358" t="n">
        <v>27.5</v>
      </c>
      <c r="V358" t="n">
        <v>8</v>
      </c>
      <c r="W358" t="n">
        <v>4.364</v>
      </c>
      <c r="X358" t="n">
        <v>0</v>
      </c>
      <c r="Y358" t="n">
        <v>0</v>
      </c>
      <c r="AA358" t="n">
        <v>1</v>
      </c>
      <c r="AB358" t="n">
        <v>0</v>
      </c>
      <c r="AC358" t="n">
        <v>0</v>
      </c>
      <c r="AD358" t="n">
        <v>0</v>
      </c>
      <c r="AE358" t="n">
        <v>0</v>
      </c>
      <c r="AF358" t="n">
        <v>20</v>
      </c>
      <c r="AG358" t="n">
        <v>20</v>
      </c>
      <c r="AH358" t="n">
        <v>0</v>
      </c>
      <c r="AI358" t="n">
        <v>8</v>
      </c>
      <c r="AJ358" t="n">
        <v>0</v>
      </c>
      <c r="AK358" t="n">
        <v>0</v>
      </c>
      <c r="AL358" t="n">
        <v>13</v>
      </c>
      <c r="AM358" t="n">
        <v>7.091</v>
      </c>
      <c r="AN358" t="n">
        <v>0</v>
      </c>
      <c r="AO358" t="n">
        <v>0</v>
      </c>
      <c r="AS358" t="n">
        <v>0</v>
      </c>
      <c r="AT358" t="n">
        <v>0.167</v>
      </c>
      <c r="AU358" t="n">
        <v>5</v>
      </c>
      <c r="AV358" t="n">
        <v>0</v>
      </c>
      <c r="AW358" t="n">
        <v>0.58</v>
      </c>
      <c r="AX358" t="n">
        <v>3</v>
      </c>
      <c r="AY358" t="n">
        <v>0.23</v>
      </c>
      <c r="AZ358" t="n">
        <v>0.329</v>
      </c>
      <c r="BA358" t="n">
        <v>0.28</v>
      </c>
      <c r="BB358" t="n">
        <v>0.329</v>
      </c>
      <c r="BC358" t="n">
        <v>0.125</v>
      </c>
      <c r="BD358" t="n">
        <v>0.18</v>
      </c>
      <c r="BE358" t="n">
        <v>0.153</v>
      </c>
      <c r="BH358" t="n">
        <v>1.03</v>
      </c>
      <c r="BI358" t="n">
        <v>1.42</v>
      </c>
      <c r="BJ358" t="n">
        <v>0.237</v>
      </c>
      <c r="BK358" t="n">
        <v>0.129</v>
      </c>
      <c r="BL358" t="n">
        <v>-0.28</v>
      </c>
      <c r="BO358" t="n">
        <v>-0.099</v>
      </c>
      <c r="BP358" t="n">
        <v>6</v>
      </c>
      <c r="BS358" t="n">
        <v>6</v>
      </c>
      <c r="BT358" t="n">
        <v>3.273</v>
      </c>
      <c r="BW358" t="n">
        <v>0.08</v>
      </c>
      <c r="BX358" t="n">
        <v>0.048</v>
      </c>
      <c r="BY358" t="n">
        <v>0.064</v>
      </c>
      <c r="BZ358" t="n">
        <v>0.035</v>
      </c>
      <c r="CA358" t="n">
        <v>0.344</v>
      </c>
      <c r="CB358" t="n">
        <v>0.188</v>
      </c>
      <c r="CC358" t="n">
        <v>1</v>
      </c>
      <c r="CE358" t="n">
        <v>1</v>
      </c>
      <c r="CI358" t="n">
        <v>1.166</v>
      </c>
      <c r="CJ358" t="n">
        <v>0.985</v>
      </c>
      <c r="CK358" t="n">
        <v>1</v>
      </c>
      <c r="CL358" t="n">
        <v>10</v>
      </c>
      <c r="CM358" t="n">
        <v>2</v>
      </c>
      <c r="CN358" t="n">
        <v>0</v>
      </c>
      <c r="CP358" t="n">
        <v>1</v>
      </c>
      <c r="CR358" t="n">
        <v>5</v>
      </c>
      <c r="CS358" t="n">
        <v>1</v>
      </c>
      <c r="CW358" t="n">
        <v>0.73</v>
      </c>
      <c r="CX358" t="n">
        <v>0.398</v>
      </c>
      <c r="CY358" t="n">
        <v>0</v>
      </c>
      <c r="DB358" t="n">
        <v>0</v>
      </c>
      <c r="DF358" t="n">
        <v>0</v>
      </c>
      <c r="DG358" t="n">
        <v>0</v>
      </c>
      <c r="DH358" t="n">
        <v>2</v>
      </c>
      <c r="DL358" t="n">
        <v>3</v>
      </c>
      <c r="DM358" t="n">
        <v>2</v>
      </c>
      <c r="DO358" t="n">
        <v>0</v>
      </c>
      <c r="DP358" t="n">
        <v>4.14</v>
      </c>
      <c r="DQ358" t="n">
        <v>2.09</v>
      </c>
      <c r="DR358" t="n">
        <v>4.18</v>
      </c>
      <c r="DS358" t="n">
        <v>-0.04</v>
      </c>
      <c r="DT358" t="n">
        <v>11</v>
      </c>
      <c r="DU358" t="n">
        <v>0.28</v>
      </c>
      <c r="DV358" t="inlineStr">
        <is>
          <t>flat</t>
        </is>
      </c>
      <c r="EF358" t="n">
        <v>27.5</v>
      </c>
      <c r="EG358" t="n">
        <v>27.5</v>
      </c>
      <c r="EH358" t="n">
        <v>165</v>
      </c>
      <c r="EI358" t="n">
        <v>590.1</v>
      </c>
      <c r="EJ358" t="n">
        <v>2569.9</v>
      </c>
      <c r="EK358" t="n">
        <v>479.9</v>
      </c>
      <c r="EL358" t="n">
        <v>20.6</v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n">
        <v>4.5</v>
      </c>
      <c r="F359" t="b">
        <v>1</v>
      </c>
      <c r="G359" t="b">
        <v>1</v>
      </c>
      <c r="H359" t="n">
        <v>33.6</v>
      </c>
      <c r="I359" t="inlineStr">
        <is>
          <t>a</t>
        </is>
      </c>
      <c r="L359" t="inlineStr">
        <is>
          <t>p121709</t>
        </is>
      </c>
      <c r="M359" t="n">
        <v>199</v>
      </c>
      <c r="Q359" t="n">
        <v>90</v>
      </c>
      <c r="R359" t="n">
        <v>1</v>
      </c>
      <c r="S359" t="n">
        <v>1</v>
      </c>
      <c r="T359" t="n">
        <v>1</v>
      </c>
      <c r="U359" t="n">
        <v>90</v>
      </c>
      <c r="V359" t="n">
        <v>7</v>
      </c>
      <c r="W359" t="n">
        <v>7</v>
      </c>
      <c r="X359" t="n">
        <v>0</v>
      </c>
      <c r="Y359" t="n">
        <v>0</v>
      </c>
      <c r="AA359" t="n">
        <v>1</v>
      </c>
      <c r="AB359" t="n">
        <v>0</v>
      </c>
      <c r="AC359" t="n">
        <v>0</v>
      </c>
      <c r="AD359" t="n">
        <v>1</v>
      </c>
      <c r="AE359" t="n">
        <v>1</v>
      </c>
      <c r="AF359" t="n">
        <v>29</v>
      </c>
      <c r="AG359" t="n">
        <v>29</v>
      </c>
      <c r="AH359" t="n">
        <v>0</v>
      </c>
      <c r="AI359" t="n">
        <v>8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0.026</v>
      </c>
      <c r="AT359" t="n">
        <v>1</v>
      </c>
      <c r="AU359" t="n">
        <v>0</v>
      </c>
      <c r="AV359" t="n">
        <v>0</v>
      </c>
      <c r="AW359" t="n">
        <v>1.14</v>
      </c>
      <c r="AX359" t="n">
        <v>7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H359" t="n">
        <v>1</v>
      </c>
      <c r="BI359" t="n">
        <v>0</v>
      </c>
      <c r="BJ359" t="n">
        <v>0</v>
      </c>
      <c r="BK359" t="n">
        <v>0</v>
      </c>
      <c r="BL359" t="n">
        <v>0</v>
      </c>
      <c r="BO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I359" t="n">
        <v>0</v>
      </c>
      <c r="CJ359" t="n">
        <v>0</v>
      </c>
      <c r="CK359" t="n">
        <v>1</v>
      </c>
      <c r="CL359" t="n">
        <v>9</v>
      </c>
      <c r="CM359" t="n">
        <v>0</v>
      </c>
      <c r="CP359" t="n">
        <v>1</v>
      </c>
      <c r="CW359" t="n">
        <v>1.12</v>
      </c>
      <c r="CX359" t="n">
        <v>1.12</v>
      </c>
      <c r="CY359" t="n">
        <v>3</v>
      </c>
      <c r="DB359" t="n">
        <v>0</v>
      </c>
      <c r="DC359" t="n">
        <v>1</v>
      </c>
      <c r="DD359" t="n">
        <v>1</v>
      </c>
      <c r="DF359" t="n">
        <v>0</v>
      </c>
      <c r="DG359" t="n">
        <v>0</v>
      </c>
      <c r="DO359" t="n">
        <v>0.1</v>
      </c>
      <c r="DP359" t="n">
        <v>1.5</v>
      </c>
      <c r="DQ359" t="n">
        <v>0.75</v>
      </c>
      <c r="DR359" t="n">
        <v>1.5</v>
      </c>
      <c r="DS359" t="n">
        <v>0</v>
      </c>
      <c r="DT359" t="n">
        <v>35</v>
      </c>
      <c r="DU359" t="n">
        <v>0.91</v>
      </c>
      <c r="DV359" t="inlineStr">
        <is>
          <t>flat</t>
        </is>
      </c>
      <c r="DW359" t="n">
        <v>116.7</v>
      </c>
      <c r="DY359" t="n">
        <v>2.71</v>
      </c>
      <c r="DZ359" t="n">
        <v>113</v>
      </c>
      <c r="EA359" t="n">
        <v>120</v>
      </c>
      <c r="EB359" t="n">
        <v>9</v>
      </c>
      <c r="EC359" t="n">
        <v>4.3</v>
      </c>
      <c r="ED359" t="n">
        <v>18.2</v>
      </c>
      <c r="EE359" t="n">
        <v>454</v>
      </c>
      <c r="EL359" t="n">
        <v>12.9</v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n">
        <v>5</v>
      </c>
      <c r="F360" t="b">
        <v>1</v>
      </c>
      <c r="G360" t="b">
        <v>1</v>
      </c>
      <c r="H360" t="n">
        <v>32.4</v>
      </c>
      <c r="I360" t="inlineStr">
        <is>
          <t>a</t>
        </is>
      </c>
      <c r="L360" t="inlineStr">
        <is>
          <t>p128295</t>
        </is>
      </c>
      <c r="M360" t="n">
        <v>21</v>
      </c>
      <c r="Q360" t="n">
        <v>101</v>
      </c>
      <c r="R360" t="n">
        <v>7</v>
      </c>
      <c r="S360" t="n">
        <v>1</v>
      </c>
      <c r="T360" t="n">
        <v>1.122</v>
      </c>
      <c r="U360" t="n">
        <v>14.4</v>
      </c>
      <c r="V360" t="n">
        <v>7</v>
      </c>
      <c r="W360" t="n">
        <v>6.238</v>
      </c>
      <c r="X360" t="n">
        <v>0</v>
      </c>
      <c r="Y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28</v>
      </c>
      <c r="AG360" t="n">
        <v>27</v>
      </c>
      <c r="AH360" t="n">
        <v>-1</v>
      </c>
      <c r="AI360" t="n">
        <v>7</v>
      </c>
      <c r="AJ360" t="n">
        <v>0</v>
      </c>
      <c r="AK360" t="n">
        <v>0</v>
      </c>
      <c r="AL360" t="n">
        <v>16</v>
      </c>
      <c r="AM360" t="n">
        <v>14.257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0.026</v>
      </c>
      <c r="AT360" t="n">
        <v>0</v>
      </c>
      <c r="AU360" t="n">
        <v>7</v>
      </c>
      <c r="AV360" t="n">
        <v>0</v>
      </c>
      <c r="AW360" t="n">
        <v>0.39</v>
      </c>
      <c r="AX360" t="n">
        <v>1</v>
      </c>
      <c r="AY360" t="n">
        <v>0.08</v>
      </c>
      <c r="AZ360" t="n">
        <v>0.06900000000000001</v>
      </c>
      <c r="BA360" t="n">
        <v>0.074</v>
      </c>
      <c r="BB360" t="n">
        <v>0.06900000000000001</v>
      </c>
      <c r="BC360" t="n">
        <v>0.07099999999999999</v>
      </c>
      <c r="BD360" t="n">
        <v>0.061</v>
      </c>
      <c r="BE360" t="n">
        <v>0.066</v>
      </c>
      <c r="BF360" t="n">
        <v>0.1</v>
      </c>
      <c r="BG360" t="n">
        <v>0.089</v>
      </c>
      <c r="BH360" t="n">
        <v>0.928</v>
      </c>
      <c r="BI360" t="n">
        <v>9.56</v>
      </c>
      <c r="BJ360" t="n">
        <v>0.074</v>
      </c>
      <c r="BK360" t="n">
        <v>0.066</v>
      </c>
      <c r="BL360" t="n">
        <v>-0.074</v>
      </c>
      <c r="BM360" t="n">
        <v>0.02</v>
      </c>
      <c r="BN360" t="n">
        <v>-0.1</v>
      </c>
      <c r="BO360" t="n">
        <v>0.011</v>
      </c>
      <c r="BP360" t="n">
        <v>2</v>
      </c>
      <c r="BQ360" t="n">
        <v>1</v>
      </c>
      <c r="BS360" t="n">
        <v>1</v>
      </c>
      <c r="BT360" t="n">
        <v>0.891</v>
      </c>
      <c r="BW360" t="n">
        <v>0.04</v>
      </c>
      <c r="BX360" t="n">
        <v>0</v>
      </c>
      <c r="BY360" t="n">
        <v>0.02</v>
      </c>
      <c r="BZ360" t="n">
        <v>0.018</v>
      </c>
      <c r="CA360" t="n">
        <v>0.094</v>
      </c>
      <c r="CB360" t="n">
        <v>0.08400000000000001</v>
      </c>
      <c r="CC360" t="n">
        <v>0</v>
      </c>
      <c r="CI360" t="n">
        <v>0.821</v>
      </c>
      <c r="CJ360" t="n">
        <v>0.772</v>
      </c>
      <c r="CK360" t="n">
        <v>9</v>
      </c>
      <c r="CL360" t="n">
        <v>4</v>
      </c>
      <c r="CM360" t="n">
        <v>3</v>
      </c>
      <c r="CN360" t="n">
        <v>2</v>
      </c>
      <c r="CO360" t="n">
        <v>0</v>
      </c>
      <c r="CP360" t="n">
        <v>8</v>
      </c>
      <c r="CQ360" t="n">
        <v>1</v>
      </c>
      <c r="CR360" t="n">
        <v>5</v>
      </c>
      <c r="CS360" t="n">
        <v>2</v>
      </c>
      <c r="CW360" t="n">
        <v>2.28</v>
      </c>
      <c r="CX360" t="n">
        <v>2.032</v>
      </c>
      <c r="CY360" t="n">
        <v>0</v>
      </c>
      <c r="DB360" t="n">
        <v>0</v>
      </c>
      <c r="DF360" t="n">
        <v>0</v>
      </c>
      <c r="DG360" t="n">
        <v>0</v>
      </c>
      <c r="DH360" t="n">
        <v>3</v>
      </c>
      <c r="DM360" t="n">
        <v>1</v>
      </c>
      <c r="DO360" t="n">
        <v>0.7</v>
      </c>
      <c r="DP360" t="n">
        <v>129.67</v>
      </c>
      <c r="DQ360" t="n">
        <v>63.84</v>
      </c>
      <c r="DR360" t="n">
        <v>127.68</v>
      </c>
      <c r="DS360" t="n">
        <v>1.99</v>
      </c>
      <c r="DT360" t="n">
        <v>2804</v>
      </c>
      <c r="DU360" t="n">
        <v>73.8</v>
      </c>
      <c r="DV360" t="inlineStr">
        <is>
          <t>flat</t>
        </is>
      </c>
      <c r="DW360" t="n">
        <v>102.08</v>
      </c>
      <c r="DY360" t="n">
        <v>7.66</v>
      </c>
      <c r="DZ360" t="n">
        <v>96.67</v>
      </c>
      <c r="EA360" t="n">
        <v>107.5</v>
      </c>
      <c r="EB360" t="n">
        <v>2</v>
      </c>
      <c r="EC360" t="n">
        <v>1</v>
      </c>
      <c r="ED360" t="n">
        <v>33.3</v>
      </c>
      <c r="EE360" t="n">
        <v>321</v>
      </c>
      <c r="EF360" t="n">
        <v>50.5</v>
      </c>
      <c r="EG360" t="n">
        <v>101</v>
      </c>
      <c r="EI360" t="n">
        <v>1358.5</v>
      </c>
      <c r="EJ360" t="n">
        <v>5050</v>
      </c>
      <c r="EK360" t="n">
        <v>1070.5</v>
      </c>
      <c r="EL360" t="n">
        <v>14.4</v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n">
        <v>4.5</v>
      </c>
      <c r="F361" t="b">
        <v>1</v>
      </c>
      <c r="G361" t="b">
        <v>1</v>
      </c>
      <c r="H361" t="n">
        <v>25.4</v>
      </c>
      <c r="I361" t="inlineStr">
        <is>
          <t>a</t>
        </is>
      </c>
      <c r="L361" t="inlineStr">
        <is>
          <t>p242880</t>
        </is>
      </c>
      <c r="M361" t="n">
        <v>146</v>
      </c>
      <c r="Q361" t="n">
        <v>470</v>
      </c>
      <c r="R361" t="n">
        <v>8</v>
      </c>
      <c r="S361" t="n">
        <v>6</v>
      </c>
      <c r="T361" t="n">
        <v>5.222</v>
      </c>
      <c r="U361" t="n">
        <v>58.8</v>
      </c>
      <c r="V361" t="n">
        <v>7</v>
      </c>
      <c r="W361" t="n">
        <v>1.34</v>
      </c>
      <c r="X361" t="n">
        <v>0</v>
      </c>
      <c r="Y361" t="n">
        <v>0</v>
      </c>
      <c r="AA361" t="n">
        <v>0</v>
      </c>
      <c r="AB361" t="n">
        <v>10</v>
      </c>
      <c r="AC361" t="n">
        <v>0</v>
      </c>
      <c r="AD361" t="n">
        <v>0</v>
      </c>
      <c r="AE361" t="n">
        <v>0</v>
      </c>
      <c r="AF361" t="n">
        <v>48</v>
      </c>
      <c r="AG361" t="n">
        <v>40</v>
      </c>
      <c r="AH361" t="n">
        <v>-8</v>
      </c>
      <c r="AI361" t="n">
        <v>7</v>
      </c>
      <c r="AJ361" t="n">
        <v>0</v>
      </c>
      <c r="AK361" t="n">
        <v>0</v>
      </c>
      <c r="AL361" t="n">
        <v>48</v>
      </c>
      <c r="AM361" t="n">
        <v>9.191000000000001</v>
      </c>
      <c r="AN361" t="n">
        <v>1</v>
      </c>
      <c r="AO361" t="n">
        <v>2</v>
      </c>
      <c r="AP361" t="n">
        <v>0.167</v>
      </c>
      <c r="AQ361" t="n">
        <v>0.167</v>
      </c>
      <c r="AR361" t="n">
        <v>0.167</v>
      </c>
      <c r="AS361" t="n">
        <v>0.158</v>
      </c>
      <c r="AT361" t="n">
        <v>0.375</v>
      </c>
      <c r="AU361" t="n">
        <v>7</v>
      </c>
      <c r="AV361" t="n">
        <v>0</v>
      </c>
      <c r="AW361" t="n">
        <v>0.77</v>
      </c>
      <c r="AX361" t="n">
        <v>4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H361" t="n">
        <v>0.913</v>
      </c>
      <c r="BI361" t="n">
        <v>1.53</v>
      </c>
      <c r="BJ361" t="n">
        <v>0</v>
      </c>
      <c r="BK361" t="n">
        <v>0</v>
      </c>
      <c r="BL361" t="n">
        <v>0</v>
      </c>
      <c r="BO361" t="n">
        <v>0</v>
      </c>
      <c r="BS361" t="n">
        <v>1</v>
      </c>
      <c r="BT361" t="n">
        <v>0.191</v>
      </c>
      <c r="BW361" t="n">
        <v>0.06</v>
      </c>
      <c r="BX361" t="n">
        <v>0</v>
      </c>
      <c r="BY361" t="n">
        <v>0.03</v>
      </c>
      <c r="BZ361" t="n">
        <v>0.006</v>
      </c>
      <c r="CA361" t="n">
        <v>0.03</v>
      </c>
      <c r="CB361" t="n">
        <v>0.006</v>
      </c>
      <c r="CC361" t="n">
        <v>0</v>
      </c>
      <c r="CI361" t="n">
        <v>1.046</v>
      </c>
      <c r="CJ361" t="n">
        <v>1.046</v>
      </c>
      <c r="CK361" t="n">
        <v>41</v>
      </c>
      <c r="CL361" t="n">
        <v>16</v>
      </c>
      <c r="CM361" t="n">
        <v>7</v>
      </c>
      <c r="CN361" t="n">
        <v>4</v>
      </c>
      <c r="CO361" t="n">
        <v>10</v>
      </c>
      <c r="CP361" t="n">
        <v>27</v>
      </c>
      <c r="CQ361" t="n">
        <v>4</v>
      </c>
      <c r="CR361" t="n">
        <v>17</v>
      </c>
      <c r="CS361" t="n">
        <v>8</v>
      </c>
      <c r="CU361" t="n">
        <v>1</v>
      </c>
      <c r="CV361" t="n">
        <v>1</v>
      </c>
      <c r="CW361" t="n">
        <v>7.41</v>
      </c>
      <c r="CX361" t="n">
        <v>1.419</v>
      </c>
      <c r="CY361" t="n">
        <v>0</v>
      </c>
      <c r="DB361" t="n">
        <v>0</v>
      </c>
      <c r="DF361" t="n">
        <v>2</v>
      </c>
      <c r="DG361" t="n">
        <v>0</v>
      </c>
      <c r="DH361" t="n">
        <v>6</v>
      </c>
      <c r="DI361" t="n">
        <v>2</v>
      </c>
      <c r="DO361" t="n">
        <v>0</v>
      </c>
      <c r="DP361" t="n">
        <v>2.79</v>
      </c>
      <c r="DQ361" t="n">
        <v>1.56</v>
      </c>
      <c r="DR361" t="n">
        <v>3.12</v>
      </c>
      <c r="DS361" t="n">
        <v>-0.33</v>
      </c>
      <c r="DT361" t="n">
        <v>14</v>
      </c>
      <c r="DU361" t="n">
        <v>0.36</v>
      </c>
      <c r="DV361" t="inlineStr">
        <is>
          <t>flat</t>
        </is>
      </c>
      <c r="EG361" t="n">
        <v>470</v>
      </c>
      <c r="EJ361" t="n">
        <v>15666.7</v>
      </c>
      <c r="EK361" t="n">
        <v>15666.7</v>
      </c>
      <c r="EL361" t="n">
        <v>67.09999999999999</v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n">
        <v>4.5</v>
      </c>
      <c r="F362" t="b">
        <v>1</v>
      </c>
      <c r="G362" t="b">
        <v>1</v>
      </c>
      <c r="H362" t="n">
        <v>28.5</v>
      </c>
      <c r="I362" t="inlineStr">
        <is>
          <t>a</t>
        </is>
      </c>
      <c r="L362" t="inlineStr">
        <is>
          <t>p223434</t>
        </is>
      </c>
      <c r="M362" t="n">
        <v>118</v>
      </c>
      <c r="Q362" t="n">
        <v>103</v>
      </c>
      <c r="R362" t="n">
        <v>4</v>
      </c>
      <c r="S362" t="n">
        <v>1</v>
      </c>
      <c r="T362" t="n">
        <v>1.144</v>
      </c>
      <c r="U362" t="n">
        <v>25.8</v>
      </c>
      <c r="V362" t="n">
        <v>6</v>
      </c>
      <c r="W362" t="n">
        <v>5.243</v>
      </c>
      <c r="X362" t="n">
        <v>0</v>
      </c>
      <c r="Y362" t="n">
        <v>0</v>
      </c>
      <c r="AA362" t="n">
        <v>0</v>
      </c>
      <c r="AB362" t="n">
        <v>3</v>
      </c>
      <c r="AC362" t="n">
        <v>0</v>
      </c>
      <c r="AD362" t="n">
        <v>0</v>
      </c>
      <c r="AE362" t="n">
        <v>0</v>
      </c>
      <c r="AF362" t="n">
        <v>10</v>
      </c>
      <c r="AG362" t="n">
        <v>8</v>
      </c>
      <c r="AH362" t="n">
        <v>-2</v>
      </c>
      <c r="AI362" t="n">
        <v>6</v>
      </c>
      <c r="AJ362" t="n">
        <v>0</v>
      </c>
      <c r="AK362" t="n">
        <v>0</v>
      </c>
      <c r="AL362" t="n">
        <v>13</v>
      </c>
      <c r="AM362" t="n">
        <v>11.359</v>
      </c>
      <c r="AN362" t="n">
        <v>1</v>
      </c>
      <c r="AO362" t="n">
        <v>2</v>
      </c>
      <c r="AP362" t="n">
        <v>1</v>
      </c>
      <c r="AQ362" t="n">
        <v>1</v>
      </c>
      <c r="AR362" t="n">
        <v>1</v>
      </c>
      <c r="AS362" t="n">
        <v>0.026</v>
      </c>
      <c r="AT362" t="n">
        <v>0.25</v>
      </c>
      <c r="AU362" t="n">
        <v>3</v>
      </c>
      <c r="AV362" t="n">
        <v>0</v>
      </c>
      <c r="AW362" t="n">
        <v>0.55</v>
      </c>
      <c r="AX362" t="n">
        <v>3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H362" t="n">
        <v>0.964</v>
      </c>
      <c r="BI362" t="n">
        <v>0.3</v>
      </c>
      <c r="BJ362" t="n">
        <v>0</v>
      </c>
      <c r="BK362" t="n">
        <v>0</v>
      </c>
      <c r="BL362" t="n">
        <v>0</v>
      </c>
      <c r="BO362" t="n">
        <v>0</v>
      </c>
      <c r="BW362" t="n">
        <v>0</v>
      </c>
      <c r="BX362" t="n">
        <v>0.018</v>
      </c>
      <c r="BY362" t="n">
        <v>0.008999999999999999</v>
      </c>
      <c r="BZ362" t="n">
        <v>0.008</v>
      </c>
      <c r="CA362" t="n">
        <v>0.008999999999999999</v>
      </c>
      <c r="CB362" t="n">
        <v>0.008</v>
      </c>
      <c r="CC362" t="n">
        <v>1</v>
      </c>
      <c r="CE362" t="n">
        <v>1</v>
      </c>
      <c r="CI362" t="n">
        <v>0.07000000000000001</v>
      </c>
      <c r="CJ362" t="n">
        <v>0.07000000000000001</v>
      </c>
      <c r="CK362" t="n">
        <v>13</v>
      </c>
      <c r="CL362" t="n">
        <v>3</v>
      </c>
      <c r="CM362" t="n">
        <v>0</v>
      </c>
      <c r="CO362" t="n">
        <v>1</v>
      </c>
      <c r="CP362" t="n">
        <v>10</v>
      </c>
      <c r="CQ362" t="n">
        <v>2</v>
      </c>
      <c r="CR362" t="n">
        <v>0</v>
      </c>
      <c r="CW362" t="n">
        <v>4.66</v>
      </c>
      <c r="CX362" t="n">
        <v>4.072</v>
      </c>
      <c r="CY362" t="n">
        <v>0</v>
      </c>
      <c r="DB362" t="n">
        <v>0</v>
      </c>
      <c r="DF362" t="n">
        <v>0</v>
      </c>
      <c r="DG362" t="n">
        <v>0</v>
      </c>
      <c r="DH362" t="n">
        <v>1</v>
      </c>
      <c r="DM362" t="n">
        <v>0</v>
      </c>
      <c r="DO362" t="n">
        <v>0.1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inlineStr">
        <is>
          <t>flat</t>
        </is>
      </c>
      <c r="EH362" t="n">
        <v>103</v>
      </c>
      <c r="EJ362" t="n">
        <v>11381.6</v>
      </c>
      <c r="EK362" t="n">
        <v>11381.6</v>
      </c>
      <c r="EL362" t="n">
        <v>17.2</v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n">
        <v>4</v>
      </c>
      <c r="F363" t="b">
        <v>1</v>
      </c>
      <c r="G363" t="b">
        <v>1</v>
      </c>
      <c r="H363" t="n">
        <v>29.5</v>
      </c>
      <c r="I363" t="inlineStr">
        <is>
          <t>a</t>
        </is>
      </c>
      <c r="L363" t="inlineStr">
        <is>
          <t>p155503</t>
        </is>
      </c>
      <c r="M363" t="n">
        <v>352</v>
      </c>
      <c r="Q363" t="n">
        <v>212</v>
      </c>
      <c r="R363" t="n">
        <v>3</v>
      </c>
      <c r="S363" t="n">
        <v>2</v>
      </c>
      <c r="T363" t="n">
        <v>2.356</v>
      </c>
      <c r="U363" t="n">
        <v>70.7</v>
      </c>
      <c r="V363" t="n">
        <v>6</v>
      </c>
      <c r="W363" t="n">
        <v>2.547</v>
      </c>
      <c r="X363" t="n">
        <v>0</v>
      </c>
      <c r="Y363" t="n">
        <v>0</v>
      </c>
      <c r="AA363" t="n">
        <v>0</v>
      </c>
      <c r="AB363" t="n">
        <v>4</v>
      </c>
      <c r="AC363" t="n">
        <v>0</v>
      </c>
      <c r="AD363" t="n">
        <v>0</v>
      </c>
      <c r="AE363" t="n">
        <v>0</v>
      </c>
      <c r="AF363" t="n">
        <v>34</v>
      </c>
      <c r="AG363" t="n">
        <v>33</v>
      </c>
      <c r="AH363" t="n">
        <v>-1</v>
      </c>
      <c r="AI363" t="n">
        <v>6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0.053</v>
      </c>
      <c r="AT363" t="n">
        <v>0.667</v>
      </c>
      <c r="AU363" t="n">
        <v>2</v>
      </c>
      <c r="AV363" t="n">
        <v>0</v>
      </c>
      <c r="AW363" t="n">
        <v>0.59</v>
      </c>
      <c r="AX363" t="n">
        <v>3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H363" t="n">
        <v>1</v>
      </c>
      <c r="BI363" t="n">
        <v>0</v>
      </c>
      <c r="BJ363" t="n">
        <v>0</v>
      </c>
      <c r="BK363" t="n">
        <v>0</v>
      </c>
      <c r="BL363" t="n">
        <v>0</v>
      </c>
      <c r="BO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I363" t="n">
        <v>0.641</v>
      </c>
      <c r="CJ363" t="n">
        <v>0.641</v>
      </c>
      <c r="CK363" t="n">
        <v>4</v>
      </c>
      <c r="CL363" t="n">
        <v>22</v>
      </c>
      <c r="CM363" t="n">
        <v>0</v>
      </c>
      <c r="CO363" t="n">
        <v>1</v>
      </c>
      <c r="CP363" t="n">
        <v>3</v>
      </c>
      <c r="CW363" t="n">
        <v>4.76</v>
      </c>
      <c r="CX363" t="n">
        <v>2.021</v>
      </c>
      <c r="CY363" t="n">
        <v>9</v>
      </c>
      <c r="DB363" t="n">
        <v>0</v>
      </c>
      <c r="DC363" t="n">
        <v>1</v>
      </c>
      <c r="DF363" t="n">
        <v>0</v>
      </c>
      <c r="DG363" t="n">
        <v>0</v>
      </c>
      <c r="DO363" t="n">
        <v>1.2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inlineStr">
        <is>
          <t>flat</t>
        </is>
      </c>
      <c r="DW363" t="n">
        <v>117</v>
      </c>
      <c r="DY363" t="n">
        <v>2.83</v>
      </c>
      <c r="DZ363" t="n">
        <v>115</v>
      </c>
      <c r="EA363" t="n">
        <v>119</v>
      </c>
      <c r="EB363" t="n">
        <v>2</v>
      </c>
      <c r="EC363" t="n">
        <v>1</v>
      </c>
      <c r="ED363" t="n">
        <v>0</v>
      </c>
      <c r="EE363" t="n">
        <v>523</v>
      </c>
      <c r="EL363" t="n">
        <v>35.3</v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n">
        <v>5</v>
      </c>
      <c r="F364" t="b">
        <v>1</v>
      </c>
      <c r="G364" t="b">
        <v>1</v>
      </c>
      <c r="H364" t="n">
        <v>19.1</v>
      </c>
      <c r="I364" t="inlineStr">
        <is>
          <t>a</t>
        </is>
      </c>
      <c r="L364" t="inlineStr">
        <is>
          <t>p591386</t>
        </is>
      </c>
      <c r="M364" t="n">
        <v>375</v>
      </c>
      <c r="Q364" t="n">
        <v>21</v>
      </c>
      <c r="R364" t="n">
        <v>6</v>
      </c>
      <c r="S364" t="n">
        <v>0</v>
      </c>
      <c r="T364" t="n">
        <v>0.233</v>
      </c>
      <c r="U364" t="n">
        <v>3.5</v>
      </c>
      <c r="V364" t="n">
        <v>6</v>
      </c>
      <c r="W364" t="n">
        <v>25.714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0</v>
      </c>
      <c r="AE364" t="n">
        <v>0</v>
      </c>
      <c r="AF364" t="n">
        <v>11</v>
      </c>
      <c r="AG364" t="n">
        <v>11</v>
      </c>
      <c r="AH364" t="n">
        <v>0</v>
      </c>
      <c r="AI364" t="n">
        <v>6</v>
      </c>
      <c r="AJ364" t="n">
        <v>0</v>
      </c>
      <c r="AK364" t="n">
        <v>0</v>
      </c>
      <c r="AL364" t="n">
        <v>5</v>
      </c>
      <c r="AM364" t="n">
        <v>21.429</v>
      </c>
      <c r="AN364" t="n">
        <v>0</v>
      </c>
      <c r="AO364" t="n">
        <v>0</v>
      </c>
      <c r="AS364" t="n">
        <v>0</v>
      </c>
      <c r="AT364" t="n">
        <v>0</v>
      </c>
      <c r="AU364" t="n">
        <v>6</v>
      </c>
      <c r="AV364" t="n">
        <v>0</v>
      </c>
      <c r="AW364" t="n">
        <v>0.37</v>
      </c>
      <c r="AX364" t="n">
        <v>1</v>
      </c>
      <c r="AY364" t="n">
        <v>0.37</v>
      </c>
      <c r="BA364" t="n">
        <v>0.37</v>
      </c>
      <c r="BC364" t="n">
        <v>1.586</v>
      </c>
      <c r="BE364" t="n">
        <v>1.586</v>
      </c>
      <c r="BH364" t="n">
        <v>0.956</v>
      </c>
      <c r="BI364" t="n">
        <v>0.37</v>
      </c>
      <c r="BJ364" t="n">
        <v>0.354</v>
      </c>
      <c r="BK364" t="n">
        <v>1.517</v>
      </c>
      <c r="BL364" t="n">
        <v>-0.37</v>
      </c>
      <c r="BP364" t="n">
        <v>1</v>
      </c>
      <c r="BR364" t="n">
        <v>1</v>
      </c>
      <c r="BS364" t="n">
        <v>1</v>
      </c>
      <c r="BT364" t="n">
        <v>4.286</v>
      </c>
      <c r="BW364" t="n">
        <v>0.02</v>
      </c>
      <c r="BY364" t="n">
        <v>0.02</v>
      </c>
      <c r="BZ364" t="n">
        <v>0.08599999999999999</v>
      </c>
      <c r="CA364" t="n">
        <v>0.39</v>
      </c>
      <c r="CB364" t="n">
        <v>1.671</v>
      </c>
      <c r="CE364" t="n">
        <v>1</v>
      </c>
      <c r="CK364" t="n">
        <v>0</v>
      </c>
      <c r="CL364" t="n">
        <v>4</v>
      </c>
      <c r="CM364" t="n">
        <v>1</v>
      </c>
      <c r="CP364" t="n">
        <v>0</v>
      </c>
      <c r="CR364" t="n">
        <v>1</v>
      </c>
      <c r="CW364" t="n">
        <v>0.85</v>
      </c>
      <c r="CX364" t="n">
        <v>3.643</v>
      </c>
      <c r="CY364" t="n">
        <v>0</v>
      </c>
      <c r="DB364" t="n">
        <v>0</v>
      </c>
      <c r="DF364" t="n">
        <v>0</v>
      </c>
      <c r="DG364" t="n">
        <v>0</v>
      </c>
      <c r="DH364" t="n">
        <v>1</v>
      </c>
      <c r="DM364" t="n">
        <v>1</v>
      </c>
      <c r="DN364" t="n">
        <v>1</v>
      </c>
      <c r="DO364" t="n">
        <v>0.1</v>
      </c>
      <c r="DP364" t="n">
        <v>5.63</v>
      </c>
      <c r="DQ364" t="n">
        <v>2.84</v>
      </c>
      <c r="DR364" t="n">
        <v>5.68</v>
      </c>
      <c r="DS364" t="n">
        <v>-0.05</v>
      </c>
      <c r="DT364" t="n">
        <v>24</v>
      </c>
      <c r="DU364" t="n">
        <v>0.63</v>
      </c>
      <c r="DV364" t="inlineStr">
        <is>
          <t>flat</t>
        </is>
      </c>
      <c r="DW364" t="n">
        <v>88.75</v>
      </c>
      <c r="DY364" t="n">
        <v>22.27</v>
      </c>
      <c r="DZ364" t="n">
        <v>73</v>
      </c>
      <c r="EA364" t="n">
        <v>104.5</v>
      </c>
      <c r="EB364" t="n">
        <v>2</v>
      </c>
      <c r="EC364" t="n">
        <v>1</v>
      </c>
      <c r="ED364" t="n">
        <v>0</v>
      </c>
      <c r="EE364" t="n">
        <v>322</v>
      </c>
      <c r="EF364" t="n">
        <v>21</v>
      </c>
      <c r="EG364" t="n">
        <v>21</v>
      </c>
      <c r="EH364" t="n">
        <v>21</v>
      </c>
      <c r="EI364" t="n">
        <v>56.8</v>
      </c>
      <c r="EJ364" t="n">
        <v>1050</v>
      </c>
      <c r="EK364" t="n">
        <v>53.8</v>
      </c>
      <c r="EL364" t="n">
        <v>3.5</v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n">
        <v>4.5</v>
      </c>
      <c r="F365" t="b">
        <v>1</v>
      </c>
      <c r="G365" t="b">
        <v>1</v>
      </c>
      <c r="H365" t="n">
        <v>28.6</v>
      </c>
      <c r="I365" t="inlineStr">
        <is>
          <t>a</t>
        </is>
      </c>
      <c r="L365" t="inlineStr">
        <is>
          <t>p218364</t>
        </is>
      </c>
      <c r="M365" t="n">
        <v>205</v>
      </c>
      <c r="Q365" t="n">
        <v>99</v>
      </c>
      <c r="R365" t="n">
        <v>7</v>
      </c>
      <c r="S365" t="n">
        <v>0</v>
      </c>
      <c r="T365" t="n">
        <v>1.1</v>
      </c>
      <c r="U365" t="n">
        <v>14.1</v>
      </c>
      <c r="V365" t="n">
        <v>6</v>
      </c>
      <c r="W365" t="n">
        <v>5.455</v>
      </c>
      <c r="X365" t="n">
        <v>0</v>
      </c>
      <c r="Y365" t="n">
        <v>0</v>
      </c>
      <c r="AA365" t="n">
        <v>0</v>
      </c>
      <c r="AB365" t="n">
        <v>2</v>
      </c>
      <c r="AC365" t="n">
        <v>0</v>
      </c>
      <c r="AD365" t="n">
        <v>0</v>
      </c>
      <c r="AE365" t="n">
        <v>0</v>
      </c>
      <c r="AF365" t="n">
        <v>9</v>
      </c>
      <c r="AG365" t="n">
        <v>6</v>
      </c>
      <c r="AH365" t="n">
        <v>-3</v>
      </c>
      <c r="AI365" t="n">
        <v>6</v>
      </c>
      <c r="AJ365" t="n">
        <v>0</v>
      </c>
      <c r="AK365" t="n">
        <v>0</v>
      </c>
      <c r="AL365" t="n">
        <v>9</v>
      </c>
      <c r="AM365" t="n">
        <v>8.182</v>
      </c>
      <c r="AN365" t="n">
        <v>0</v>
      </c>
      <c r="AO365" t="n">
        <v>0</v>
      </c>
      <c r="AS365" t="n">
        <v>0</v>
      </c>
      <c r="AT365" t="n">
        <v>0</v>
      </c>
      <c r="AU365" t="n">
        <v>7</v>
      </c>
      <c r="AV365" t="n">
        <v>0</v>
      </c>
      <c r="AW365" t="n">
        <v>0.37</v>
      </c>
      <c r="AX365" t="n">
        <v>1</v>
      </c>
      <c r="AY365" t="n">
        <v>0.04</v>
      </c>
      <c r="AZ365" t="n">
        <v>0.039</v>
      </c>
      <c r="BA365" t="n">
        <v>0.04</v>
      </c>
      <c r="BB365" t="n">
        <v>0.039</v>
      </c>
      <c r="BC365" t="n">
        <v>0.036</v>
      </c>
      <c r="BD365" t="n">
        <v>0.035</v>
      </c>
      <c r="BE365" t="n">
        <v>0.036</v>
      </c>
      <c r="BH365" t="n">
        <v>0.995</v>
      </c>
      <c r="BI365" t="n">
        <v>0.04</v>
      </c>
      <c r="BJ365" t="n">
        <v>0.04</v>
      </c>
      <c r="BK365" t="n">
        <v>0.036</v>
      </c>
      <c r="BL365" t="n">
        <v>-0.04</v>
      </c>
      <c r="BO365" t="n">
        <v>0.001</v>
      </c>
      <c r="BP365" t="n">
        <v>1</v>
      </c>
      <c r="BS365" t="n">
        <v>3</v>
      </c>
      <c r="BT365" t="n">
        <v>2.727</v>
      </c>
      <c r="BW365" t="n">
        <v>0.07000000000000001</v>
      </c>
      <c r="BX365" t="n">
        <v>0.076</v>
      </c>
      <c r="BY365" t="n">
        <v>0.073</v>
      </c>
      <c r="BZ365" t="n">
        <v>0.066</v>
      </c>
      <c r="CA365" t="n">
        <v>0.113</v>
      </c>
      <c r="CB365" t="n">
        <v>0.102</v>
      </c>
      <c r="CC365" t="n">
        <v>2</v>
      </c>
      <c r="CE365" t="n">
        <v>2</v>
      </c>
      <c r="CH365" t="n">
        <v>3</v>
      </c>
      <c r="CI365" t="n">
        <v>0.484</v>
      </c>
      <c r="CJ365" t="n">
        <v>0.388</v>
      </c>
      <c r="CK365" t="n">
        <v>6</v>
      </c>
      <c r="CL365" t="n">
        <v>3</v>
      </c>
      <c r="CM365" t="n">
        <v>3</v>
      </c>
      <c r="CO365" t="n">
        <v>2</v>
      </c>
      <c r="CP365" t="n">
        <v>4</v>
      </c>
      <c r="CR365" t="n">
        <v>6</v>
      </c>
      <c r="CS365" t="n">
        <v>3</v>
      </c>
      <c r="CW365" t="n">
        <v>0.9</v>
      </c>
      <c r="CX365" t="n">
        <v>0.8179999999999999</v>
      </c>
      <c r="CY365" t="n">
        <v>0</v>
      </c>
      <c r="DB365" t="n">
        <v>0</v>
      </c>
      <c r="DF365" t="n">
        <v>1</v>
      </c>
      <c r="DG365" t="n">
        <v>0</v>
      </c>
      <c r="DH365" t="n">
        <v>4</v>
      </c>
      <c r="DK365" t="n">
        <v>0</v>
      </c>
      <c r="DM365" t="n">
        <v>0</v>
      </c>
      <c r="DO365" t="n">
        <v>0</v>
      </c>
      <c r="DP365" t="n">
        <v>7.6</v>
      </c>
      <c r="DQ365" t="n">
        <v>3.8</v>
      </c>
      <c r="DR365" t="n">
        <v>7.6</v>
      </c>
      <c r="DS365" t="n">
        <v>0</v>
      </c>
      <c r="DT365" t="n">
        <v>19</v>
      </c>
      <c r="DU365" t="n">
        <v>0.5</v>
      </c>
      <c r="DV365" t="inlineStr">
        <is>
          <t>flat</t>
        </is>
      </c>
      <c r="EF365" t="n">
        <v>99</v>
      </c>
      <c r="EG365" t="n">
        <v>33</v>
      </c>
      <c r="EH365" t="n">
        <v>49.5</v>
      </c>
      <c r="EI365" t="n">
        <v>2504.9</v>
      </c>
      <c r="EJ365" t="n">
        <v>1353.7</v>
      </c>
      <c r="EK365" t="n">
        <v>878.8</v>
      </c>
      <c r="EL365" t="n">
        <v>16.5</v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n">
        <v>4.5</v>
      </c>
      <c r="F366" t="b">
        <v>1</v>
      </c>
      <c r="G366" t="b">
        <v>1</v>
      </c>
      <c r="H366" t="n">
        <v>19.1</v>
      </c>
      <c r="I366" t="inlineStr">
        <is>
          <t>a</t>
        </is>
      </c>
      <c r="L366" t="inlineStr">
        <is>
          <t>p631786</t>
        </is>
      </c>
      <c r="M366" t="n">
        <v>272</v>
      </c>
      <c r="Q366" t="n">
        <v>49</v>
      </c>
      <c r="R366" t="n">
        <v>7</v>
      </c>
      <c r="S366" t="n">
        <v>0</v>
      </c>
      <c r="T366" t="n">
        <v>0.544</v>
      </c>
      <c r="U366" t="n">
        <v>7</v>
      </c>
      <c r="V366" t="n">
        <v>6</v>
      </c>
      <c r="W366" t="n">
        <v>11.02</v>
      </c>
      <c r="X366" t="n">
        <v>0</v>
      </c>
      <c r="Y366" t="n">
        <v>0</v>
      </c>
      <c r="AA366" t="n">
        <v>0</v>
      </c>
      <c r="AB366" t="n">
        <v>2</v>
      </c>
      <c r="AC366" t="n">
        <v>0</v>
      </c>
      <c r="AD366" t="n">
        <v>0</v>
      </c>
      <c r="AE366" t="n">
        <v>0</v>
      </c>
      <c r="AF366" t="n">
        <v>19</v>
      </c>
      <c r="AG366" t="n">
        <v>19</v>
      </c>
      <c r="AH366" t="n">
        <v>0</v>
      </c>
      <c r="AI366" t="n">
        <v>6</v>
      </c>
      <c r="AJ366" t="n">
        <v>0</v>
      </c>
      <c r="AK366" t="n">
        <v>0</v>
      </c>
      <c r="AL366" t="n">
        <v>5</v>
      </c>
      <c r="AM366" t="n">
        <v>9.183999999999999</v>
      </c>
      <c r="AN366" t="n">
        <v>0</v>
      </c>
      <c r="AO366" t="n">
        <v>0</v>
      </c>
      <c r="AS366" t="n">
        <v>0</v>
      </c>
      <c r="AT366" t="n">
        <v>0</v>
      </c>
      <c r="AU366" t="n">
        <v>7</v>
      </c>
      <c r="AV366" t="n">
        <v>0</v>
      </c>
      <c r="AW366" t="n">
        <v>0.38</v>
      </c>
      <c r="AX366" t="n">
        <v>1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H366" t="n">
        <v>1</v>
      </c>
      <c r="BI366" t="n">
        <v>0</v>
      </c>
      <c r="BJ366" t="n">
        <v>0</v>
      </c>
      <c r="BK366" t="n">
        <v>0</v>
      </c>
      <c r="BL366" t="n">
        <v>0</v>
      </c>
      <c r="BO366" t="n">
        <v>0</v>
      </c>
      <c r="BS366" t="n">
        <v>4</v>
      </c>
      <c r="BT366" t="n">
        <v>7.347</v>
      </c>
      <c r="BW366" t="n">
        <v>0.07000000000000001</v>
      </c>
      <c r="BX366" t="n">
        <v>0.082</v>
      </c>
      <c r="BY366" t="n">
        <v>0.076</v>
      </c>
      <c r="BZ366" t="n">
        <v>0.14</v>
      </c>
      <c r="CA366" t="n">
        <v>0.076</v>
      </c>
      <c r="CB366" t="n">
        <v>0.14</v>
      </c>
      <c r="CC366" t="n">
        <v>1</v>
      </c>
      <c r="CE366" t="n">
        <v>1</v>
      </c>
      <c r="CI366" t="n">
        <v>0.082</v>
      </c>
      <c r="CJ366" t="n">
        <v>0</v>
      </c>
      <c r="CK366" t="n">
        <v>0</v>
      </c>
      <c r="CL366" t="n">
        <v>4</v>
      </c>
      <c r="CM366" t="n">
        <v>1</v>
      </c>
      <c r="CN366" t="n">
        <v>1</v>
      </c>
      <c r="CR366" t="n">
        <v>4</v>
      </c>
      <c r="CS366" t="n">
        <v>1</v>
      </c>
      <c r="CW366" t="n">
        <v>1.1</v>
      </c>
      <c r="CX366" t="n">
        <v>2.02</v>
      </c>
      <c r="CY366" t="n">
        <v>0</v>
      </c>
      <c r="DB366" t="n">
        <v>0</v>
      </c>
      <c r="DF366" t="n">
        <v>1</v>
      </c>
      <c r="DG366" t="n">
        <v>0</v>
      </c>
      <c r="DH366" t="n">
        <v>4</v>
      </c>
      <c r="DI366" t="n">
        <v>2</v>
      </c>
      <c r="DO366" t="n">
        <v>7.3</v>
      </c>
      <c r="DP366" t="n">
        <v>9.16</v>
      </c>
      <c r="DQ366" t="n">
        <v>4.59</v>
      </c>
      <c r="DR366" t="n">
        <v>9.18</v>
      </c>
      <c r="DS366" t="n">
        <v>-0.02</v>
      </c>
      <c r="DT366" t="n">
        <v>42</v>
      </c>
      <c r="DU366" t="n">
        <v>1.1</v>
      </c>
      <c r="DV366" t="inlineStr">
        <is>
          <t>flat</t>
        </is>
      </c>
      <c r="DW366" t="n">
        <v>85.5</v>
      </c>
      <c r="DX366" t="n">
        <v>115</v>
      </c>
      <c r="DY366" t="n">
        <v>41.72</v>
      </c>
      <c r="DZ366" t="n">
        <v>56</v>
      </c>
      <c r="EA366" t="n">
        <v>115</v>
      </c>
      <c r="EB366" t="n">
        <v>2</v>
      </c>
      <c r="EC366" t="n">
        <v>1</v>
      </c>
      <c r="ED366" t="n">
        <v>0</v>
      </c>
      <c r="EE366" t="n">
        <v>457</v>
      </c>
      <c r="EG366" t="n">
        <v>12.2</v>
      </c>
      <c r="EH366" t="n">
        <v>49</v>
      </c>
      <c r="EJ366" t="n">
        <v>644.8</v>
      </c>
      <c r="EK366" t="n">
        <v>644.8</v>
      </c>
      <c r="EL366" t="n">
        <v>8.199999999999999</v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n">
        <v>4</v>
      </c>
      <c r="F367" t="b">
        <v>1</v>
      </c>
      <c r="G367" t="b">
        <v>1</v>
      </c>
      <c r="I367" t="inlineStr">
        <is>
          <t>a</t>
        </is>
      </c>
      <c r="L367" t="inlineStr">
        <is>
          <t>p606798</t>
        </is>
      </c>
      <c r="M367" t="n">
        <v>38</v>
      </c>
      <c r="Q367" t="n">
        <v>83</v>
      </c>
      <c r="R367" t="n">
        <v>6</v>
      </c>
      <c r="S367" t="n">
        <v>1</v>
      </c>
      <c r="T367" t="n">
        <v>0.922</v>
      </c>
      <c r="U367" t="n">
        <v>13.8</v>
      </c>
      <c r="V367" t="n">
        <v>5</v>
      </c>
      <c r="W367" t="n">
        <v>5.422</v>
      </c>
      <c r="X367" t="n">
        <v>0</v>
      </c>
      <c r="Y367" t="n">
        <v>0</v>
      </c>
      <c r="AA367" t="n">
        <v>0</v>
      </c>
      <c r="AB367" t="n">
        <v>3</v>
      </c>
      <c r="AC367" t="n">
        <v>0</v>
      </c>
      <c r="AD367" t="n">
        <v>0</v>
      </c>
      <c r="AE367" t="n">
        <v>0</v>
      </c>
      <c r="AF367" t="n">
        <v>12</v>
      </c>
      <c r="AG367" t="n">
        <v>11</v>
      </c>
      <c r="AH367" t="n">
        <v>-1</v>
      </c>
      <c r="AI367" t="n">
        <v>5</v>
      </c>
      <c r="AJ367" t="n">
        <v>0</v>
      </c>
      <c r="AK367" t="n">
        <v>0</v>
      </c>
      <c r="AL367" t="n">
        <v>10</v>
      </c>
      <c r="AM367" t="n">
        <v>10.843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0.026</v>
      </c>
      <c r="AT367" t="n">
        <v>0</v>
      </c>
      <c r="AU367" t="n">
        <v>6</v>
      </c>
      <c r="AV367" t="n">
        <v>0</v>
      </c>
      <c r="AW367" t="n">
        <v>0.34</v>
      </c>
      <c r="AX367" t="n">
        <v>1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H367" t="n">
        <v>0.995</v>
      </c>
      <c r="BI367" t="n">
        <v>0.04</v>
      </c>
      <c r="BJ367" t="n">
        <v>0</v>
      </c>
      <c r="BK367" t="n">
        <v>0</v>
      </c>
      <c r="BL367" t="n">
        <v>0</v>
      </c>
      <c r="BO367" t="n">
        <v>0</v>
      </c>
      <c r="BS367" t="n">
        <v>1</v>
      </c>
      <c r="BT367" t="n">
        <v>1.084</v>
      </c>
      <c r="BW367" t="n">
        <v>0.01</v>
      </c>
      <c r="BX367" t="n">
        <v>0</v>
      </c>
      <c r="BY367" t="n">
        <v>0.005</v>
      </c>
      <c r="BZ367" t="n">
        <v>0.005</v>
      </c>
      <c r="CA367" t="n">
        <v>0.005</v>
      </c>
      <c r="CB367" t="n">
        <v>0.005</v>
      </c>
      <c r="CC367" t="n">
        <v>0</v>
      </c>
      <c r="CI367" t="n">
        <v>0.436</v>
      </c>
      <c r="CJ367" t="n">
        <v>0.436</v>
      </c>
      <c r="CK367" t="n">
        <v>5</v>
      </c>
      <c r="CL367" t="n">
        <v>4</v>
      </c>
      <c r="CM367" t="n">
        <v>5</v>
      </c>
      <c r="CN367" t="n">
        <v>4</v>
      </c>
      <c r="CO367" t="n">
        <v>0</v>
      </c>
      <c r="CP367" t="n">
        <v>4</v>
      </c>
      <c r="CQ367" t="n">
        <v>1</v>
      </c>
      <c r="CR367" t="n">
        <v>5</v>
      </c>
      <c r="CV367" t="n">
        <v>1</v>
      </c>
      <c r="CW367" t="n">
        <v>2.74</v>
      </c>
      <c r="CX367" t="n">
        <v>2.971</v>
      </c>
      <c r="CY367" t="n">
        <v>0</v>
      </c>
      <c r="DB367" t="n">
        <v>0</v>
      </c>
      <c r="DF367" t="n">
        <v>0</v>
      </c>
      <c r="DG367" t="n">
        <v>0</v>
      </c>
      <c r="DH367" t="n">
        <v>1</v>
      </c>
      <c r="DM367" t="n">
        <v>1</v>
      </c>
      <c r="DO367" t="n">
        <v>1.6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inlineStr">
        <is>
          <t>flat</t>
        </is>
      </c>
      <c r="EG367" t="n">
        <v>83</v>
      </c>
      <c r="EJ367" t="n">
        <v>16600</v>
      </c>
      <c r="EK367" t="n">
        <v>16600</v>
      </c>
      <c r="EL367" t="n">
        <v>16.6</v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n">
        <v>5</v>
      </c>
      <c r="F368" t="b">
        <v>1</v>
      </c>
      <c r="G368" t="b">
        <v>1</v>
      </c>
      <c r="H368" t="n">
        <v>21.1</v>
      </c>
      <c r="I368" t="inlineStr">
        <is>
          <t>a</t>
        </is>
      </c>
      <c r="L368" t="inlineStr">
        <is>
          <t>p494307</t>
        </is>
      </c>
      <c r="M368" t="n">
        <v>394</v>
      </c>
      <c r="Q368" t="n">
        <v>135</v>
      </c>
      <c r="R368" t="n">
        <v>2</v>
      </c>
      <c r="S368" t="n">
        <v>2</v>
      </c>
      <c r="T368" t="n">
        <v>1.5</v>
      </c>
      <c r="U368" t="n">
        <v>67.5</v>
      </c>
      <c r="V368" t="n">
        <v>5</v>
      </c>
      <c r="W368" t="n">
        <v>3.333</v>
      </c>
      <c r="X368" t="n">
        <v>0</v>
      </c>
      <c r="Y368" t="n">
        <v>0</v>
      </c>
      <c r="AA368" t="n">
        <v>0</v>
      </c>
      <c r="AB368" t="n">
        <v>1</v>
      </c>
      <c r="AC368" t="n">
        <v>0</v>
      </c>
      <c r="AD368" t="n">
        <v>0</v>
      </c>
      <c r="AE368" t="n">
        <v>0</v>
      </c>
      <c r="AF368" t="n">
        <v>27</v>
      </c>
      <c r="AG368" t="n">
        <v>26</v>
      </c>
      <c r="AH368" t="n">
        <v>-1</v>
      </c>
      <c r="AI368" t="n">
        <v>5</v>
      </c>
      <c r="AJ368" t="n">
        <v>0</v>
      </c>
      <c r="AK368" t="n">
        <v>0</v>
      </c>
      <c r="AL368" t="n">
        <v>11</v>
      </c>
      <c r="AM368" t="n">
        <v>7.333</v>
      </c>
      <c r="AN368" t="n">
        <v>1</v>
      </c>
      <c r="AO368" t="n">
        <v>2</v>
      </c>
      <c r="AP368" t="n">
        <v>0.5</v>
      </c>
      <c r="AQ368" t="n">
        <v>0.5</v>
      </c>
      <c r="AR368" t="n">
        <v>0</v>
      </c>
      <c r="AS368" t="n">
        <v>0.053</v>
      </c>
      <c r="AT368" t="n">
        <v>0.5</v>
      </c>
      <c r="AU368" t="n">
        <v>1</v>
      </c>
      <c r="AV368" t="n">
        <v>0</v>
      </c>
      <c r="AW368" t="n">
        <v>0.96</v>
      </c>
      <c r="AX368" t="n">
        <v>4</v>
      </c>
      <c r="AY368" t="n">
        <v>0.26</v>
      </c>
      <c r="AZ368" t="n">
        <v>0.381</v>
      </c>
      <c r="BA368" t="n">
        <v>0.321</v>
      </c>
      <c r="BB368" t="n">
        <v>0.381</v>
      </c>
      <c r="BC368" t="n">
        <v>0.173</v>
      </c>
      <c r="BD368" t="n">
        <v>0.254</v>
      </c>
      <c r="BE368" t="n">
        <v>0.214</v>
      </c>
      <c r="BF368" t="n">
        <v>0.3</v>
      </c>
      <c r="BG368" t="n">
        <v>0.2</v>
      </c>
      <c r="BH368" t="n">
        <v>1.005</v>
      </c>
      <c r="BI368" t="n">
        <v>0.26</v>
      </c>
      <c r="BJ368" t="n">
        <v>0.261</v>
      </c>
      <c r="BK368" t="n">
        <v>0.174</v>
      </c>
      <c r="BL368" t="n">
        <v>-0.321</v>
      </c>
      <c r="BM368" t="n">
        <v>0.04</v>
      </c>
      <c r="BN368" t="n">
        <v>-0.3</v>
      </c>
      <c r="BO368" t="n">
        <v>-0.121</v>
      </c>
      <c r="BP368" t="n">
        <v>2</v>
      </c>
      <c r="BQ368" t="n">
        <v>1</v>
      </c>
      <c r="BR368" t="n">
        <v>1</v>
      </c>
      <c r="BS368" t="n">
        <v>3</v>
      </c>
      <c r="BT368" t="n">
        <v>2</v>
      </c>
      <c r="BW368" t="n">
        <v>0.06</v>
      </c>
      <c r="BX368" t="n">
        <v>0.032</v>
      </c>
      <c r="BY368" t="n">
        <v>0.046</v>
      </c>
      <c r="BZ368" t="n">
        <v>0.031</v>
      </c>
      <c r="CA368" t="n">
        <v>0.367</v>
      </c>
      <c r="CB368" t="n">
        <v>0.245</v>
      </c>
      <c r="CC368" t="n">
        <v>1</v>
      </c>
      <c r="CE368" t="n">
        <v>1</v>
      </c>
      <c r="CI368" t="n">
        <v>0.368</v>
      </c>
      <c r="CJ368" t="n">
        <v>0.368</v>
      </c>
      <c r="CK368" t="n">
        <v>8</v>
      </c>
      <c r="CL368" t="n">
        <v>4</v>
      </c>
      <c r="CM368" t="n">
        <v>3</v>
      </c>
      <c r="CN368" t="n">
        <v>3</v>
      </c>
      <c r="CO368" t="n">
        <v>4</v>
      </c>
      <c r="CP368" t="n">
        <v>4</v>
      </c>
      <c r="CR368" t="n">
        <v>9</v>
      </c>
      <c r="CS368" t="n">
        <v>3</v>
      </c>
      <c r="CW368" t="n">
        <v>1.54</v>
      </c>
      <c r="CX368" t="n">
        <v>1.027</v>
      </c>
      <c r="CY368" t="n">
        <v>0</v>
      </c>
      <c r="DB368" t="n">
        <v>0</v>
      </c>
      <c r="DF368" t="n">
        <v>0</v>
      </c>
      <c r="DG368" t="n">
        <v>0</v>
      </c>
      <c r="DL368" t="n">
        <v>3</v>
      </c>
      <c r="DM368" t="n">
        <v>1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inlineStr">
        <is>
          <t>flat</t>
        </is>
      </c>
      <c r="ED368" t="n">
        <v>100</v>
      </c>
      <c r="EE368" t="n">
        <v>324</v>
      </c>
      <c r="EF368" t="n">
        <v>67.5</v>
      </c>
      <c r="EG368" t="n">
        <v>45</v>
      </c>
      <c r="EH368" t="n">
        <v>135</v>
      </c>
      <c r="EI368" t="n">
        <v>421</v>
      </c>
      <c r="EJ368" t="n">
        <v>2929.6</v>
      </c>
      <c r="EK368" t="n">
        <v>368.1</v>
      </c>
      <c r="EL368" t="n">
        <v>27</v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n">
        <v>5.5</v>
      </c>
      <c r="F369" t="b">
        <v>1</v>
      </c>
      <c r="G369" t="b">
        <v>1</v>
      </c>
      <c r="H369" t="n">
        <v>23.4</v>
      </c>
      <c r="I369" t="inlineStr">
        <is>
          <t>a</t>
        </is>
      </c>
      <c r="L369" t="inlineStr">
        <is>
          <t>p444884</t>
        </is>
      </c>
      <c r="M369" t="n">
        <v>383</v>
      </c>
      <c r="Q369" t="n">
        <v>110</v>
      </c>
      <c r="R369" t="n">
        <v>5</v>
      </c>
      <c r="S369" t="n">
        <v>1</v>
      </c>
      <c r="T369" t="n">
        <v>1.222</v>
      </c>
      <c r="U369" t="n">
        <v>22</v>
      </c>
      <c r="V369" t="n">
        <v>5</v>
      </c>
      <c r="W369" t="n">
        <v>4.091</v>
      </c>
      <c r="X369" t="n">
        <v>0</v>
      </c>
      <c r="Y369" t="n">
        <v>0</v>
      </c>
      <c r="AA369" t="n">
        <v>0</v>
      </c>
      <c r="AB369" t="n">
        <v>2</v>
      </c>
      <c r="AC369" t="n">
        <v>0</v>
      </c>
      <c r="AD369" t="n">
        <v>0</v>
      </c>
      <c r="AE369" t="n">
        <v>0</v>
      </c>
      <c r="AF369" t="n">
        <v>17</v>
      </c>
      <c r="AG369" t="n">
        <v>17</v>
      </c>
      <c r="AH369" t="n">
        <v>0</v>
      </c>
      <c r="AI369" t="n">
        <v>5</v>
      </c>
      <c r="AJ369" t="n">
        <v>0</v>
      </c>
      <c r="AK369" t="n">
        <v>0</v>
      </c>
      <c r="AL369" t="n">
        <v>6</v>
      </c>
      <c r="AM369" t="n">
        <v>4.909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0.026</v>
      </c>
      <c r="AT369" t="n">
        <v>0</v>
      </c>
      <c r="AU369" t="n">
        <v>5</v>
      </c>
      <c r="AV369" t="n">
        <v>0</v>
      </c>
      <c r="AW369" t="n">
        <v>0.34</v>
      </c>
      <c r="AX369" t="n">
        <v>1</v>
      </c>
      <c r="AY369" t="n">
        <v>0.29</v>
      </c>
      <c r="AZ369" t="n">
        <v>0.29</v>
      </c>
      <c r="BA369" t="n">
        <v>0.29</v>
      </c>
      <c r="BB369" t="n">
        <v>0.29</v>
      </c>
      <c r="BC369" t="n">
        <v>0.237</v>
      </c>
      <c r="BD369" t="n">
        <v>0.237</v>
      </c>
      <c r="BE369" t="n">
        <v>0.237</v>
      </c>
      <c r="BH369" t="n">
        <v>0.979</v>
      </c>
      <c r="BI369" t="n">
        <v>6.91</v>
      </c>
      <c r="BJ369" t="n">
        <v>0.284</v>
      </c>
      <c r="BK369" t="n">
        <v>0.232</v>
      </c>
      <c r="BL369" t="n">
        <v>-0.29</v>
      </c>
      <c r="BO369" t="n">
        <v>0</v>
      </c>
      <c r="BP369" t="n">
        <v>5</v>
      </c>
      <c r="BS369" t="n">
        <v>9</v>
      </c>
      <c r="BT369" t="n">
        <v>7.364</v>
      </c>
      <c r="BW369" t="n">
        <v>0.08</v>
      </c>
      <c r="BX369" t="n">
        <v>0.094</v>
      </c>
      <c r="BY369" t="n">
        <v>0.08699999999999999</v>
      </c>
      <c r="BZ369" t="n">
        <v>0.07099999999999999</v>
      </c>
      <c r="CA369" t="n">
        <v>0.377</v>
      </c>
      <c r="CB369" t="n">
        <v>0.308</v>
      </c>
      <c r="CC369" t="n">
        <v>1</v>
      </c>
      <c r="CE369" t="n">
        <v>1</v>
      </c>
      <c r="CF369" t="n">
        <v>1</v>
      </c>
      <c r="CI369" t="n">
        <v>0.738</v>
      </c>
      <c r="CJ369" t="n">
        <v>0.413</v>
      </c>
      <c r="CK369" t="n">
        <v>2</v>
      </c>
      <c r="CL369" t="n">
        <v>4</v>
      </c>
      <c r="CM369" t="n">
        <v>0</v>
      </c>
      <c r="CP369" t="n">
        <v>1</v>
      </c>
      <c r="CQ369" t="n">
        <v>1</v>
      </c>
      <c r="CR369" t="n">
        <v>3</v>
      </c>
      <c r="CS369" t="n">
        <v>1</v>
      </c>
      <c r="CW369" t="n">
        <v>1.74</v>
      </c>
      <c r="CX369" t="n">
        <v>1.424</v>
      </c>
      <c r="CY369" t="n">
        <v>0</v>
      </c>
      <c r="DB369" t="n">
        <v>0</v>
      </c>
      <c r="DF369" t="n">
        <v>0</v>
      </c>
      <c r="DG369" t="n">
        <v>0</v>
      </c>
      <c r="DI369" t="n">
        <v>2</v>
      </c>
      <c r="DO369" t="n">
        <v>0.1</v>
      </c>
      <c r="DP369" t="n">
        <v>4.5</v>
      </c>
      <c r="DQ369" t="n">
        <v>2.25</v>
      </c>
      <c r="DR369" t="n">
        <v>4.5</v>
      </c>
      <c r="DS369" t="n">
        <v>0</v>
      </c>
      <c r="DT369" t="n">
        <v>103</v>
      </c>
      <c r="DU369" t="n">
        <v>2.7</v>
      </c>
      <c r="DV369" t="inlineStr">
        <is>
          <t>flat</t>
        </is>
      </c>
      <c r="EF369" t="n">
        <v>22</v>
      </c>
      <c r="EG369" t="n">
        <v>12.2</v>
      </c>
      <c r="EH369" t="n">
        <v>110</v>
      </c>
      <c r="EI369" t="n">
        <v>379.6</v>
      </c>
      <c r="EJ369" t="n">
        <v>1265.5</v>
      </c>
      <c r="EK369" t="n">
        <v>292</v>
      </c>
      <c r="EL369" t="n">
        <v>22</v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n">
        <v>5</v>
      </c>
      <c r="F370" t="b">
        <v>1</v>
      </c>
      <c r="G370" t="b">
        <v>1</v>
      </c>
      <c r="H370" t="n">
        <v>20.4</v>
      </c>
      <c r="I370" t="inlineStr">
        <is>
          <t>u</t>
        </is>
      </c>
      <c r="J370" t="inlineStr">
        <is>
          <t>Has joined Leicester City on loan for the rest of the season</t>
        </is>
      </c>
      <c r="K370" t="n">
        <v>0</v>
      </c>
      <c r="L370" t="inlineStr">
        <is>
          <t>p549074</t>
        </is>
      </c>
      <c r="M370" t="n">
        <v>133</v>
      </c>
      <c r="Q370" t="n">
        <v>57</v>
      </c>
      <c r="R370" t="n">
        <v>6</v>
      </c>
      <c r="S370" t="n">
        <v>0</v>
      </c>
      <c r="T370" t="n">
        <v>0.633</v>
      </c>
      <c r="U370" t="n">
        <v>9.5</v>
      </c>
      <c r="V370" t="n">
        <v>5</v>
      </c>
      <c r="W370" t="n">
        <v>7.895</v>
      </c>
      <c r="X370" t="n">
        <v>0</v>
      </c>
      <c r="Y370" t="n">
        <v>0</v>
      </c>
      <c r="AA370" t="n">
        <v>0</v>
      </c>
      <c r="AB370" t="n">
        <v>2</v>
      </c>
      <c r="AC370" t="n">
        <v>0</v>
      </c>
      <c r="AD370" t="n">
        <v>0</v>
      </c>
      <c r="AE370" t="n">
        <v>0</v>
      </c>
      <c r="AF370" t="n">
        <v>15</v>
      </c>
      <c r="AG370" t="n">
        <v>15</v>
      </c>
      <c r="AH370" t="n">
        <v>0</v>
      </c>
      <c r="AI370" t="n">
        <v>5</v>
      </c>
      <c r="AJ370" t="n">
        <v>0</v>
      </c>
      <c r="AK370" t="n">
        <v>0</v>
      </c>
      <c r="AL370" t="n">
        <v>5</v>
      </c>
      <c r="AM370" t="n">
        <v>7.895</v>
      </c>
      <c r="AN370" t="n">
        <v>0</v>
      </c>
      <c r="AO370" t="n">
        <v>0</v>
      </c>
      <c r="AS370" t="n">
        <v>0</v>
      </c>
      <c r="AT370" t="n">
        <v>0</v>
      </c>
      <c r="AU370" t="n">
        <v>6</v>
      </c>
      <c r="AV370" t="n">
        <v>0</v>
      </c>
      <c r="AW370" t="n">
        <v>0.34</v>
      </c>
      <c r="AX370" t="n">
        <v>1</v>
      </c>
      <c r="AY370" t="n">
        <v>0.04</v>
      </c>
      <c r="AZ370" t="n">
        <v>0.025</v>
      </c>
      <c r="BA370" t="n">
        <v>0.032</v>
      </c>
      <c r="BB370" t="n">
        <v>0.025</v>
      </c>
      <c r="BC370" t="n">
        <v>0.063</v>
      </c>
      <c r="BD370" t="n">
        <v>0.039</v>
      </c>
      <c r="BE370" t="n">
        <v>0.051</v>
      </c>
      <c r="BF370" t="n">
        <v>0.2</v>
      </c>
      <c r="BG370" t="n">
        <v>0.316</v>
      </c>
      <c r="BH370" t="n">
        <v>1.02</v>
      </c>
      <c r="BI370" t="n">
        <v>0.04</v>
      </c>
      <c r="BJ370" t="n">
        <v>0.041</v>
      </c>
      <c r="BK370" t="n">
        <v>0.065</v>
      </c>
      <c r="BL370" t="n">
        <v>-0.032</v>
      </c>
      <c r="BM370" t="n">
        <v>0.16</v>
      </c>
      <c r="BN370" t="n">
        <v>-0.2</v>
      </c>
      <c r="BO370" t="n">
        <v>0.015</v>
      </c>
      <c r="BP370" t="n">
        <v>1</v>
      </c>
      <c r="BQ370" t="n">
        <v>1</v>
      </c>
      <c r="BW370" t="n">
        <v>0.03</v>
      </c>
      <c r="BX370" t="n">
        <v>0</v>
      </c>
      <c r="BY370" t="n">
        <v>0.015</v>
      </c>
      <c r="BZ370" t="n">
        <v>0.024</v>
      </c>
      <c r="CA370" t="n">
        <v>0.047</v>
      </c>
      <c r="CB370" t="n">
        <v>0.075</v>
      </c>
      <c r="CC370" t="n">
        <v>0</v>
      </c>
      <c r="CI370" t="n">
        <v>0.025</v>
      </c>
      <c r="CJ370" t="n">
        <v>0</v>
      </c>
      <c r="CK370" t="n">
        <v>0</v>
      </c>
      <c r="CL370" t="n">
        <v>4</v>
      </c>
      <c r="CM370" t="n">
        <v>1</v>
      </c>
      <c r="CN370" t="n">
        <v>1</v>
      </c>
      <c r="CR370" t="n">
        <v>1</v>
      </c>
      <c r="CW370" t="n">
        <v>1.72</v>
      </c>
      <c r="CX370" t="n">
        <v>2.716</v>
      </c>
      <c r="CY370" t="n">
        <v>0</v>
      </c>
      <c r="DB370" t="n">
        <v>0</v>
      </c>
      <c r="DF370" t="n">
        <v>1</v>
      </c>
      <c r="DG370" t="n">
        <v>0</v>
      </c>
      <c r="DH370" t="n">
        <v>3</v>
      </c>
      <c r="DO370" t="n">
        <v>0</v>
      </c>
      <c r="EF370" t="n">
        <v>57</v>
      </c>
      <c r="EI370" t="n">
        <v>1761.8</v>
      </c>
      <c r="EJ370" t="n">
        <v>3800</v>
      </c>
      <c r="EK370" t="n">
        <v>1203.7</v>
      </c>
      <c r="EL370" t="n">
        <v>11.4</v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n">
        <v>4.5</v>
      </c>
      <c r="F371" t="b">
        <v>1</v>
      </c>
      <c r="G371" t="b">
        <v>1</v>
      </c>
      <c r="I371" t="inlineStr">
        <is>
          <t>a</t>
        </is>
      </c>
      <c r="L371" t="inlineStr">
        <is>
          <t>p597320</t>
        </is>
      </c>
      <c r="M371" t="n">
        <v>132</v>
      </c>
      <c r="Q371" t="n">
        <v>92</v>
      </c>
      <c r="R371" t="n">
        <v>3</v>
      </c>
      <c r="S371" t="n">
        <v>1</v>
      </c>
      <c r="T371" t="n">
        <v>1.022</v>
      </c>
      <c r="U371" t="n">
        <v>30.7</v>
      </c>
      <c r="V371" t="n">
        <v>4</v>
      </c>
      <c r="W371" t="n">
        <v>3.913</v>
      </c>
      <c r="X371" t="n">
        <v>0</v>
      </c>
      <c r="Y371" t="n">
        <v>0</v>
      </c>
      <c r="AA371" t="n">
        <v>0</v>
      </c>
      <c r="AB371" t="n">
        <v>2</v>
      </c>
      <c r="AC371" t="n">
        <v>0</v>
      </c>
      <c r="AD371" t="n">
        <v>0</v>
      </c>
      <c r="AE371" t="n">
        <v>0</v>
      </c>
      <c r="AF371" t="n">
        <v>11</v>
      </c>
      <c r="AG371" t="n">
        <v>10</v>
      </c>
      <c r="AH371" t="n">
        <v>-1</v>
      </c>
      <c r="AI371" t="n">
        <v>4</v>
      </c>
      <c r="AJ371" t="n">
        <v>0</v>
      </c>
      <c r="AK371" t="n">
        <v>0</v>
      </c>
      <c r="AL371" t="n">
        <v>7</v>
      </c>
      <c r="AM371" t="n">
        <v>6.848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0.026</v>
      </c>
      <c r="AT371" t="n">
        <v>0.333</v>
      </c>
      <c r="AU371" t="n">
        <v>3</v>
      </c>
      <c r="AV371" t="n">
        <v>0</v>
      </c>
      <c r="AW371" t="n">
        <v>0.55</v>
      </c>
      <c r="AX371" t="n">
        <v>2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H371" t="n">
        <v>1</v>
      </c>
      <c r="BI371" t="n">
        <v>0</v>
      </c>
      <c r="BJ371" t="n">
        <v>0</v>
      </c>
      <c r="BK371" t="n">
        <v>0</v>
      </c>
      <c r="BL371" t="n">
        <v>0</v>
      </c>
      <c r="BO371" t="n">
        <v>0</v>
      </c>
      <c r="BS371" t="n">
        <v>1</v>
      </c>
      <c r="BT371" t="n">
        <v>0.978</v>
      </c>
      <c r="BW371" t="n">
        <v>0.03</v>
      </c>
      <c r="BX371" t="n">
        <v>0</v>
      </c>
      <c r="BY371" t="n">
        <v>0.015</v>
      </c>
      <c r="BZ371" t="n">
        <v>0.015</v>
      </c>
      <c r="CA371" t="n">
        <v>0.015</v>
      </c>
      <c r="CB371" t="n">
        <v>0.015</v>
      </c>
      <c r="CC371" t="n">
        <v>0</v>
      </c>
      <c r="CI371" t="n">
        <v>0</v>
      </c>
      <c r="CJ371" t="n">
        <v>0</v>
      </c>
      <c r="CK371" t="n">
        <v>3</v>
      </c>
      <c r="CL371" t="n">
        <v>3</v>
      </c>
      <c r="CM371" t="n">
        <v>1</v>
      </c>
      <c r="CN371" t="n">
        <v>0</v>
      </c>
      <c r="CP371" t="n">
        <v>3</v>
      </c>
      <c r="CR371" t="n">
        <v>5</v>
      </c>
      <c r="CS371" t="n">
        <v>2</v>
      </c>
      <c r="CW371" t="n">
        <v>1.04</v>
      </c>
      <c r="CX371" t="n">
        <v>1.017</v>
      </c>
      <c r="CY371" t="n">
        <v>0</v>
      </c>
      <c r="DB371" t="n">
        <v>0</v>
      </c>
      <c r="DF371" t="n">
        <v>0</v>
      </c>
      <c r="DG371" t="n">
        <v>0</v>
      </c>
      <c r="DL371" t="n">
        <v>2</v>
      </c>
      <c r="DM371" t="n">
        <v>2</v>
      </c>
      <c r="DN371" t="n">
        <v>1</v>
      </c>
      <c r="DO371" t="n">
        <v>0.3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inlineStr">
        <is>
          <t>flat</t>
        </is>
      </c>
      <c r="EG371" t="n">
        <v>92</v>
      </c>
      <c r="EJ371" t="n">
        <v>6133.3</v>
      </c>
      <c r="EK371" t="n">
        <v>6133.3</v>
      </c>
      <c r="EL371" t="n">
        <v>23</v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n">
        <v>5</v>
      </c>
      <c r="F372" t="b">
        <v>1</v>
      </c>
      <c r="G372" t="b">
        <v>1</v>
      </c>
      <c r="H372" t="n">
        <v>21.3</v>
      </c>
      <c r="I372" t="inlineStr">
        <is>
          <t>a</t>
        </is>
      </c>
      <c r="L372" t="inlineStr">
        <is>
          <t>p606921</t>
        </is>
      </c>
      <c r="M372" t="n">
        <v>216</v>
      </c>
      <c r="Q372" t="n">
        <v>40</v>
      </c>
      <c r="R372" t="n">
        <v>4</v>
      </c>
      <c r="S372" t="n">
        <v>0</v>
      </c>
      <c r="T372" t="n">
        <v>0.444</v>
      </c>
      <c r="U372" t="n">
        <v>10</v>
      </c>
      <c r="V372" t="n">
        <v>4</v>
      </c>
      <c r="W372" t="n">
        <v>9</v>
      </c>
      <c r="X372" t="n">
        <v>0</v>
      </c>
      <c r="Y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12</v>
      </c>
      <c r="AG372" t="n">
        <v>12</v>
      </c>
      <c r="AH372" t="n">
        <v>0</v>
      </c>
      <c r="AI372" t="n">
        <v>4</v>
      </c>
      <c r="AJ372" t="n">
        <v>0</v>
      </c>
      <c r="AK372" t="n">
        <v>0</v>
      </c>
      <c r="AL372" t="n">
        <v>5</v>
      </c>
      <c r="AM372" t="n">
        <v>11.25</v>
      </c>
      <c r="AN372" t="n">
        <v>0</v>
      </c>
      <c r="AO372" t="n">
        <v>0</v>
      </c>
      <c r="AS372" t="n">
        <v>0</v>
      </c>
      <c r="AT372" t="n">
        <v>0</v>
      </c>
      <c r="AU372" t="n">
        <v>4</v>
      </c>
      <c r="AV372" t="n">
        <v>0</v>
      </c>
      <c r="AW372" t="n">
        <v>0.31</v>
      </c>
      <c r="AX372" t="n">
        <v>1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H372" t="n">
        <v>1.082</v>
      </c>
      <c r="BI372" t="n">
        <v>0.32</v>
      </c>
      <c r="BJ372" t="n">
        <v>0</v>
      </c>
      <c r="BK372" t="n">
        <v>0</v>
      </c>
      <c r="BL372" t="n">
        <v>0</v>
      </c>
      <c r="BO372" t="n">
        <v>0</v>
      </c>
      <c r="BS372" t="n">
        <v>3</v>
      </c>
      <c r="BT372" t="n">
        <v>6.75</v>
      </c>
      <c r="BW372" t="n">
        <v>0.04</v>
      </c>
      <c r="BX372" t="n">
        <v>0</v>
      </c>
      <c r="BY372" t="n">
        <v>0.02</v>
      </c>
      <c r="BZ372" t="n">
        <v>0.045</v>
      </c>
      <c r="CA372" t="n">
        <v>0.02</v>
      </c>
      <c r="CB372" t="n">
        <v>0.045</v>
      </c>
      <c r="CC372" t="n">
        <v>0</v>
      </c>
      <c r="CI372" t="n">
        <v>0</v>
      </c>
      <c r="CJ372" t="n">
        <v>0</v>
      </c>
      <c r="CK372" t="n">
        <v>0</v>
      </c>
      <c r="CL372" t="n">
        <v>2</v>
      </c>
      <c r="CM372" t="n">
        <v>3</v>
      </c>
      <c r="CN372" t="n">
        <v>1</v>
      </c>
      <c r="CR372" t="n">
        <v>6</v>
      </c>
      <c r="CS372" t="n">
        <v>1</v>
      </c>
      <c r="CW372" t="n">
        <v>1.74</v>
      </c>
      <c r="CX372" t="n">
        <v>3.915</v>
      </c>
      <c r="CY372" t="n">
        <v>0</v>
      </c>
      <c r="DB372" t="n">
        <v>0</v>
      </c>
      <c r="DF372" t="n">
        <v>0</v>
      </c>
      <c r="DG372" t="n">
        <v>0</v>
      </c>
      <c r="DH372" t="n">
        <v>2</v>
      </c>
      <c r="DI372" t="n">
        <v>2</v>
      </c>
      <c r="DL372" t="n">
        <v>1</v>
      </c>
      <c r="DM372" t="n">
        <v>2</v>
      </c>
      <c r="DO372" t="n">
        <v>0.1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inlineStr">
        <is>
          <t>flat</t>
        </is>
      </c>
      <c r="DW372" t="n">
        <v>72</v>
      </c>
      <c r="DX372" t="n">
        <v>72</v>
      </c>
      <c r="DZ372" t="n">
        <v>72</v>
      </c>
      <c r="EA372" t="n">
        <v>72</v>
      </c>
      <c r="EB372" t="n">
        <v>1</v>
      </c>
      <c r="EC372" t="n">
        <v>0.5</v>
      </c>
      <c r="ED372" t="n">
        <v>0</v>
      </c>
      <c r="EE372" t="n">
        <v>325</v>
      </c>
      <c r="EG372" t="n">
        <v>13.3</v>
      </c>
      <c r="EJ372" t="n">
        <v>2000</v>
      </c>
      <c r="EK372" t="n">
        <v>2000</v>
      </c>
      <c r="EL372" t="n">
        <v>10</v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n">
        <v>5</v>
      </c>
      <c r="F373" t="b">
        <v>1</v>
      </c>
      <c r="G373" t="b">
        <v>1</v>
      </c>
      <c r="H373" t="n">
        <v>20.3</v>
      </c>
      <c r="I373" t="inlineStr">
        <is>
          <t>a</t>
        </is>
      </c>
      <c r="L373" t="inlineStr">
        <is>
          <t>p653481</t>
        </is>
      </c>
      <c r="M373" t="n">
        <v>52</v>
      </c>
      <c r="Q373" t="n">
        <v>47</v>
      </c>
      <c r="R373" t="n">
        <v>3</v>
      </c>
      <c r="S373" t="n">
        <v>0</v>
      </c>
      <c r="T373" t="n">
        <v>0.522</v>
      </c>
      <c r="U373" t="n">
        <v>15.7</v>
      </c>
      <c r="V373" t="n">
        <v>3</v>
      </c>
      <c r="W373" t="n">
        <v>5.745</v>
      </c>
      <c r="X373" t="n">
        <v>0</v>
      </c>
      <c r="Y373" t="n">
        <v>0</v>
      </c>
      <c r="AA373" t="n">
        <v>0</v>
      </c>
      <c r="AB373" t="n">
        <v>2</v>
      </c>
      <c r="AC373" t="n">
        <v>0</v>
      </c>
      <c r="AD373" t="n">
        <v>0</v>
      </c>
      <c r="AE373" t="n">
        <v>0</v>
      </c>
      <c r="AF373" t="n">
        <v>11</v>
      </c>
      <c r="AG373" t="n">
        <v>11</v>
      </c>
      <c r="AH373" t="n">
        <v>0</v>
      </c>
      <c r="AI373" t="n">
        <v>3</v>
      </c>
      <c r="AJ373" t="n">
        <v>0</v>
      </c>
      <c r="AK373" t="n">
        <v>0</v>
      </c>
      <c r="AL373" t="n">
        <v>4</v>
      </c>
      <c r="AM373" t="n">
        <v>7.66</v>
      </c>
      <c r="AN373" t="n">
        <v>0</v>
      </c>
      <c r="AO373" t="n">
        <v>0</v>
      </c>
      <c r="AS373" t="n">
        <v>0</v>
      </c>
      <c r="AT373" t="n">
        <v>0</v>
      </c>
      <c r="AU373" t="n">
        <v>3</v>
      </c>
      <c r="AV373" t="n">
        <v>0</v>
      </c>
      <c r="AW373" t="n">
        <v>0.38</v>
      </c>
      <c r="AX373" t="n">
        <v>1</v>
      </c>
      <c r="AY373" t="n">
        <v>0.05</v>
      </c>
      <c r="AZ373" t="n">
        <v>0.053</v>
      </c>
      <c r="BA373" t="n">
        <v>0.051</v>
      </c>
      <c r="BB373" t="n">
        <v>0.053</v>
      </c>
      <c r="BC373" t="n">
        <v>0.096</v>
      </c>
      <c r="BD373" t="n">
        <v>0.101</v>
      </c>
      <c r="BE373" t="n">
        <v>0.098</v>
      </c>
      <c r="BH373" t="n">
        <v>0.994</v>
      </c>
      <c r="BI373" t="n">
        <v>0.05</v>
      </c>
      <c r="BJ373" t="n">
        <v>0.05</v>
      </c>
      <c r="BK373" t="n">
        <v>0.096</v>
      </c>
      <c r="BL373" t="n">
        <v>-0.051</v>
      </c>
      <c r="BO373" t="n">
        <v>-0.003</v>
      </c>
      <c r="BP373" t="n">
        <v>1</v>
      </c>
      <c r="BS373" t="n">
        <v>4</v>
      </c>
      <c r="BT373" t="n">
        <v>7.66</v>
      </c>
      <c r="BW373" t="n">
        <v>0.05</v>
      </c>
      <c r="BX373" t="n">
        <v>0</v>
      </c>
      <c r="BY373" t="n">
        <v>0.025</v>
      </c>
      <c r="BZ373" t="n">
        <v>0.048</v>
      </c>
      <c r="CA373" t="n">
        <v>0.076</v>
      </c>
      <c r="CB373" t="n">
        <v>0.146</v>
      </c>
      <c r="CC373" t="n">
        <v>0</v>
      </c>
      <c r="CI373" t="n">
        <v>0.104</v>
      </c>
      <c r="CJ373" t="n">
        <v>0.051</v>
      </c>
      <c r="CK373" t="n">
        <v>1</v>
      </c>
      <c r="CL373" t="n">
        <v>3</v>
      </c>
      <c r="CM373" t="n">
        <v>0</v>
      </c>
      <c r="CO373" t="n">
        <v>1</v>
      </c>
      <c r="CR373" t="n">
        <v>3</v>
      </c>
      <c r="CW373" t="n">
        <v>1.87</v>
      </c>
      <c r="CX373" t="n">
        <v>3.581</v>
      </c>
      <c r="CY373" t="n">
        <v>0</v>
      </c>
      <c r="DB373" t="n">
        <v>0</v>
      </c>
      <c r="DF373" t="n">
        <v>0</v>
      </c>
      <c r="DG373" t="n">
        <v>0</v>
      </c>
      <c r="DI373" t="n">
        <v>1</v>
      </c>
      <c r="DL373" t="n">
        <v>2</v>
      </c>
      <c r="DO373" t="n">
        <v>0</v>
      </c>
      <c r="DP373" t="n">
        <v>9.35</v>
      </c>
      <c r="DQ373" t="n">
        <v>4.75</v>
      </c>
      <c r="DR373" t="n">
        <v>9.5</v>
      </c>
      <c r="DS373" t="n">
        <v>-0.15</v>
      </c>
      <c r="DT373" t="n">
        <v>116</v>
      </c>
      <c r="DU373" t="n">
        <v>3.04</v>
      </c>
      <c r="DV373" t="inlineStr">
        <is>
          <t>flat</t>
        </is>
      </c>
      <c r="DW373" t="n">
        <v>87.27</v>
      </c>
      <c r="DZ373" t="n">
        <v>87.27</v>
      </c>
      <c r="EA373" t="n">
        <v>87.27</v>
      </c>
      <c r="EB373" t="n">
        <v>1</v>
      </c>
      <c r="EC373" t="n">
        <v>0.5</v>
      </c>
      <c r="ED373" t="n">
        <v>0</v>
      </c>
      <c r="EE373" t="n">
        <v>326</v>
      </c>
      <c r="EF373" t="n">
        <v>47</v>
      </c>
      <c r="EG373" t="n">
        <v>11.8</v>
      </c>
      <c r="EI373" t="n">
        <v>914.4</v>
      </c>
      <c r="EJ373" t="n">
        <v>1880</v>
      </c>
      <c r="EK373" t="n">
        <v>615.2</v>
      </c>
      <c r="EL373" t="n">
        <v>15.7</v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n">
        <v>4</v>
      </c>
      <c r="F374" t="b">
        <v>1</v>
      </c>
      <c r="G374" t="b">
        <v>1</v>
      </c>
      <c r="H374" t="n">
        <v>20.2</v>
      </c>
      <c r="I374" t="inlineStr">
        <is>
          <t>a</t>
        </is>
      </c>
      <c r="L374" t="inlineStr">
        <is>
          <t>p616221</t>
        </is>
      </c>
      <c r="M374" t="n">
        <v>511</v>
      </c>
      <c r="Q374" t="n">
        <v>142</v>
      </c>
      <c r="R374" t="n">
        <v>4</v>
      </c>
      <c r="S374" t="n">
        <v>2</v>
      </c>
      <c r="T374" t="n">
        <v>1.578</v>
      </c>
      <c r="U374" t="n">
        <v>35.5</v>
      </c>
      <c r="V374" t="n">
        <v>3</v>
      </c>
      <c r="W374" t="n">
        <v>1.901</v>
      </c>
      <c r="X374" t="n">
        <v>0</v>
      </c>
      <c r="Y374" t="n">
        <v>0</v>
      </c>
      <c r="AA374" t="n">
        <v>0</v>
      </c>
      <c r="AB374" t="n">
        <v>3</v>
      </c>
      <c r="AC374" t="n">
        <v>0</v>
      </c>
      <c r="AD374" t="n">
        <v>0</v>
      </c>
      <c r="AE374" t="n">
        <v>0</v>
      </c>
      <c r="AF374" t="n">
        <v>0</v>
      </c>
      <c r="AG374" t="n">
        <v>-1</v>
      </c>
      <c r="AH374" t="n">
        <v>-1</v>
      </c>
      <c r="AI374" t="n">
        <v>3</v>
      </c>
      <c r="AJ374" t="n">
        <v>0</v>
      </c>
      <c r="AK374" t="n">
        <v>0</v>
      </c>
      <c r="AL374" t="n">
        <v>6</v>
      </c>
      <c r="AM374" t="n">
        <v>3.803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0.053</v>
      </c>
      <c r="AT374" t="n">
        <v>0</v>
      </c>
      <c r="AU374" t="n">
        <v>4</v>
      </c>
      <c r="AV374" t="n">
        <v>0</v>
      </c>
      <c r="AW374" t="n">
        <v>0.41</v>
      </c>
      <c r="AX374" t="n">
        <v>1</v>
      </c>
      <c r="AY374" t="n">
        <v>0.02</v>
      </c>
      <c r="AZ374" t="n">
        <v>0.012</v>
      </c>
      <c r="BA374" t="n">
        <v>0.016</v>
      </c>
      <c r="BB374" t="n">
        <v>0.012</v>
      </c>
      <c r="BC374" t="n">
        <v>0.013</v>
      </c>
      <c r="BD374" t="n">
        <v>0.007</v>
      </c>
      <c r="BE374" t="n">
        <v>0.01</v>
      </c>
      <c r="BF374" t="n">
        <v>0.2</v>
      </c>
      <c r="BG374" t="n">
        <v>0.127</v>
      </c>
      <c r="BH374" t="n">
        <v>1.022</v>
      </c>
      <c r="BI374" t="n">
        <v>0.02</v>
      </c>
      <c r="BJ374" t="n">
        <v>0.02</v>
      </c>
      <c r="BK374" t="n">
        <v>0.013</v>
      </c>
      <c r="BL374" t="n">
        <v>-0.016</v>
      </c>
      <c r="BM374" t="n">
        <v>0.18</v>
      </c>
      <c r="BN374" t="n">
        <v>-0.2</v>
      </c>
      <c r="BO374" t="n">
        <v>0.008</v>
      </c>
      <c r="BP374" t="n">
        <v>1</v>
      </c>
      <c r="BQ374" t="n">
        <v>1</v>
      </c>
      <c r="BS374" t="n">
        <v>5</v>
      </c>
      <c r="BT374" t="n">
        <v>3.169</v>
      </c>
      <c r="BW374" t="n">
        <v>0.03</v>
      </c>
      <c r="BX374" t="n">
        <v>0.202</v>
      </c>
      <c r="BY374" t="n">
        <v>0.116</v>
      </c>
      <c r="BZ374" t="n">
        <v>0.074</v>
      </c>
      <c r="CA374" t="n">
        <v>0.132</v>
      </c>
      <c r="CB374" t="n">
        <v>0.08400000000000001</v>
      </c>
      <c r="CC374" t="n">
        <v>3</v>
      </c>
      <c r="CE374" t="n">
        <v>3</v>
      </c>
      <c r="CH374" t="n">
        <v>1</v>
      </c>
      <c r="CI374" t="n">
        <v>0.5580000000000001</v>
      </c>
      <c r="CJ374" t="n">
        <v>0.374</v>
      </c>
      <c r="CK374" t="n">
        <v>6</v>
      </c>
      <c r="CL374" t="n">
        <v>3</v>
      </c>
      <c r="CM374" t="n">
        <v>0</v>
      </c>
      <c r="CO374" t="n">
        <v>2</v>
      </c>
      <c r="CP374" t="n">
        <v>4</v>
      </c>
      <c r="CR374" t="n">
        <v>2</v>
      </c>
      <c r="CW374" t="n">
        <v>2.61</v>
      </c>
      <c r="CX374" t="n">
        <v>1.654</v>
      </c>
      <c r="CY374" t="n">
        <v>0</v>
      </c>
      <c r="DB374" t="n">
        <v>0</v>
      </c>
      <c r="DF374" t="n">
        <v>1</v>
      </c>
      <c r="DG374" t="n">
        <v>0</v>
      </c>
      <c r="DH374" t="n">
        <v>3</v>
      </c>
      <c r="DI374" t="n">
        <v>2</v>
      </c>
      <c r="DM374" t="n">
        <v>1</v>
      </c>
      <c r="DO374" t="n">
        <v>0.3</v>
      </c>
      <c r="DP374" t="n">
        <v>10.07</v>
      </c>
      <c r="DQ374" t="n">
        <v>5.23</v>
      </c>
      <c r="DR374" t="n">
        <v>10.46</v>
      </c>
      <c r="DS374" t="n">
        <v>-0.39</v>
      </c>
      <c r="DT374" t="n">
        <v>112</v>
      </c>
      <c r="DU374" t="n">
        <v>2.94</v>
      </c>
      <c r="DV374" t="inlineStr">
        <is>
          <t>flat</t>
        </is>
      </c>
      <c r="EF374" t="n">
        <v>142</v>
      </c>
      <c r="EG374" t="n">
        <v>28.4</v>
      </c>
      <c r="EH374" t="n">
        <v>47.3</v>
      </c>
      <c r="EI374" t="n">
        <v>9003</v>
      </c>
      <c r="EJ374" t="n">
        <v>1222.2</v>
      </c>
      <c r="EK374" t="n">
        <v>1076.1</v>
      </c>
      <c r="EL374" t="n">
        <v>47.3</v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n">
        <v>5</v>
      </c>
      <c r="F375" t="b">
        <v>1</v>
      </c>
      <c r="G375" t="b">
        <v>1</v>
      </c>
      <c r="H375" t="n">
        <v>21.7</v>
      </c>
      <c r="I375" t="inlineStr">
        <is>
          <t>u</t>
        </is>
      </c>
      <c r="J375" t="inlineStr">
        <is>
          <t>Has joined Elche on loan for the rest of the season</t>
        </is>
      </c>
      <c r="K375" t="n">
        <v>0</v>
      </c>
      <c r="L375" t="inlineStr">
        <is>
          <t>p536916</t>
        </is>
      </c>
      <c r="M375" t="n">
        <v>128</v>
      </c>
      <c r="Q375" t="n">
        <v>81</v>
      </c>
      <c r="R375" t="n">
        <v>4</v>
      </c>
      <c r="S375" t="n">
        <v>1</v>
      </c>
      <c r="T375" t="n">
        <v>0.9</v>
      </c>
      <c r="U375" t="n">
        <v>20.2</v>
      </c>
      <c r="V375" t="n">
        <v>3</v>
      </c>
      <c r="W375" t="n">
        <v>3.333</v>
      </c>
      <c r="X375" t="n">
        <v>0</v>
      </c>
      <c r="Y375" t="n">
        <v>0</v>
      </c>
      <c r="AA375" t="n">
        <v>0</v>
      </c>
      <c r="AB375" t="n">
        <v>4</v>
      </c>
      <c r="AC375" t="n">
        <v>0</v>
      </c>
      <c r="AD375" t="n">
        <v>0</v>
      </c>
      <c r="AE375" t="n">
        <v>0</v>
      </c>
      <c r="AF375" t="n">
        <v>9</v>
      </c>
      <c r="AG375" t="n">
        <v>9</v>
      </c>
      <c r="AH375" t="n">
        <v>0</v>
      </c>
      <c r="AI375" t="n">
        <v>3</v>
      </c>
      <c r="AJ375" t="n">
        <v>0</v>
      </c>
      <c r="AK375" t="n">
        <v>0</v>
      </c>
      <c r="AL375" t="n">
        <v>6</v>
      </c>
      <c r="AM375" t="n">
        <v>6.667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0.026</v>
      </c>
      <c r="AT375" t="n">
        <v>0</v>
      </c>
      <c r="AU375" t="n">
        <v>4</v>
      </c>
      <c r="AV375" t="n">
        <v>0</v>
      </c>
      <c r="AW375" t="n">
        <v>0.27</v>
      </c>
      <c r="AX375" t="n">
        <v>1</v>
      </c>
      <c r="AY375" t="n">
        <v>0.06</v>
      </c>
      <c r="AZ375" t="n">
        <v>0.075</v>
      </c>
      <c r="BA375" t="n">
        <v>0.068</v>
      </c>
      <c r="BB375" t="n">
        <v>0.075</v>
      </c>
      <c r="BC375" t="n">
        <v>0.067</v>
      </c>
      <c r="BD375" t="n">
        <v>0.083</v>
      </c>
      <c r="BE375" t="n">
        <v>0.075</v>
      </c>
      <c r="BH375" t="n">
        <v>1.012</v>
      </c>
      <c r="BI375" t="n">
        <v>7.71</v>
      </c>
      <c r="BJ375" t="n">
        <v>0.061</v>
      </c>
      <c r="BK375" t="n">
        <v>0.068</v>
      </c>
      <c r="BL375" t="n">
        <v>-0.068</v>
      </c>
      <c r="BO375" t="n">
        <v>-0.015</v>
      </c>
      <c r="BP375" t="n">
        <v>2</v>
      </c>
      <c r="BS375" t="n">
        <v>8</v>
      </c>
      <c r="BT375" t="n">
        <v>8.888999999999999</v>
      </c>
      <c r="BW375" t="n">
        <v>0.28</v>
      </c>
      <c r="BX375" t="n">
        <v>0.301</v>
      </c>
      <c r="BY375" t="n">
        <v>0.29</v>
      </c>
      <c r="BZ375" t="n">
        <v>0.323</v>
      </c>
      <c r="CA375" t="n">
        <v>0.358</v>
      </c>
      <c r="CB375" t="n">
        <v>0.398</v>
      </c>
      <c r="CC375" t="n">
        <v>3</v>
      </c>
      <c r="CE375" t="n">
        <v>3</v>
      </c>
      <c r="CF375" t="n">
        <v>1</v>
      </c>
      <c r="CH375" t="n">
        <v>2</v>
      </c>
      <c r="CI375" t="n">
        <v>0.295</v>
      </c>
      <c r="CJ375" t="n">
        <v>0.22</v>
      </c>
      <c r="CK375" t="n">
        <v>2</v>
      </c>
      <c r="CL375" t="n">
        <v>3</v>
      </c>
      <c r="CM375" t="n">
        <v>1</v>
      </c>
      <c r="CO375" t="n">
        <v>1</v>
      </c>
      <c r="CQ375" t="n">
        <v>1</v>
      </c>
      <c r="CR375" t="n">
        <v>2</v>
      </c>
      <c r="CS375" t="n">
        <v>1</v>
      </c>
      <c r="CW375" t="n">
        <v>2.51</v>
      </c>
      <c r="CX375" t="n">
        <v>2.789</v>
      </c>
      <c r="CY375" t="n">
        <v>0</v>
      </c>
      <c r="DB375" t="n">
        <v>0</v>
      </c>
      <c r="DF375" t="n">
        <v>1</v>
      </c>
      <c r="DG375" t="n">
        <v>0</v>
      </c>
      <c r="DH375" t="n">
        <v>1</v>
      </c>
      <c r="DO375" t="n">
        <v>0</v>
      </c>
      <c r="EF375" t="n">
        <v>40.5</v>
      </c>
      <c r="EG375" t="n">
        <v>10.1</v>
      </c>
      <c r="EH375" t="n">
        <v>27</v>
      </c>
      <c r="EI375" t="n">
        <v>1199.1</v>
      </c>
      <c r="EJ375" t="n">
        <v>279</v>
      </c>
      <c r="EK375" t="n">
        <v>226.3</v>
      </c>
      <c r="EL375" t="n">
        <v>27</v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n">
        <v>6.5</v>
      </c>
      <c r="F376" t="b">
        <v>1</v>
      </c>
      <c r="G376" t="b">
        <v>1</v>
      </c>
      <c r="H376" t="n">
        <v>29.7</v>
      </c>
      <c r="I376" t="inlineStr">
        <is>
          <t>a</t>
        </is>
      </c>
      <c r="L376" t="inlineStr">
        <is>
          <t>p172780</t>
        </is>
      </c>
      <c r="M376" t="n">
        <v>515</v>
      </c>
      <c r="Q376" t="n">
        <v>34</v>
      </c>
      <c r="R376" t="n">
        <v>3</v>
      </c>
      <c r="S376" t="n">
        <v>0</v>
      </c>
      <c r="T376" t="n">
        <v>0.378</v>
      </c>
      <c r="U376" t="n">
        <v>11.3</v>
      </c>
      <c r="V376" t="n">
        <v>3</v>
      </c>
      <c r="W376" t="n">
        <v>7.941</v>
      </c>
      <c r="X376" t="n">
        <v>0</v>
      </c>
      <c r="Y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5</v>
      </c>
      <c r="AG376" t="n">
        <v>5</v>
      </c>
      <c r="AH376" t="n">
        <v>0</v>
      </c>
      <c r="AI376" t="n">
        <v>3</v>
      </c>
      <c r="AJ376" t="n">
        <v>0</v>
      </c>
      <c r="AK376" t="n">
        <v>0</v>
      </c>
      <c r="AL376" t="n">
        <v>5</v>
      </c>
      <c r="AM376" t="n">
        <v>13.235</v>
      </c>
      <c r="AN376" t="n">
        <v>0</v>
      </c>
      <c r="AO376" t="n">
        <v>0</v>
      </c>
      <c r="AS376" t="n">
        <v>0</v>
      </c>
      <c r="AT376" t="n">
        <v>0</v>
      </c>
      <c r="AU376" t="n">
        <v>3</v>
      </c>
      <c r="AV376" t="n">
        <v>0</v>
      </c>
      <c r="AW376" t="n">
        <v>0.27</v>
      </c>
      <c r="AX376" t="n">
        <v>1</v>
      </c>
      <c r="AY376" t="n">
        <v>0.21</v>
      </c>
      <c r="AZ376" t="n">
        <v>0.546</v>
      </c>
      <c r="BA376" t="n">
        <v>0.378</v>
      </c>
      <c r="BB376" t="n">
        <v>0.546</v>
      </c>
      <c r="BC376" t="n">
        <v>0.556</v>
      </c>
      <c r="BD376" t="n">
        <v>1.445</v>
      </c>
      <c r="BE376" t="n">
        <v>1.001</v>
      </c>
      <c r="BH376" t="n">
        <v>1.06</v>
      </c>
      <c r="BI376" t="n">
        <v>20.78</v>
      </c>
      <c r="BJ376" t="n">
        <v>0.223</v>
      </c>
      <c r="BK376" t="n">
        <v>0.59</v>
      </c>
      <c r="BL376" t="n">
        <v>-0.378</v>
      </c>
      <c r="BO376" t="n">
        <v>-0.336</v>
      </c>
      <c r="BP376" t="n">
        <v>2</v>
      </c>
      <c r="BR376" t="n">
        <v>1</v>
      </c>
      <c r="BS376" t="n">
        <v>5</v>
      </c>
      <c r="BT376" t="n">
        <v>13.235</v>
      </c>
      <c r="BW376" t="n">
        <v>0.06</v>
      </c>
      <c r="BX376" t="n">
        <v>0</v>
      </c>
      <c r="BY376" t="n">
        <v>0.03</v>
      </c>
      <c r="BZ376" t="n">
        <v>0.079</v>
      </c>
      <c r="CA376" t="n">
        <v>0.408</v>
      </c>
      <c r="CB376" t="n">
        <v>1.08</v>
      </c>
      <c r="CC376" t="n">
        <v>0</v>
      </c>
      <c r="CF376" t="n">
        <v>1</v>
      </c>
      <c r="CH376" t="n">
        <v>4</v>
      </c>
      <c r="CI376" t="n">
        <v>0.542</v>
      </c>
      <c r="CJ376" t="n">
        <v>0.054</v>
      </c>
      <c r="CK376" t="n">
        <v>0</v>
      </c>
      <c r="CL376" t="n">
        <v>4</v>
      </c>
      <c r="CM376" t="n">
        <v>1</v>
      </c>
      <c r="CN376" t="n">
        <v>1</v>
      </c>
      <c r="CR376" t="n">
        <v>2</v>
      </c>
      <c r="CW376" t="n">
        <v>0.65</v>
      </c>
      <c r="CX376" t="n">
        <v>1.721</v>
      </c>
      <c r="CY376" t="n">
        <v>0</v>
      </c>
      <c r="DB376" t="n">
        <v>0</v>
      </c>
      <c r="DF376" t="n">
        <v>0</v>
      </c>
      <c r="DG376" t="n">
        <v>0</v>
      </c>
      <c r="DH376" t="n">
        <v>1</v>
      </c>
      <c r="DI376" t="n">
        <v>1</v>
      </c>
      <c r="DM376" t="n">
        <v>1</v>
      </c>
      <c r="DO376" t="n">
        <v>1.8</v>
      </c>
      <c r="DP376" t="n">
        <v>65.47</v>
      </c>
      <c r="DQ376" t="n">
        <v>34.27</v>
      </c>
      <c r="DR376" t="n">
        <v>68.54000000000001</v>
      </c>
      <c r="DS376" t="n">
        <v>-3.07</v>
      </c>
      <c r="DT376" t="n">
        <v>1060</v>
      </c>
      <c r="DU376" t="n">
        <v>27.9</v>
      </c>
      <c r="DV376" t="inlineStr">
        <is>
          <t>flat</t>
        </is>
      </c>
      <c r="DW376" t="n">
        <v>60.24</v>
      </c>
      <c r="DX376" t="n">
        <v>63.07</v>
      </c>
      <c r="DY376" t="n">
        <v>22.37</v>
      </c>
      <c r="DZ376" t="n">
        <v>21.09</v>
      </c>
      <c r="EA376" t="n">
        <v>117</v>
      </c>
      <c r="EB376" t="n">
        <v>150</v>
      </c>
      <c r="EC376" t="n">
        <v>72.09999999999999</v>
      </c>
      <c r="ED376" t="n">
        <v>8.5</v>
      </c>
      <c r="EE376" t="n">
        <v>51</v>
      </c>
      <c r="EF376" t="n">
        <v>17</v>
      </c>
      <c r="EG376" t="n">
        <v>6.8</v>
      </c>
      <c r="EI376" t="n">
        <v>90</v>
      </c>
      <c r="EJ376" t="n">
        <v>1133.3</v>
      </c>
      <c r="EK376" t="n">
        <v>83.3</v>
      </c>
      <c r="EL376" t="n">
        <v>11.3</v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n">
        <v>5</v>
      </c>
      <c r="F377" t="b">
        <v>1</v>
      </c>
      <c r="G377" t="b">
        <v>1</v>
      </c>
      <c r="H377" t="n">
        <v>19.4</v>
      </c>
      <c r="I377" t="inlineStr">
        <is>
          <t>a</t>
        </is>
      </c>
      <c r="L377" t="inlineStr">
        <is>
          <t>p576628</t>
        </is>
      </c>
      <c r="M377" t="n">
        <v>435</v>
      </c>
      <c r="Q377" t="n">
        <v>40</v>
      </c>
      <c r="R377" t="n">
        <v>3</v>
      </c>
      <c r="S377" t="n">
        <v>0</v>
      </c>
      <c r="T377" t="n">
        <v>0.444</v>
      </c>
      <c r="U377" t="n">
        <v>13.3</v>
      </c>
      <c r="V377" t="n">
        <v>3</v>
      </c>
      <c r="W377" t="n">
        <v>6.75</v>
      </c>
      <c r="X377" t="n">
        <v>0</v>
      </c>
      <c r="Y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9</v>
      </c>
      <c r="AG377" t="n">
        <v>9</v>
      </c>
      <c r="AH377" t="n">
        <v>0</v>
      </c>
      <c r="AI377" t="n">
        <v>3</v>
      </c>
      <c r="AJ377" t="n">
        <v>0</v>
      </c>
      <c r="AK377" t="n">
        <v>0</v>
      </c>
      <c r="AL377" t="n">
        <v>3</v>
      </c>
      <c r="AM377" t="n">
        <v>6.75</v>
      </c>
      <c r="AN377" t="n">
        <v>0</v>
      </c>
      <c r="AO377" t="n">
        <v>0</v>
      </c>
      <c r="AS377" t="n">
        <v>0</v>
      </c>
      <c r="AT377" t="n">
        <v>0</v>
      </c>
      <c r="AU377" t="n">
        <v>3</v>
      </c>
      <c r="AV377" t="n">
        <v>0</v>
      </c>
      <c r="AW377" t="n">
        <v>0.32</v>
      </c>
      <c r="AX377" t="n">
        <v>1</v>
      </c>
      <c r="AY377" t="n">
        <v>0.1</v>
      </c>
      <c r="AZ377" t="n">
        <v>0.082</v>
      </c>
      <c r="BA377" t="n">
        <v>0.091</v>
      </c>
      <c r="BB377" t="n">
        <v>0.082</v>
      </c>
      <c r="BC377" t="n">
        <v>0.225</v>
      </c>
      <c r="BD377" t="n">
        <v>0.185</v>
      </c>
      <c r="BE377" t="n">
        <v>0.205</v>
      </c>
      <c r="BF377" t="n">
        <v>0</v>
      </c>
      <c r="BG377" t="n">
        <v>0</v>
      </c>
      <c r="BH377" t="n">
        <v>0.988</v>
      </c>
      <c r="BI377" t="n">
        <v>0.1</v>
      </c>
      <c r="BJ377" t="n">
        <v>0.099</v>
      </c>
      <c r="BK377" t="n">
        <v>0.223</v>
      </c>
      <c r="BL377" t="n">
        <v>-0.091</v>
      </c>
      <c r="BM377" t="n">
        <v>-0.1</v>
      </c>
      <c r="BN377" t="n">
        <v>0</v>
      </c>
      <c r="BO377" t="n">
        <v>0.018</v>
      </c>
      <c r="BP377" t="n">
        <v>4</v>
      </c>
      <c r="BQ377" t="n">
        <v>1</v>
      </c>
      <c r="BS377" t="n">
        <v>3</v>
      </c>
      <c r="BT377" t="n">
        <v>6.75</v>
      </c>
      <c r="BW377" t="n">
        <v>0.01</v>
      </c>
      <c r="BX377" t="n">
        <v>0</v>
      </c>
      <c r="BY377" t="n">
        <v>0.005</v>
      </c>
      <c r="BZ377" t="n">
        <v>0.011</v>
      </c>
      <c r="CA377" t="n">
        <v>0.096</v>
      </c>
      <c r="CB377" t="n">
        <v>0.216</v>
      </c>
      <c r="CC377" t="n">
        <v>0</v>
      </c>
      <c r="CI377" t="n">
        <v>0.153</v>
      </c>
      <c r="CJ377" t="n">
        <v>0.07099999999999999</v>
      </c>
      <c r="CK377" t="n">
        <v>0</v>
      </c>
      <c r="CL377" t="n">
        <v>2</v>
      </c>
      <c r="CM377" t="n">
        <v>1</v>
      </c>
      <c r="CN377" t="n">
        <v>1</v>
      </c>
      <c r="CP377" t="n">
        <v>0</v>
      </c>
      <c r="CR377" t="n">
        <v>4</v>
      </c>
      <c r="CW377" t="n">
        <v>0.51</v>
      </c>
      <c r="CX377" t="n">
        <v>1.148</v>
      </c>
      <c r="CY377" t="n">
        <v>0</v>
      </c>
      <c r="DB377" t="n">
        <v>0</v>
      </c>
      <c r="DF377" t="n">
        <v>0</v>
      </c>
      <c r="DG377" t="n">
        <v>0</v>
      </c>
      <c r="DH377" t="n">
        <v>2</v>
      </c>
      <c r="DI377" t="n">
        <v>2</v>
      </c>
      <c r="DL377" t="n">
        <v>1</v>
      </c>
      <c r="DM377" t="n">
        <v>1</v>
      </c>
      <c r="DO377" t="n">
        <v>0.1</v>
      </c>
      <c r="DP377" t="n">
        <v>5.64</v>
      </c>
      <c r="DQ377" t="n">
        <v>2.85</v>
      </c>
      <c r="DR377" t="n">
        <v>5.7</v>
      </c>
      <c r="DS377" t="n">
        <v>-0.06</v>
      </c>
      <c r="DT377" t="n">
        <v>14</v>
      </c>
      <c r="DU377" t="n">
        <v>0.38</v>
      </c>
      <c r="DV377" t="inlineStr">
        <is>
          <t>flat</t>
        </is>
      </c>
      <c r="EF377" t="n">
        <v>10</v>
      </c>
      <c r="EG377" t="n">
        <v>13.3</v>
      </c>
      <c r="EI377" t="n">
        <v>438.8</v>
      </c>
      <c r="EJ377" t="n">
        <v>8000</v>
      </c>
      <c r="EK377" t="n">
        <v>416</v>
      </c>
      <c r="EL377" t="n">
        <v>13.3</v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n">
        <v>5</v>
      </c>
      <c r="F378" t="b">
        <v>1</v>
      </c>
      <c r="G378" t="b">
        <v>1</v>
      </c>
      <c r="H378" t="n">
        <v>19.4</v>
      </c>
      <c r="I378" t="inlineStr">
        <is>
          <t>a</t>
        </is>
      </c>
      <c r="L378" t="inlineStr">
        <is>
          <t>p547037</t>
        </is>
      </c>
      <c r="M378" t="n">
        <v>434</v>
      </c>
      <c r="Q378" t="n">
        <v>107</v>
      </c>
      <c r="R378" t="n">
        <v>3</v>
      </c>
      <c r="S378" t="n">
        <v>0</v>
      </c>
      <c r="T378" t="n">
        <v>1.189</v>
      </c>
      <c r="U378" t="n">
        <v>35.7</v>
      </c>
      <c r="V378" t="n">
        <v>3</v>
      </c>
      <c r="W378" t="n">
        <v>2.523</v>
      </c>
      <c r="X378" t="n">
        <v>0</v>
      </c>
      <c r="Y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10</v>
      </c>
      <c r="AG378" t="n">
        <v>9</v>
      </c>
      <c r="AH378" t="n">
        <v>-1</v>
      </c>
      <c r="AI378" t="n">
        <v>3</v>
      </c>
      <c r="AJ378" t="n">
        <v>0</v>
      </c>
      <c r="AK378" t="n">
        <v>0</v>
      </c>
      <c r="AL378" t="n">
        <v>11</v>
      </c>
      <c r="AM378" t="n">
        <v>9.252000000000001</v>
      </c>
      <c r="AN378" t="n">
        <v>0</v>
      </c>
      <c r="AO378" t="n">
        <v>0</v>
      </c>
      <c r="AS378" t="n">
        <v>0</v>
      </c>
      <c r="AT378" t="n">
        <v>0</v>
      </c>
      <c r="AU378" t="n">
        <v>3</v>
      </c>
      <c r="AV378" t="n">
        <v>0</v>
      </c>
      <c r="AW378" t="n">
        <v>0.27</v>
      </c>
      <c r="AX378" t="n">
        <v>1</v>
      </c>
      <c r="AY378" t="n">
        <v>0.03</v>
      </c>
      <c r="AZ378" t="n">
        <v>0.037</v>
      </c>
      <c r="BA378" t="n">
        <v>0.034</v>
      </c>
      <c r="BB378" t="n">
        <v>0.037</v>
      </c>
      <c r="BC378" t="n">
        <v>0.025</v>
      </c>
      <c r="BD378" t="n">
        <v>0.031</v>
      </c>
      <c r="BE378" t="n">
        <v>0.028</v>
      </c>
      <c r="BH378" t="n">
        <v>0.996</v>
      </c>
      <c r="BI378" t="n">
        <v>0.03</v>
      </c>
      <c r="BJ378" t="n">
        <v>0.03</v>
      </c>
      <c r="BK378" t="n">
        <v>0.025</v>
      </c>
      <c r="BL378" t="n">
        <v>-0.034</v>
      </c>
      <c r="BO378" t="n">
        <v>-0.007</v>
      </c>
      <c r="BP378" t="n">
        <v>1</v>
      </c>
      <c r="BS378" t="n">
        <v>2</v>
      </c>
      <c r="BT378" t="n">
        <v>1.682</v>
      </c>
      <c r="BW378" t="n">
        <v>0.02</v>
      </c>
      <c r="BX378" t="n">
        <v>0.115</v>
      </c>
      <c r="BY378" t="n">
        <v>0.067</v>
      </c>
      <c r="BZ378" t="n">
        <v>0.057</v>
      </c>
      <c r="CA378" t="n">
        <v>0.101</v>
      </c>
      <c r="CB378" t="n">
        <v>0.08500000000000001</v>
      </c>
      <c r="CC378" t="n">
        <v>2</v>
      </c>
      <c r="CE378" t="n">
        <v>2</v>
      </c>
      <c r="CI378" t="n">
        <v>0.263</v>
      </c>
      <c r="CJ378" t="n">
        <v>0.148</v>
      </c>
      <c r="CK378" t="n">
        <v>2</v>
      </c>
      <c r="CL378" t="n">
        <v>4</v>
      </c>
      <c r="CM378" t="n">
        <v>5</v>
      </c>
      <c r="CN378" t="n">
        <v>2</v>
      </c>
      <c r="CO378" t="n">
        <v>1</v>
      </c>
      <c r="CQ378" t="n">
        <v>1</v>
      </c>
      <c r="CR378" t="n">
        <v>7</v>
      </c>
      <c r="CS378" t="n">
        <v>1</v>
      </c>
      <c r="CW378" t="n">
        <v>1.86</v>
      </c>
      <c r="CX378" t="n">
        <v>1.564</v>
      </c>
      <c r="CY378" t="n">
        <v>0</v>
      </c>
      <c r="DB378" t="n">
        <v>0</v>
      </c>
      <c r="DF378" t="n">
        <v>0</v>
      </c>
      <c r="DG378" t="n">
        <v>0</v>
      </c>
      <c r="DH378" t="n">
        <v>2</v>
      </c>
      <c r="DI378" t="n">
        <v>1</v>
      </c>
      <c r="DM378" t="n">
        <v>4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inlineStr">
        <is>
          <t>flat</t>
        </is>
      </c>
      <c r="EF378" t="n">
        <v>107</v>
      </c>
      <c r="EG378" t="n">
        <v>53.5</v>
      </c>
      <c r="EH378" t="n">
        <v>53.5</v>
      </c>
      <c r="EI378" t="n">
        <v>3175.7</v>
      </c>
      <c r="EJ378" t="n">
        <v>1586.6</v>
      </c>
      <c r="EK378" t="n">
        <v>1058</v>
      </c>
      <c r="EL378" t="n">
        <v>35.7</v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n">
        <v>4</v>
      </c>
      <c r="F379" t="b">
        <v>1</v>
      </c>
      <c r="G379" t="b">
        <v>1</v>
      </c>
      <c r="H379" t="n">
        <v>21.5</v>
      </c>
      <c r="I379" t="inlineStr">
        <is>
          <t>a</t>
        </is>
      </c>
      <c r="L379" t="inlineStr">
        <is>
          <t>p575901</t>
        </is>
      </c>
      <c r="M379" t="n">
        <v>66</v>
      </c>
      <c r="Q379" t="n">
        <v>34</v>
      </c>
      <c r="R379" t="n">
        <v>3</v>
      </c>
      <c r="S379" t="n">
        <v>0</v>
      </c>
      <c r="T379" t="n">
        <v>0.378</v>
      </c>
      <c r="U379" t="n">
        <v>11.3</v>
      </c>
      <c r="V379" t="n">
        <v>3</v>
      </c>
      <c r="W379" t="n">
        <v>7.941</v>
      </c>
      <c r="X379" t="n">
        <v>0</v>
      </c>
      <c r="Y379" t="n">
        <v>0</v>
      </c>
      <c r="AA379" t="n">
        <v>0</v>
      </c>
      <c r="AB379" t="n">
        <v>2</v>
      </c>
      <c r="AC379" t="n">
        <v>0</v>
      </c>
      <c r="AD379" t="n">
        <v>0</v>
      </c>
      <c r="AE379" t="n">
        <v>0</v>
      </c>
      <c r="AF379" t="n">
        <v>2</v>
      </c>
      <c r="AG379" t="n">
        <v>2</v>
      </c>
      <c r="AH379" t="n">
        <v>0</v>
      </c>
      <c r="AI379" t="n">
        <v>3</v>
      </c>
      <c r="AJ379" t="n">
        <v>0</v>
      </c>
      <c r="AK379" t="n">
        <v>0</v>
      </c>
      <c r="AL379" t="n">
        <v>1</v>
      </c>
      <c r="AM379" t="n">
        <v>2.647</v>
      </c>
      <c r="AN379" t="n">
        <v>0</v>
      </c>
      <c r="AO379" t="n">
        <v>0</v>
      </c>
      <c r="AS379" t="n">
        <v>0</v>
      </c>
      <c r="AT379" t="n">
        <v>0</v>
      </c>
      <c r="AU379" t="n">
        <v>3</v>
      </c>
      <c r="AV379" t="n">
        <v>0</v>
      </c>
      <c r="AW379" t="n">
        <v>0.27</v>
      </c>
      <c r="AX379" t="n">
        <v>1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H379" t="n">
        <v>1</v>
      </c>
      <c r="BI379" t="n">
        <v>0</v>
      </c>
      <c r="BJ379" t="n">
        <v>0</v>
      </c>
      <c r="BK379" t="n">
        <v>0</v>
      </c>
      <c r="BL379" t="n">
        <v>0</v>
      </c>
      <c r="BO379" t="n">
        <v>0</v>
      </c>
      <c r="BS379" t="n">
        <v>1</v>
      </c>
      <c r="BT379" t="n">
        <v>2.647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I379" t="n">
        <v>0.064</v>
      </c>
      <c r="CJ379" t="n">
        <v>0.064</v>
      </c>
      <c r="CK379" t="n">
        <v>0</v>
      </c>
      <c r="CL379" t="n">
        <v>4</v>
      </c>
      <c r="CM379" t="n">
        <v>1</v>
      </c>
      <c r="CR379" t="n">
        <v>3</v>
      </c>
      <c r="CW379" t="n">
        <v>1.62</v>
      </c>
      <c r="CX379" t="n">
        <v>4.288</v>
      </c>
      <c r="CY379" t="n">
        <v>0</v>
      </c>
      <c r="DB379" t="n">
        <v>0</v>
      </c>
      <c r="DF379" t="n">
        <v>0</v>
      </c>
      <c r="DG379" t="n">
        <v>0</v>
      </c>
      <c r="DH379" t="n">
        <v>2</v>
      </c>
      <c r="DI379" t="n">
        <v>2</v>
      </c>
      <c r="DO379" t="n">
        <v>0.6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inlineStr">
        <is>
          <t>flat</t>
        </is>
      </c>
      <c r="EG379" t="n">
        <v>34</v>
      </c>
      <c r="EL379" t="n">
        <v>11.3</v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n">
        <v>4.5</v>
      </c>
      <c r="F380" t="b">
        <v>1</v>
      </c>
      <c r="G380" t="b">
        <v>1</v>
      </c>
      <c r="H380" t="n">
        <v>21</v>
      </c>
      <c r="I380" t="inlineStr">
        <is>
          <t>a</t>
        </is>
      </c>
      <c r="L380" t="inlineStr">
        <is>
          <t>p574458</t>
        </is>
      </c>
      <c r="M380" t="n">
        <v>150</v>
      </c>
      <c r="Q380" t="n">
        <v>100</v>
      </c>
      <c r="R380" t="n">
        <v>3</v>
      </c>
      <c r="S380" t="n">
        <v>1</v>
      </c>
      <c r="T380" t="n">
        <v>1.111</v>
      </c>
      <c r="U380" t="n">
        <v>33.3</v>
      </c>
      <c r="V380" t="n">
        <v>3</v>
      </c>
      <c r="W380" t="n">
        <v>2.7</v>
      </c>
      <c r="X380" t="n">
        <v>0</v>
      </c>
      <c r="Y380" t="n">
        <v>0</v>
      </c>
      <c r="AA380" t="n">
        <v>0</v>
      </c>
      <c r="AB380" t="n">
        <v>3</v>
      </c>
      <c r="AC380" t="n">
        <v>0</v>
      </c>
      <c r="AD380" t="n">
        <v>0</v>
      </c>
      <c r="AE380" t="n">
        <v>0</v>
      </c>
      <c r="AF380" t="n">
        <v>4</v>
      </c>
      <c r="AG380" t="n">
        <v>3</v>
      </c>
      <c r="AH380" t="n">
        <v>-1</v>
      </c>
      <c r="AI380" t="n">
        <v>3</v>
      </c>
      <c r="AJ380" t="n">
        <v>0</v>
      </c>
      <c r="AK380" t="n">
        <v>0</v>
      </c>
      <c r="AL380" t="n">
        <v>8</v>
      </c>
      <c r="AM380" t="n">
        <v>7.2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0.026</v>
      </c>
      <c r="AT380" t="n">
        <v>0.333</v>
      </c>
      <c r="AU380" t="n">
        <v>3</v>
      </c>
      <c r="AV380" t="n">
        <v>0</v>
      </c>
      <c r="AW380" t="n">
        <v>0.27</v>
      </c>
      <c r="AX380" t="n">
        <v>1</v>
      </c>
      <c r="AY380" t="n">
        <v>0.35</v>
      </c>
      <c r="AZ380" t="n">
        <v>0.569</v>
      </c>
      <c r="BA380" t="n">
        <v>0.46</v>
      </c>
      <c r="BB380" t="n">
        <v>0.569</v>
      </c>
      <c r="BC380" t="n">
        <v>0.315</v>
      </c>
      <c r="BD380" t="n">
        <v>0.513</v>
      </c>
      <c r="BE380" t="n">
        <v>0.414</v>
      </c>
      <c r="BH380" t="n">
        <v>0.958</v>
      </c>
      <c r="BI380" t="n">
        <v>0.35</v>
      </c>
      <c r="BJ380" t="n">
        <v>0.335</v>
      </c>
      <c r="BK380" t="n">
        <v>0.302</v>
      </c>
      <c r="BL380" t="n">
        <v>-0.46</v>
      </c>
      <c r="BO380" t="n">
        <v>-0.219</v>
      </c>
      <c r="BP380" t="n">
        <v>1</v>
      </c>
      <c r="BR380" t="n">
        <v>1</v>
      </c>
      <c r="BS380" t="n">
        <v>1</v>
      </c>
      <c r="BT380" t="n">
        <v>0.9</v>
      </c>
      <c r="BW380" t="n">
        <v>0</v>
      </c>
      <c r="BX380" t="n">
        <v>0</v>
      </c>
      <c r="BY380" t="n">
        <v>0</v>
      </c>
      <c r="BZ380" t="n">
        <v>0</v>
      </c>
      <c r="CA380" t="n">
        <v>0.46</v>
      </c>
      <c r="CB380" t="n">
        <v>0.414</v>
      </c>
      <c r="CC380" t="n">
        <v>0</v>
      </c>
      <c r="CI380" t="n">
        <v>0.231</v>
      </c>
      <c r="CJ380" t="n">
        <v>0.231</v>
      </c>
      <c r="CK380" t="n">
        <v>7</v>
      </c>
      <c r="CL380" t="n">
        <v>2</v>
      </c>
      <c r="CM380" t="n">
        <v>1</v>
      </c>
      <c r="CO380" t="n">
        <v>1</v>
      </c>
      <c r="CP380" t="n">
        <v>5</v>
      </c>
      <c r="CQ380" t="n">
        <v>1</v>
      </c>
      <c r="CR380" t="n">
        <v>2</v>
      </c>
      <c r="CS380" t="n">
        <v>1</v>
      </c>
      <c r="CW380" t="n">
        <v>1.63</v>
      </c>
      <c r="CX380" t="n">
        <v>1.467</v>
      </c>
      <c r="CY380" t="n">
        <v>0</v>
      </c>
      <c r="DB380" t="n">
        <v>0</v>
      </c>
      <c r="DF380" t="n">
        <v>0</v>
      </c>
      <c r="DG380" t="n">
        <v>0</v>
      </c>
      <c r="DO380" t="n">
        <v>0.1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inlineStr">
        <is>
          <t>flat</t>
        </is>
      </c>
      <c r="DW380" t="n">
        <v>67</v>
      </c>
      <c r="DZ380" t="n">
        <v>67</v>
      </c>
      <c r="EA380" t="n">
        <v>67</v>
      </c>
      <c r="EB380" t="n">
        <v>1</v>
      </c>
      <c r="EC380" t="n">
        <v>0.5</v>
      </c>
      <c r="ED380" t="n">
        <v>0</v>
      </c>
      <c r="EE380" t="n">
        <v>459</v>
      </c>
      <c r="EF380" t="n">
        <v>100</v>
      </c>
      <c r="EG380" t="n">
        <v>100</v>
      </c>
      <c r="EI380" t="n">
        <v>217.5</v>
      </c>
      <c r="EK380" t="n">
        <v>217.5</v>
      </c>
      <c r="EL380" t="n">
        <v>33.3</v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n">
        <v>4</v>
      </c>
      <c r="F381" t="b">
        <v>1</v>
      </c>
      <c r="G381" t="b">
        <v>1</v>
      </c>
      <c r="H381" t="n">
        <v>20.3</v>
      </c>
      <c r="I381" t="inlineStr">
        <is>
          <t>a</t>
        </is>
      </c>
      <c r="L381" t="inlineStr">
        <is>
          <t>p549067</t>
        </is>
      </c>
      <c r="M381" t="n">
        <v>477</v>
      </c>
      <c r="Q381" t="n">
        <v>165</v>
      </c>
      <c r="R381" t="n">
        <v>3</v>
      </c>
      <c r="S381" t="n">
        <v>2</v>
      </c>
      <c r="T381" t="n">
        <v>1.833</v>
      </c>
      <c r="U381" t="n">
        <v>55</v>
      </c>
      <c r="V381" t="n">
        <v>3</v>
      </c>
      <c r="W381" t="n">
        <v>1.636</v>
      </c>
      <c r="X381" t="n">
        <v>0</v>
      </c>
      <c r="Y381" t="n">
        <v>0</v>
      </c>
      <c r="AA381" t="n">
        <v>0</v>
      </c>
      <c r="AB381" t="n">
        <v>4</v>
      </c>
      <c r="AC381" t="n">
        <v>0</v>
      </c>
      <c r="AD381" t="n">
        <v>0</v>
      </c>
      <c r="AE381" t="n">
        <v>0</v>
      </c>
      <c r="AF381" t="n">
        <v>3</v>
      </c>
      <c r="AG381" t="n">
        <v>1</v>
      </c>
      <c r="AH381" t="n">
        <v>-2</v>
      </c>
      <c r="AI381" t="n">
        <v>3</v>
      </c>
      <c r="AJ381" t="n">
        <v>0</v>
      </c>
      <c r="AK381" t="n">
        <v>0</v>
      </c>
      <c r="AL381" t="n">
        <v>13</v>
      </c>
      <c r="AM381" t="n">
        <v>7.091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0.053</v>
      </c>
      <c r="AT381" t="n">
        <v>0.333</v>
      </c>
      <c r="AU381" t="n">
        <v>3</v>
      </c>
      <c r="AV381" t="n">
        <v>0</v>
      </c>
      <c r="AW381" t="n">
        <v>0.27</v>
      </c>
      <c r="AX381" t="n">
        <v>1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H381" t="n">
        <v>1</v>
      </c>
      <c r="BI381" t="n">
        <v>0</v>
      </c>
      <c r="BJ381" t="n">
        <v>0</v>
      </c>
      <c r="BK381" t="n">
        <v>0</v>
      </c>
      <c r="BL381" t="n">
        <v>0</v>
      </c>
      <c r="BO381" t="n">
        <v>0</v>
      </c>
      <c r="BW381" t="n">
        <v>0.01</v>
      </c>
      <c r="BX381" t="n">
        <v>0</v>
      </c>
      <c r="BY381" t="n">
        <v>0.005</v>
      </c>
      <c r="BZ381" t="n">
        <v>0.003</v>
      </c>
      <c r="CA381" t="n">
        <v>0.005</v>
      </c>
      <c r="CB381" t="n">
        <v>0.003</v>
      </c>
      <c r="CC381" t="n">
        <v>0</v>
      </c>
      <c r="CF381" t="n">
        <v>1</v>
      </c>
      <c r="CI381" t="n">
        <v>0.08</v>
      </c>
      <c r="CJ381" t="n">
        <v>0.08</v>
      </c>
      <c r="CK381" t="n">
        <v>9</v>
      </c>
      <c r="CL381" t="n">
        <v>10</v>
      </c>
      <c r="CM381" t="n">
        <v>4</v>
      </c>
      <c r="CN381" t="n">
        <v>4</v>
      </c>
      <c r="CO381" t="n">
        <v>1</v>
      </c>
      <c r="CP381" t="n">
        <v>7</v>
      </c>
      <c r="CQ381" t="n">
        <v>1</v>
      </c>
      <c r="CR381" t="n">
        <v>12</v>
      </c>
      <c r="CS381" t="n">
        <v>6</v>
      </c>
      <c r="CW381" t="n">
        <v>3.47</v>
      </c>
      <c r="CX381" t="n">
        <v>1.893</v>
      </c>
      <c r="CY381" t="n">
        <v>0</v>
      </c>
      <c r="DB381" t="n">
        <v>0</v>
      </c>
      <c r="DF381" t="n">
        <v>0</v>
      </c>
      <c r="DG381" t="n">
        <v>0</v>
      </c>
      <c r="DH381" t="n">
        <v>3</v>
      </c>
      <c r="DI381" t="n">
        <v>1</v>
      </c>
      <c r="DK381" t="n">
        <v>1</v>
      </c>
      <c r="DL381" t="n">
        <v>1</v>
      </c>
      <c r="DM381" t="n">
        <v>2</v>
      </c>
      <c r="DO381" t="n">
        <v>0.2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inlineStr">
        <is>
          <t>flat</t>
        </is>
      </c>
      <c r="EJ381" t="n">
        <v>33000</v>
      </c>
      <c r="EK381" t="n">
        <v>33000</v>
      </c>
      <c r="EL381" t="n">
        <v>55</v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n">
        <v>4</v>
      </c>
      <c r="F382" t="b">
        <v>1</v>
      </c>
      <c r="G382" t="b">
        <v>1</v>
      </c>
      <c r="H382" t="n">
        <v>22.2</v>
      </c>
      <c r="I382" t="inlineStr">
        <is>
          <t>u</t>
        </is>
      </c>
      <c r="J382" t="inlineStr">
        <is>
          <t>Has joined FC Kaiserslautern on loan for the rest of the season</t>
        </is>
      </c>
      <c r="K382" t="n">
        <v>0</v>
      </c>
      <c r="L382" t="inlineStr">
        <is>
          <t>p545477</t>
        </is>
      </c>
      <c r="M382" t="n">
        <v>451</v>
      </c>
      <c r="Q382" t="n">
        <v>7</v>
      </c>
      <c r="R382" t="n">
        <v>2</v>
      </c>
      <c r="S382" t="n">
        <v>0</v>
      </c>
      <c r="T382" t="n">
        <v>0.078</v>
      </c>
      <c r="U382" t="n">
        <v>3.5</v>
      </c>
      <c r="V382" t="n">
        <v>2</v>
      </c>
      <c r="W382" t="n">
        <v>25.714</v>
      </c>
      <c r="X382" t="n">
        <v>0</v>
      </c>
      <c r="Y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3</v>
      </c>
      <c r="AG382" t="n">
        <v>3</v>
      </c>
      <c r="AH382" t="n">
        <v>0</v>
      </c>
      <c r="AI382" t="n">
        <v>2</v>
      </c>
      <c r="AJ382" t="n">
        <v>0</v>
      </c>
      <c r="AK382" t="n">
        <v>0</v>
      </c>
      <c r="AL382" t="n">
        <v>4</v>
      </c>
      <c r="AM382" t="n">
        <v>51.429</v>
      </c>
      <c r="AN382" t="n">
        <v>0</v>
      </c>
      <c r="AO382" t="n">
        <v>0</v>
      </c>
      <c r="AS382" t="n">
        <v>0</v>
      </c>
      <c r="AT382" t="n">
        <v>0</v>
      </c>
      <c r="AU382" t="n">
        <v>2</v>
      </c>
      <c r="AV382" t="n">
        <v>0</v>
      </c>
      <c r="AW382" t="n">
        <v>0.23</v>
      </c>
      <c r="AX382" t="n">
        <v>1</v>
      </c>
      <c r="AY382" t="n">
        <v>0</v>
      </c>
      <c r="BA382" t="n">
        <v>0</v>
      </c>
      <c r="BC382" t="n">
        <v>0</v>
      </c>
      <c r="BE382" t="n">
        <v>0</v>
      </c>
      <c r="BH382" t="n">
        <v>1</v>
      </c>
      <c r="BI382" t="n">
        <v>0</v>
      </c>
      <c r="BJ382" t="n">
        <v>0</v>
      </c>
      <c r="BK382" t="n">
        <v>0</v>
      </c>
      <c r="BL382" t="n">
        <v>0</v>
      </c>
      <c r="BS382" t="n">
        <v>1</v>
      </c>
      <c r="BT382" t="n">
        <v>12.857</v>
      </c>
      <c r="BW382" t="n">
        <v>0</v>
      </c>
      <c r="BY382" t="n">
        <v>0</v>
      </c>
      <c r="BZ382" t="n">
        <v>0</v>
      </c>
      <c r="CA382" t="n">
        <v>0</v>
      </c>
      <c r="CB382" t="n">
        <v>0</v>
      </c>
      <c r="CK382" t="n">
        <v>4</v>
      </c>
      <c r="CL382" t="n">
        <v>0</v>
      </c>
      <c r="CM382" t="n">
        <v>0</v>
      </c>
      <c r="CO382" t="n">
        <v>1</v>
      </c>
      <c r="CP382" t="n">
        <v>2</v>
      </c>
      <c r="CQ382" t="n">
        <v>1</v>
      </c>
      <c r="CW382" t="n">
        <v>0.49</v>
      </c>
      <c r="CX382" t="n">
        <v>6.3</v>
      </c>
      <c r="CY382" t="n">
        <v>0</v>
      </c>
      <c r="DB382" t="n">
        <v>0</v>
      </c>
      <c r="DF382" t="n">
        <v>0</v>
      </c>
      <c r="DG382" t="n">
        <v>0</v>
      </c>
      <c r="DO382" t="n">
        <v>0.6</v>
      </c>
      <c r="DW382" t="n">
        <v>115</v>
      </c>
      <c r="DX382" t="n">
        <v>115</v>
      </c>
      <c r="DZ382" t="n">
        <v>115</v>
      </c>
      <c r="EA382" t="n">
        <v>115</v>
      </c>
      <c r="EB382" t="n">
        <v>1</v>
      </c>
      <c r="EC382" t="n">
        <v>0.5</v>
      </c>
      <c r="ED382" t="n">
        <v>0</v>
      </c>
      <c r="EE382" t="n">
        <v>528</v>
      </c>
      <c r="EG382" t="n">
        <v>7</v>
      </c>
      <c r="EL382" t="n">
        <v>3.5</v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n">
        <v>4.5</v>
      </c>
      <c r="F383" t="b">
        <v>1</v>
      </c>
      <c r="G383" t="b">
        <v>1</v>
      </c>
      <c r="H383" t="n">
        <v>17.2</v>
      </c>
      <c r="I383" t="inlineStr">
        <is>
          <t>a</t>
        </is>
      </c>
      <c r="L383" t="inlineStr">
        <is>
          <t>p672492</t>
        </is>
      </c>
      <c r="M383" t="n">
        <v>221</v>
      </c>
      <c r="Q383" t="n">
        <v>7</v>
      </c>
      <c r="R383" t="n">
        <v>2</v>
      </c>
      <c r="S383" t="n">
        <v>0</v>
      </c>
      <c r="T383" t="n">
        <v>0.078</v>
      </c>
      <c r="U383" t="n">
        <v>3.5</v>
      </c>
      <c r="V383" t="n">
        <v>2</v>
      </c>
      <c r="W383" t="n">
        <v>25.714</v>
      </c>
      <c r="X383" t="n">
        <v>0</v>
      </c>
      <c r="Y383" t="n">
        <v>0</v>
      </c>
      <c r="AA383" t="n">
        <v>0</v>
      </c>
      <c r="AB383" t="n">
        <v>1</v>
      </c>
      <c r="AC383" t="n">
        <v>0</v>
      </c>
      <c r="AD383" t="n">
        <v>0</v>
      </c>
      <c r="AE383" t="n">
        <v>0</v>
      </c>
      <c r="AF383" t="n">
        <v>6</v>
      </c>
      <c r="AG383" t="n">
        <v>6</v>
      </c>
      <c r="AH383" t="n">
        <v>0</v>
      </c>
      <c r="AI383" t="n">
        <v>2</v>
      </c>
      <c r="AJ383" t="n">
        <v>0</v>
      </c>
      <c r="AK383" t="n">
        <v>0</v>
      </c>
      <c r="AL383" t="n">
        <v>3</v>
      </c>
      <c r="AM383" t="n">
        <v>38.571</v>
      </c>
      <c r="AN383" t="n">
        <v>0</v>
      </c>
      <c r="AO383" t="n">
        <v>0</v>
      </c>
      <c r="AS383" t="n">
        <v>0</v>
      </c>
      <c r="AT383" t="n">
        <v>0</v>
      </c>
      <c r="AU383" t="n">
        <v>2</v>
      </c>
      <c r="AV383" t="n">
        <v>0</v>
      </c>
      <c r="AW383" t="n">
        <v>0.29</v>
      </c>
      <c r="AX383" t="n">
        <v>1</v>
      </c>
      <c r="AY383" t="n">
        <v>0</v>
      </c>
      <c r="BA383" t="n">
        <v>0</v>
      </c>
      <c r="BC383" t="n">
        <v>0</v>
      </c>
      <c r="BE383" t="n">
        <v>0</v>
      </c>
      <c r="BH383" t="n">
        <v>1</v>
      </c>
      <c r="BI383" t="n">
        <v>0</v>
      </c>
      <c r="BJ383" t="n">
        <v>0</v>
      </c>
      <c r="BK383" t="n">
        <v>0</v>
      </c>
      <c r="BL383" t="n">
        <v>0</v>
      </c>
      <c r="BW383" t="n">
        <v>0</v>
      </c>
      <c r="BY383" t="n">
        <v>0</v>
      </c>
      <c r="BZ383" t="n">
        <v>0</v>
      </c>
      <c r="CA383" t="n">
        <v>0</v>
      </c>
      <c r="CB383" t="n">
        <v>0</v>
      </c>
      <c r="CK383" t="n">
        <v>0</v>
      </c>
      <c r="CL383" t="n">
        <v>2</v>
      </c>
      <c r="CM383" t="n">
        <v>1</v>
      </c>
      <c r="CN383" t="n">
        <v>1</v>
      </c>
      <c r="CR383" t="n">
        <v>1</v>
      </c>
      <c r="CW383" t="n">
        <v>0.73</v>
      </c>
      <c r="CX383" t="n">
        <v>9.385999999999999</v>
      </c>
      <c r="CY383" t="n">
        <v>0</v>
      </c>
      <c r="DB383" t="n">
        <v>0</v>
      </c>
      <c r="DF383" t="n">
        <v>0</v>
      </c>
      <c r="DG383" t="n">
        <v>0</v>
      </c>
      <c r="DH383" t="n">
        <v>1</v>
      </c>
      <c r="DO383" t="n">
        <v>0.1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inlineStr">
        <is>
          <t>flat</t>
        </is>
      </c>
      <c r="EL383" t="n">
        <v>3.5</v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n">
        <v>5</v>
      </c>
      <c r="F384" t="b">
        <v>1</v>
      </c>
      <c r="G384" t="b">
        <v>1</v>
      </c>
      <c r="H384" t="n">
        <v>31.9</v>
      </c>
      <c r="I384" t="inlineStr">
        <is>
          <t>a</t>
        </is>
      </c>
      <c r="L384" t="inlineStr">
        <is>
          <t>p109745</t>
        </is>
      </c>
      <c r="M384" t="n">
        <v>2</v>
      </c>
      <c r="Q384" t="n">
        <v>90</v>
      </c>
      <c r="R384" t="n">
        <v>1</v>
      </c>
      <c r="S384" t="n">
        <v>1</v>
      </c>
      <c r="T384" t="n">
        <v>1</v>
      </c>
      <c r="U384" t="n">
        <v>90</v>
      </c>
      <c r="V384" t="n">
        <v>2</v>
      </c>
      <c r="W384" t="n">
        <v>2</v>
      </c>
      <c r="X384" t="n">
        <v>0</v>
      </c>
      <c r="Y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11</v>
      </c>
      <c r="AG384" t="n">
        <v>11</v>
      </c>
      <c r="AH384" t="n">
        <v>0</v>
      </c>
      <c r="AI384" t="n">
        <v>2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0.026</v>
      </c>
      <c r="AT384" t="n">
        <v>1</v>
      </c>
      <c r="AU384" t="n">
        <v>1</v>
      </c>
      <c r="AV384" t="n">
        <v>0</v>
      </c>
      <c r="AW384" t="n">
        <v>0.32</v>
      </c>
      <c r="AX384" t="n">
        <v>2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H384" t="n">
        <v>0.993</v>
      </c>
      <c r="BI384" t="n">
        <v>0.06</v>
      </c>
      <c r="BJ384" t="n">
        <v>0</v>
      </c>
      <c r="BK384" t="n">
        <v>0</v>
      </c>
      <c r="BL384" t="n">
        <v>0</v>
      </c>
      <c r="BO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I384" t="n">
        <v>0.697</v>
      </c>
      <c r="CJ384" t="n">
        <v>0.697</v>
      </c>
      <c r="CK384" t="n">
        <v>3</v>
      </c>
      <c r="CL384" t="n">
        <v>8</v>
      </c>
      <c r="CM384" t="n">
        <v>0</v>
      </c>
      <c r="CP384" t="n">
        <v>3</v>
      </c>
      <c r="CR384" t="n">
        <v>1</v>
      </c>
      <c r="CS384" t="n">
        <v>1</v>
      </c>
      <c r="CW384" t="n">
        <v>0.98</v>
      </c>
      <c r="CX384" t="n">
        <v>0.98</v>
      </c>
      <c r="CY384" t="n">
        <v>2</v>
      </c>
      <c r="DB384" t="n">
        <v>0</v>
      </c>
      <c r="DC384" t="n">
        <v>1</v>
      </c>
      <c r="DD384" t="n">
        <v>1</v>
      </c>
      <c r="DF384" t="n">
        <v>0</v>
      </c>
      <c r="DG384" t="n">
        <v>0</v>
      </c>
      <c r="DO384" t="n">
        <v>0.1</v>
      </c>
      <c r="DP384" t="n">
        <v>1.72</v>
      </c>
      <c r="DQ384" t="n">
        <v>0.86</v>
      </c>
      <c r="DR384" t="n">
        <v>1.72</v>
      </c>
      <c r="DS384" t="n">
        <v>0</v>
      </c>
      <c r="DT384" t="n">
        <v>35</v>
      </c>
      <c r="DU384" t="n">
        <v>0.91</v>
      </c>
      <c r="DV384" t="inlineStr">
        <is>
          <t>flat</t>
        </is>
      </c>
      <c r="DW384" t="n">
        <v>113.14</v>
      </c>
      <c r="DX384" t="n">
        <v>115</v>
      </c>
      <c r="DY384" t="n">
        <v>17.2</v>
      </c>
      <c r="DZ384" t="n">
        <v>35.2</v>
      </c>
      <c r="EA384" t="n">
        <v>120</v>
      </c>
      <c r="EB384" t="n">
        <v>23</v>
      </c>
      <c r="EC384" t="n">
        <v>11.1</v>
      </c>
      <c r="ED384" t="n">
        <v>53.1</v>
      </c>
      <c r="EE384" t="n">
        <v>330</v>
      </c>
      <c r="EL384" t="n">
        <v>45</v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n">
        <v>4.5</v>
      </c>
      <c r="F385" t="b">
        <v>1</v>
      </c>
      <c r="G385" t="b">
        <v>1</v>
      </c>
      <c r="H385" t="n">
        <v>19</v>
      </c>
      <c r="I385" t="inlineStr">
        <is>
          <t>a</t>
        </is>
      </c>
      <c r="L385" t="inlineStr">
        <is>
          <t>p590039</t>
        </is>
      </c>
      <c r="M385" t="n">
        <v>409</v>
      </c>
      <c r="Q385" t="n">
        <v>25</v>
      </c>
      <c r="R385" t="n">
        <v>2</v>
      </c>
      <c r="S385" t="n">
        <v>0</v>
      </c>
      <c r="T385" t="n">
        <v>0.278</v>
      </c>
      <c r="U385" t="n">
        <v>12.5</v>
      </c>
      <c r="V385" t="n">
        <v>2</v>
      </c>
      <c r="W385" t="n">
        <v>7.2</v>
      </c>
      <c r="X385" t="n">
        <v>0</v>
      </c>
      <c r="Y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5</v>
      </c>
      <c r="AG385" t="n">
        <v>5</v>
      </c>
      <c r="AH385" t="n">
        <v>0</v>
      </c>
      <c r="AI385" t="n">
        <v>2</v>
      </c>
      <c r="AJ385" t="n">
        <v>0</v>
      </c>
      <c r="AK385" t="n">
        <v>0</v>
      </c>
      <c r="AL385" t="n">
        <v>1</v>
      </c>
      <c r="AM385" t="n">
        <v>3.6</v>
      </c>
      <c r="AN385" t="n">
        <v>0</v>
      </c>
      <c r="AO385" t="n">
        <v>0</v>
      </c>
      <c r="AS385" t="n">
        <v>0</v>
      </c>
      <c r="AT385" t="n">
        <v>0</v>
      </c>
      <c r="AU385" t="n">
        <v>2</v>
      </c>
      <c r="AV385" t="n">
        <v>0</v>
      </c>
      <c r="AW385" t="n">
        <v>0.24</v>
      </c>
      <c r="AX385" t="n">
        <v>1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H385" t="n">
        <v>1</v>
      </c>
      <c r="BI385" t="n">
        <v>0</v>
      </c>
      <c r="BJ385" t="n">
        <v>0</v>
      </c>
      <c r="BK385" t="n">
        <v>0</v>
      </c>
      <c r="BL385" t="n">
        <v>0</v>
      </c>
      <c r="BO385" t="n">
        <v>0</v>
      </c>
      <c r="BS385" t="n">
        <v>2</v>
      </c>
      <c r="BT385" t="n">
        <v>7.2</v>
      </c>
      <c r="BW385" t="n">
        <v>0.21</v>
      </c>
      <c r="BX385" t="n">
        <v>0.212</v>
      </c>
      <c r="BY385" t="n">
        <v>0.211</v>
      </c>
      <c r="BZ385" t="n">
        <v>0.759</v>
      </c>
      <c r="CA385" t="n">
        <v>0.211</v>
      </c>
      <c r="CB385" t="n">
        <v>0.759</v>
      </c>
      <c r="CC385" t="n">
        <v>2</v>
      </c>
      <c r="CE385" t="n">
        <v>2</v>
      </c>
      <c r="CG385" t="n">
        <v>1</v>
      </c>
      <c r="CI385" t="n">
        <v>0.722</v>
      </c>
      <c r="CJ385" t="n">
        <v>0.51</v>
      </c>
      <c r="CK385" t="n">
        <v>0</v>
      </c>
      <c r="CL385" t="n">
        <v>1</v>
      </c>
      <c r="CM385" t="n">
        <v>0</v>
      </c>
      <c r="CW385" t="n">
        <v>0.34</v>
      </c>
      <c r="CX385" t="n">
        <v>1.224</v>
      </c>
      <c r="CY385" t="n">
        <v>0</v>
      </c>
      <c r="DB385" t="n">
        <v>0</v>
      </c>
      <c r="DF385" t="n">
        <v>0</v>
      </c>
      <c r="DG385" t="n">
        <v>0</v>
      </c>
      <c r="DH385" t="n">
        <v>1</v>
      </c>
      <c r="DM385" t="n">
        <v>2</v>
      </c>
      <c r="DO385" t="n">
        <v>0.1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inlineStr">
        <is>
          <t>flat</t>
        </is>
      </c>
      <c r="ED385" t="n">
        <v>100</v>
      </c>
      <c r="EE385" t="n">
        <v>463</v>
      </c>
      <c r="EG385" t="n">
        <v>12.5</v>
      </c>
      <c r="EH385" t="n">
        <v>12.5</v>
      </c>
      <c r="EJ385" t="n">
        <v>118.6</v>
      </c>
      <c r="EK385" t="n">
        <v>118.6</v>
      </c>
      <c r="EL385" t="n">
        <v>12.5</v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n">
        <v>5</v>
      </c>
      <c r="F386" t="b">
        <v>1</v>
      </c>
      <c r="G386" t="b">
        <v>1</v>
      </c>
      <c r="H386" t="n">
        <v>27.8</v>
      </c>
      <c r="I386" t="inlineStr">
        <is>
          <t>a</t>
        </is>
      </c>
      <c r="L386" t="inlineStr">
        <is>
          <t>p183656</t>
        </is>
      </c>
      <c r="M386" t="n">
        <v>103</v>
      </c>
      <c r="Q386" t="n">
        <v>2</v>
      </c>
      <c r="R386" t="n">
        <v>2</v>
      </c>
      <c r="S386" t="n">
        <v>0</v>
      </c>
      <c r="T386" t="n">
        <v>0.022</v>
      </c>
      <c r="U386" t="n">
        <v>1</v>
      </c>
      <c r="V386" t="n">
        <v>2</v>
      </c>
      <c r="W386" t="n">
        <v>90</v>
      </c>
      <c r="X386" t="n">
        <v>0</v>
      </c>
      <c r="Y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5</v>
      </c>
      <c r="AG386" t="n">
        <v>5</v>
      </c>
      <c r="AH386" t="n">
        <v>0</v>
      </c>
      <c r="AI386" t="n">
        <v>2</v>
      </c>
      <c r="AJ386" t="n">
        <v>0</v>
      </c>
      <c r="AK386" t="n">
        <v>0</v>
      </c>
      <c r="AL386" t="n">
        <v>1</v>
      </c>
      <c r="AM386" t="n">
        <v>45</v>
      </c>
      <c r="AN386" t="n">
        <v>0</v>
      </c>
      <c r="AO386" t="n">
        <v>0</v>
      </c>
      <c r="AS386" t="n">
        <v>0</v>
      </c>
      <c r="AT386" t="n">
        <v>0</v>
      </c>
      <c r="AU386" t="n">
        <v>2</v>
      </c>
      <c r="AV386" t="n">
        <v>0</v>
      </c>
      <c r="AW386" t="n">
        <v>0.26</v>
      </c>
      <c r="AX386" t="n">
        <v>1</v>
      </c>
      <c r="AY386" t="n">
        <v>0.08</v>
      </c>
      <c r="AZ386" t="n">
        <v>0.073</v>
      </c>
      <c r="BA386" t="n">
        <v>0.076</v>
      </c>
      <c r="BB386" t="n">
        <v>0.073</v>
      </c>
      <c r="BC386" t="n">
        <v>3.6</v>
      </c>
      <c r="BD386" t="n">
        <v>3.271</v>
      </c>
      <c r="BE386" t="n">
        <v>3.436</v>
      </c>
      <c r="BH386" t="n">
        <v>1.077</v>
      </c>
      <c r="BI386" t="n">
        <v>1.66</v>
      </c>
      <c r="BJ386" t="n">
        <v>0.08599999999999999</v>
      </c>
      <c r="BK386" t="n">
        <v>3.87</v>
      </c>
      <c r="BL386" t="n">
        <v>-0.076</v>
      </c>
      <c r="BO386" t="n">
        <v>0.007</v>
      </c>
      <c r="BP386" t="n">
        <v>1</v>
      </c>
      <c r="BS386" t="n">
        <v>1</v>
      </c>
      <c r="BT386" t="n">
        <v>45</v>
      </c>
      <c r="BW386" t="n">
        <v>0</v>
      </c>
      <c r="BX386" t="n">
        <v>0</v>
      </c>
      <c r="BY386" t="n">
        <v>0</v>
      </c>
      <c r="BZ386" t="n">
        <v>0</v>
      </c>
      <c r="CA386" t="n">
        <v>0.076</v>
      </c>
      <c r="CB386" t="n">
        <v>3.436</v>
      </c>
      <c r="CC386" t="n">
        <v>0</v>
      </c>
      <c r="CE386" t="n">
        <v>1</v>
      </c>
      <c r="CI386" t="n">
        <v>0.206</v>
      </c>
      <c r="CJ386" t="n">
        <v>0.133</v>
      </c>
      <c r="CK386" t="n">
        <v>0</v>
      </c>
      <c r="CL386" t="n">
        <v>1</v>
      </c>
      <c r="CM386" t="n">
        <v>0</v>
      </c>
      <c r="CW386" t="n">
        <v>0.05</v>
      </c>
      <c r="CX386" t="n">
        <v>2.25</v>
      </c>
      <c r="CY386" t="n">
        <v>0</v>
      </c>
      <c r="DB386" t="n">
        <v>0</v>
      </c>
      <c r="DF386" t="n">
        <v>0</v>
      </c>
      <c r="DG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inlineStr">
        <is>
          <t>flat</t>
        </is>
      </c>
      <c r="EF386" t="n">
        <v>2</v>
      </c>
      <c r="EG386" t="n">
        <v>2</v>
      </c>
      <c r="EH386" t="n">
        <v>2</v>
      </c>
      <c r="EI386" t="n">
        <v>26.2</v>
      </c>
      <c r="EK386" t="n">
        <v>26.2</v>
      </c>
      <c r="EL386" t="n">
        <v>1</v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n">
        <v>4.5</v>
      </c>
      <c r="F387" t="b">
        <v>1</v>
      </c>
      <c r="G387" t="b">
        <v>1</v>
      </c>
      <c r="H387" t="n">
        <v>19.4</v>
      </c>
      <c r="I387" t="inlineStr">
        <is>
          <t>a</t>
        </is>
      </c>
      <c r="L387" t="inlineStr">
        <is>
          <t>p519913</t>
        </is>
      </c>
      <c r="M387" t="n">
        <v>438</v>
      </c>
      <c r="Q387" t="n">
        <v>17</v>
      </c>
      <c r="R387" t="n">
        <v>2</v>
      </c>
      <c r="S387" t="n">
        <v>0</v>
      </c>
      <c r="T387" t="n">
        <v>0.189</v>
      </c>
      <c r="U387" t="n">
        <v>8.5</v>
      </c>
      <c r="V387" t="n">
        <v>2</v>
      </c>
      <c r="W387" t="n">
        <v>10.588</v>
      </c>
      <c r="X387" t="n">
        <v>0</v>
      </c>
      <c r="Y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6</v>
      </c>
      <c r="AG387" t="n">
        <v>6</v>
      </c>
      <c r="AH387" t="n">
        <v>0</v>
      </c>
      <c r="AI387" t="n">
        <v>2</v>
      </c>
      <c r="AJ387" t="n">
        <v>0</v>
      </c>
      <c r="AK387" t="n">
        <v>0</v>
      </c>
      <c r="AL387" t="n">
        <v>2</v>
      </c>
      <c r="AM387" t="n">
        <v>10.588</v>
      </c>
      <c r="AN387" t="n">
        <v>0</v>
      </c>
      <c r="AO387" t="n">
        <v>0</v>
      </c>
      <c r="AS387" t="n">
        <v>0</v>
      </c>
      <c r="AT387" t="n">
        <v>0</v>
      </c>
      <c r="AU387" t="n">
        <v>2</v>
      </c>
      <c r="AV387" t="n">
        <v>0</v>
      </c>
      <c r="AW387" t="n">
        <v>0.3</v>
      </c>
      <c r="AX387" t="n">
        <v>1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H387" t="n">
        <v>1</v>
      </c>
      <c r="BI387" t="n">
        <v>0</v>
      </c>
      <c r="BJ387" t="n">
        <v>0</v>
      </c>
      <c r="BK387" t="n">
        <v>0</v>
      </c>
      <c r="BL387" t="n">
        <v>0</v>
      </c>
      <c r="BO387" t="n">
        <v>0</v>
      </c>
      <c r="BW387" t="n">
        <v>0.01</v>
      </c>
      <c r="BX387" t="n">
        <v>0</v>
      </c>
      <c r="BY387" t="n">
        <v>0.005</v>
      </c>
      <c r="BZ387" t="n">
        <v>0.026</v>
      </c>
      <c r="CA387" t="n">
        <v>0.005</v>
      </c>
      <c r="CB387" t="n">
        <v>0.026</v>
      </c>
      <c r="CC387" t="n">
        <v>0</v>
      </c>
      <c r="CI387" t="n">
        <v>0.021</v>
      </c>
      <c r="CJ387" t="n">
        <v>0.021</v>
      </c>
      <c r="CK387" t="n">
        <v>0</v>
      </c>
      <c r="CL387" t="n">
        <v>2</v>
      </c>
      <c r="CM387" t="n">
        <v>0</v>
      </c>
      <c r="CW387" t="n">
        <v>0.33</v>
      </c>
      <c r="CX387" t="n">
        <v>1.747</v>
      </c>
      <c r="CY387" t="n">
        <v>0</v>
      </c>
      <c r="DB387" t="n">
        <v>0</v>
      </c>
      <c r="DF387" t="n">
        <v>0</v>
      </c>
      <c r="DG387" t="n">
        <v>0</v>
      </c>
      <c r="DO387" t="n">
        <v>0.3</v>
      </c>
      <c r="DP387" t="n">
        <v>6.44</v>
      </c>
      <c r="DQ387" t="n">
        <v>3.2</v>
      </c>
      <c r="DR387" t="n">
        <v>6.4</v>
      </c>
      <c r="DS387" t="n">
        <v>0.04</v>
      </c>
      <c r="DT387" t="n">
        <v>52</v>
      </c>
      <c r="DU387" t="n">
        <v>1.36</v>
      </c>
      <c r="DV387" t="inlineStr">
        <is>
          <t>flat</t>
        </is>
      </c>
      <c r="EJ387" t="n">
        <v>3400</v>
      </c>
      <c r="EK387" t="n">
        <v>3400</v>
      </c>
      <c r="EL387" t="n">
        <v>8.5</v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n">
        <v>4.5</v>
      </c>
      <c r="F388" t="b">
        <v>1</v>
      </c>
      <c r="G388" t="b">
        <v>1</v>
      </c>
      <c r="H388" t="n">
        <v>23.2</v>
      </c>
      <c r="I388" t="inlineStr">
        <is>
          <t>a</t>
        </is>
      </c>
      <c r="L388" t="inlineStr">
        <is>
          <t>p519634</t>
        </is>
      </c>
      <c r="M388" t="n">
        <v>537</v>
      </c>
      <c r="Q388" t="n">
        <v>133</v>
      </c>
      <c r="R388" t="n">
        <v>2</v>
      </c>
      <c r="S388" t="n">
        <v>1</v>
      </c>
      <c r="T388" t="n">
        <v>1.478</v>
      </c>
      <c r="U388" t="n">
        <v>66.5</v>
      </c>
      <c r="V388" t="n">
        <v>2</v>
      </c>
      <c r="W388" t="n">
        <v>1.353</v>
      </c>
      <c r="X388" t="n">
        <v>0</v>
      </c>
      <c r="Y388" t="n">
        <v>0</v>
      </c>
      <c r="AA388" t="n">
        <v>0</v>
      </c>
      <c r="AB388" t="n">
        <v>2</v>
      </c>
      <c r="AC388" t="n">
        <v>0</v>
      </c>
      <c r="AD388" t="n">
        <v>0</v>
      </c>
      <c r="AE388" t="n">
        <v>0</v>
      </c>
      <c r="AF388" t="n">
        <v>11</v>
      </c>
      <c r="AG388" t="n">
        <v>9</v>
      </c>
      <c r="AH388" t="n">
        <v>-2</v>
      </c>
      <c r="AI388" t="n">
        <v>2</v>
      </c>
      <c r="AJ388" t="n">
        <v>0</v>
      </c>
      <c r="AK388" t="n">
        <v>0</v>
      </c>
      <c r="AL388" t="n">
        <v>12</v>
      </c>
      <c r="AM388" t="n">
        <v>8.119999999999999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0.026</v>
      </c>
      <c r="AT388" t="n">
        <v>0.5</v>
      </c>
      <c r="AU388" t="n">
        <v>2</v>
      </c>
      <c r="AV388" t="n">
        <v>0</v>
      </c>
      <c r="AW388" t="n">
        <v>0.23</v>
      </c>
      <c r="AX388" t="n">
        <v>1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H388" t="n">
        <v>1</v>
      </c>
      <c r="BI388" t="n">
        <v>0</v>
      </c>
      <c r="BJ388" t="n">
        <v>0</v>
      </c>
      <c r="BK388" t="n">
        <v>0</v>
      </c>
      <c r="BL388" t="n">
        <v>0</v>
      </c>
      <c r="BO388" t="n">
        <v>0</v>
      </c>
      <c r="BW388" t="n">
        <v>0.01</v>
      </c>
      <c r="BX388" t="n">
        <v>0</v>
      </c>
      <c r="BY388" t="n">
        <v>0.005</v>
      </c>
      <c r="BZ388" t="n">
        <v>0.003</v>
      </c>
      <c r="CA388" t="n">
        <v>0.005</v>
      </c>
      <c r="CB388" t="n">
        <v>0.003</v>
      </c>
      <c r="CC388" t="n">
        <v>0</v>
      </c>
      <c r="CI388" t="n">
        <v>0.305</v>
      </c>
      <c r="CJ388" t="n">
        <v>0.305</v>
      </c>
      <c r="CK388" t="n">
        <v>8</v>
      </c>
      <c r="CL388" t="n">
        <v>6</v>
      </c>
      <c r="CM388" t="n">
        <v>4</v>
      </c>
      <c r="CP388" t="n">
        <v>7</v>
      </c>
      <c r="CQ388" t="n">
        <v>1</v>
      </c>
      <c r="CR388" t="n">
        <v>10</v>
      </c>
      <c r="CS388" t="n">
        <v>5</v>
      </c>
      <c r="CW388" t="n">
        <v>1.33</v>
      </c>
      <c r="CX388" t="n">
        <v>0.9</v>
      </c>
      <c r="CY388" t="n">
        <v>0</v>
      </c>
      <c r="DB388" t="n">
        <v>0</v>
      </c>
      <c r="DF388" t="n">
        <v>0</v>
      </c>
      <c r="DG388" t="n">
        <v>0</v>
      </c>
      <c r="DH388" t="n">
        <v>1</v>
      </c>
      <c r="DI388" t="n">
        <v>1</v>
      </c>
      <c r="DM388" t="n">
        <v>1</v>
      </c>
      <c r="DO388" t="n">
        <v>0</v>
      </c>
      <c r="DP388" t="n">
        <v>9.6</v>
      </c>
      <c r="DQ388" t="n">
        <v>4.85</v>
      </c>
      <c r="DR388" t="n">
        <v>9.699999999999999</v>
      </c>
      <c r="DS388" t="n">
        <v>-0.1</v>
      </c>
      <c r="DT388" t="n">
        <v>147</v>
      </c>
      <c r="DU388" t="n">
        <v>3.88</v>
      </c>
      <c r="DV388" t="inlineStr">
        <is>
          <t>flat</t>
        </is>
      </c>
      <c r="EJ388" t="n">
        <v>26600</v>
      </c>
      <c r="EK388" t="n">
        <v>26600</v>
      </c>
      <c r="EL388" t="n">
        <v>66.5</v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n">
        <v>4.5</v>
      </c>
      <c r="F389" t="b">
        <v>1</v>
      </c>
      <c r="G389" t="b">
        <v>1</v>
      </c>
      <c r="H389" t="n">
        <v>19.5</v>
      </c>
      <c r="I389" t="inlineStr">
        <is>
          <t>a</t>
        </is>
      </c>
      <c r="L389" t="inlineStr">
        <is>
          <t>p577285</t>
        </is>
      </c>
      <c r="M389" t="n">
        <v>51</v>
      </c>
      <c r="Q389" t="n">
        <v>25</v>
      </c>
      <c r="R389" t="n">
        <v>2</v>
      </c>
      <c r="S389" t="n">
        <v>0</v>
      </c>
      <c r="T389" t="n">
        <v>0.278</v>
      </c>
      <c r="U389" t="n">
        <v>12.5</v>
      </c>
      <c r="V389" t="n">
        <v>2</v>
      </c>
      <c r="W389" t="n">
        <v>7.2</v>
      </c>
      <c r="X389" t="n">
        <v>0</v>
      </c>
      <c r="Y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5</v>
      </c>
      <c r="AG389" t="n">
        <v>5</v>
      </c>
      <c r="AH389" t="n">
        <v>0</v>
      </c>
      <c r="AI389" t="n">
        <v>2</v>
      </c>
      <c r="AJ389" t="n">
        <v>0</v>
      </c>
      <c r="AK389" t="n">
        <v>0</v>
      </c>
      <c r="AL389" t="n">
        <v>1</v>
      </c>
      <c r="AM389" t="n">
        <v>3.6</v>
      </c>
      <c r="AN389" t="n">
        <v>0</v>
      </c>
      <c r="AO389" t="n">
        <v>0</v>
      </c>
      <c r="AS389" t="n">
        <v>0</v>
      </c>
      <c r="AT389" t="n">
        <v>0</v>
      </c>
      <c r="AU389" t="n">
        <v>2</v>
      </c>
      <c r="AV389" t="n">
        <v>0</v>
      </c>
      <c r="AW389" t="n">
        <v>0.27</v>
      </c>
      <c r="AX389" t="n">
        <v>1</v>
      </c>
      <c r="AY389" t="n">
        <v>0.04</v>
      </c>
      <c r="AZ389" t="n">
        <v>0.019</v>
      </c>
      <c r="BA389" t="n">
        <v>0.03</v>
      </c>
      <c r="BB389" t="n">
        <v>0.019</v>
      </c>
      <c r="BC389" t="n">
        <v>0.144</v>
      </c>
      <c r="BD389" t="n">
        <v>0.07000000000000001</v>
      </c>
      <c r="BE389" t="n">
        <v>0.107</v>
      </c>
      <c r="BH389" t="n">
        <v>0.995</v>
      </c>
      <c r="BI389" t="n">
        <v>0.04</v>
      </c>
      <c r="BJ389" t="n">
        <v>0.04</v>
      </c>
      <c r="BK389" t="n">
        <v>0.144</v>
      </c>
      <c r="BL389" t="n">
        <v>-0.03</v>
      </c>
      <c r="BO389" t="n">
        <v>0.021</v>
      </c>
      <c r="BP389" t="n">
        <v>1</v>
      </c>
      <c r="BW389" t="n">
        <v>0.01</v>
      </c>
      <c r="BX389" t="n">
        <v>0</v>
      </c>
      <c r="BY389" t="n">
        <v>0.005</v>
      </c>
      <c r="BZ389" t="n">
        <v>0.018</v>
      </c>
      <c r="CA389" t="n">
        <v>0.035</v>
      </c>
      <c r="CB389" t="n">
        <v>0.125</v>
      </c>
      <c r="CC389" t="n">
        <v>0</v>
      </c>
      <c r="CI389" t="n">
        <v>0.382</v>
      </c>
      <c r="CJ389" t="n">
        <v>0.362</v>
      </c>
      <c r="CK389" t="n">
        <v>0</v>
      </c>
      <c r="CL389" t="n">
        <v>1</v>
      </c>
      <c r="CM389" t="n">
        <v>0</v>
      </c>
      <c r="CW389" t="n">
        <v>0.61</v>
      </c>
      <c r="CX389" t="n">
        <v>2.196</v>
      </c>
      <c r="CY389" t="n">
        <v>0</v>
      </c>
      <c r="DB389" t="n">
        <v>0</v>
      </c>
      <c r="DF389" t="n">
        <v>0</v>
      </c>
      <c r="DG389" t="n">
        <v>0</v>
      </c>
      <c r="DH389" t="n">
        <v>1</v>
      </c>
      <c r="DO389" t="n">
        <v>0.4</v>
      </c>
      <c r="DP389" t="n">
        <v>2.77</v>
      </c>
      <c r="DQ389" t="n">
        <v>1.86</v>
      </c>
      <c r="DR389" t="n">
        <v>3.72</v>
      </c>
      <c r="DS389" t="n">
        <v>-0.95</v>
      </c>
      <c r="DT389" t="n">
        <v>19</v>
      </c>
      <c r="DU389" t="n">
        <v>0.49</v>
      </c>
      <c r="DV389" t="inlineStr">
        <is>
          <t>flat</t>
        </is>
      </c>
      <c r="EF389" t="n">
        <v>25</v>
      </c>
      <c r="EI389" t="n">
        <v>841.9</v>
      </c>
      <c r="EJ389" t="n">
        <v>5000</v>
      </c>
      <c r="EK389" t="n">
        <v>720.6</v>
      </c>
      <c r="EL389" t="n">
        <v>12.5</v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n">
        <v>4.5</v>
      </c>
      <c r="F390" t="b">
        <v>1</v>
      </c>
      <c r="G390" t="b">
        <v>1</v>
      </c>
      <c r="H390" t="n">
        <v>22.4</v>
      </c>
      <c r="I390" t="inlineStr">
        <is>
          <t>a</t>
        </is>
      </c>
      <c r="L390" t="inlineStr">
        <is>
          <t>p490145</t>
        </is>
      </c>
      <c r="M390" t="n">
        <v>528</v>
      </c>
      <c r="Q390" t="n">
        <v>7</v>
      </c>
      <c r="R390" t="n">
        <v>2</v>
      </c>
      <c r="S390" t="n">
        <v>0</v>
      </c>
      <c r="T390" t="n">
        <v>0.078</v>
      </c>
      <c r="U390" t="n">
        <v>3.5</v>
      </c>
      <c r="V390" t="n">
        <v>2</v>
      </c>
      <c r="W390" t="n">
        <v>25.714</v>
      </c>
      <c r="X390" t="n">
        <v>0</v>
      </c>
      <c r="Y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5</v>
      </c>
      <c r="AG390" t="n">
        <v>5</v>
      </c>
      <c r="AH390" t="n">
        <v>0</v>
      </c>
      <c r="AI390" t="n">
        <v>2</v>
      </c>
      <c r="AJ390" t="n">
        <v>0</v>
      </c>
      <c r="AK390" t="n">
        <v>0</v>
      </c>
      <c r="AL390" t="n">
        <v>1</v>
      </c>
      <c r="AM390" t="n">
        <v>12.857</v>
      </c>
      <c r="AN390" t="n">
        <v>0</v>
      </c>
      <c r="AO390" t="n">
        <v>0</v>
      </c>
      <c r="AS390" t="n">
        <v>0</v>
      </c>
      <c r="AT390" t="n">
        <v>0</v>
      </c>
      <c r="AU390" t="n">
        <v>2</v>
      </c>
      <c r="AV390" t="n">
        <v>0</v>
      </c>
      <c r="AW390" t="n">
        <v>0.23</v>
      </c>
      <c r="AX390" t="n">
        <v>1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H390" t="n">
        <v>0.995</v>
      </c>
      <c r="BI390" t="n">
        <v>0.04</v>
      </c>
      <c r="BJ390" t="n">
        <v>0</v>
      </c>
      <c r="BK390" t="n">
        <v>0</v>
      </c>
      <c r="BL390" t="n">
        <v>0</v>
      </c>
      <c r="BO390" t="n">
        <v>0</v>
      </c>
      <c r="BS390" t="n">
        <v>1</v>
      </c>
      <c r="BT390" t="n">
        <v>12.857</v>
      </c>
      <c r="BW390" t="n">
        <v>0.01</v>
      </c>
      <c r="BX390" t="n">
        <v>0</v>
      </c>
      <c r="BY390" t="n">
        <v>0.005</v>
      </c>
      <c r="BZ390" t="n">
        <v>0.064</v>
      </c>
      <c r="CA390" t="n">
        <v>0.005</v>
      </c>
      <c r="CB390" t="n">
        <v>0.064</v>
      </c>
      <c r="CC390" t="n">
        <v>0</v>
      </c>
      <c r="CF390" t="n">
        <v>1</v>
      </c>
      <c r="CI390" t="n">
        <v>0.051</v>
      </c>
      <c r="CJ390" t="n">
        <v>0.051</v>
      </c>
      <c r="CK390" t="n">
        <v>0</v>
      </c>
      <c r="CL390" t="n">
        <v>1</v>
      </c>
      <c r="CM390" t="n">
        <v>0</v>
      </c>
      <c r="CW390" t="n">
        <v>0.03</v>
      </c>
      <c r="CX390" t="n">
        <v>0.386</v>
      </c>
      <c r="CY390" t="n">
        <v>0</v>
      </c>
      <c r="DB390" t="n">
        <v>0</v>
      </c>
      <c r="DF390" t="n">
        <v>0</v>
      </c>
      <c r="DG390" t="n">
        <v>0</v>
      </c>
      <c r="DH390" t="n">
        <v>1</v>
      </c>
      <c r="DM390" t="n">
        <v>1</v>
      </c>
      <c r="DO390" t="n">
        <v>1.7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inlineStr">
        <is>
          <t>flat</t>
        </is>
      </c>
      <c r="EG390" t="n">
        <v>7</v>
      </c>
      <c r="EJ390" t="n">
        <v>1400</v>
      </c>
      <c r="EK390" t="n">
        <v>1400</v>
      </c>
      <c r="EL390" t="n">
        <v>3.5</v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n">
        <v>4.5</v>
      </c>
      <c r="F391" t="b">
        <v>1</v>
      </c>
      <c r="G391" t="b">
        <v>1</v>
      </c>
      <c r="H391" t="n">
        <v>20.1</v>
      </c>
      <c r="I391" t="inlineStr">
        <is>
          <t>u</t>
        </is>
      </c>
      <c r="J391" t="inlineStr">
        <is>
          <t>Has joined Bristol City on loan for the rest of the season</t>
        </is>
      </c>
      <c r="K391" t="n">
        <v>0</v>
      </c>
      <c r="L391" t="inlineStr">
        <is>
          <t>p590014</t>
        </is>
      </c>
      <c r="M391" t="n">
        <v>220</v>
      </c>
      <c r="Q391" t="n">
        <v>90</v>
      </c>
      <c r="R391" t="n">
        <v>1</v>
      </c>
      <c r="S391" t="n">
        <v>1</v>
      </c>
      <c r="T391" t="n">
        <v>1</v>
      </c>
      <c r="U391" t="n">
        <v>90</v>
      </c>
      <c r="V391" t="n">
        <v>2</v>
      </c>
      <c r="W391" t="n">
        <v>2</v>
      </c>
      <c r="X391" t="n">
        <v>0</v>
      </c>
      <c r="Y391" t="n">
        <v>0</v>
      </c>
      <c r="AA391" t="n">
        <v>0</v>
      </c>
      <c r="AB391" t="n">
        <v>2</v>
      </c>
      <c r="AC391" t="n">
        <v>0</v>
      </c>
      <c r="AD391" t="n">
        <v>0</v>
      </c>
      <c r="AE391" t="n">
        <v>0</v>
      </c>
      <c r="AF391" t="n">
        <v>21</v>
      </c>
      <c r="AG391" t="n">
        <v>20</v>
      </c>
      <c r="AH391" t="n">
        <v>-1</v>
      </c>
      <c r="AI391" t="n">
        <v>2</v>
      </c>
      <c r="AJ391" t="n">
        <v>0</v>
      </c>
      <c r="AK391" t="n">
        <v>0</v>
      </c>
      <c r="AL391" t="n">
        <v>7</v>
      </c>
      <c r="AM391" t="n">
        <v>7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0.026</v>
      </c>
      <c r="AT391" t="n">
        <v>1</v>
      </c>
      <c r="AU391" t="n">
        <v>1</v>
      </c>
      <c r="AV391" t="n">
        <v>0</v>
      </c>
      <c r="AW391" t="n">
        <v>0.32</v>
      </c>
      <c r="AX391" t="n">
        <v>2</v>
      </c>
      <c r="AY391" t="n">
        <v>0.02</v>
      </c>
      <c r="AZ391" t="n">
        <v>0.018</v>
      </c>
      <c r="BA391" t="n">
        <v>0.019</v>
      </c>
      <c r="BB391" t="n">
        <v>0.018</v>
      </c>
      <c r="BC391" t="n">
        <v>0.02</v>
      </c>
      <c r="BD391" t="n">
        <v>0.018</v>
      </c>
      <c r="BE391" t="n">
        <v>0.019</v>
      </c>
      <c r="BH391" t="n">
        <v>0.998</v>
      </c>
      <c r="BI391" t="n">
        <v>0.02</v>
      </c>
      <c r="BJ391" t="n">
        <v>0.02</v>
      </c>
      <c r="BK391" t="n">
        <v>0.02</v>
      </c>
      <c r="BL391" t="n">
        <v>-0.019</v>
      </c>
      <c r="BO391" t="n">
        <v>0.002</v>
      </c>
      <c r="BP391" t="n">
        <v>1</v>
      </c>
      <c r="BS391" t="n">
        <v>1</v>
      </c>
      <c r="BT391" t="n">
        <v>1</v>
      </c>
      <c r="BW391" t="n">
        <v>0.16</v>
      </c>
      <c r="BX391" t="n">
        <v>0.298</v>
      </c>
      <c r="BY391" t="n">
        <v>0.229</v>
      </c>
      <c r="BZ391" t="n">
        <v>0.229</v>
      </c>
      <c r="CA391" t="n">
        <v>0.248</v>
      </c>
      <c r="CB391" t="n">
        <v>0.248</v>
      </c>
      <c r="CC391" t="n">
        <v>2</v>
      </c>
      <c r="CD391" t="n">
        <v>2</v>
      </c>
      <c r="CE391" t="n">
        <v>2</v>
      </c>
      <c r="CF391" t="n">
        <v>2</v>
      </c>
      <c r="CI391" t="n">
        <v>0.406</v>
      </c>
      <c r="CJ391" t="n">
        <v>0.182</v>
      </c>
      <c r="CK391" t="n">
        <v>2</v>
      </c>
      <c r="CL391" t="n">
        <v>4</v>
      </c>
      <c r="CM391" t="n">
        <v>1</v>
      </c>
      <c r="CN391" t="n">
        <v>1</v>
      </c>
      <c r="CP391" t="n">
        <v>2</v>
      </c>
      <c r="CR391" t="n">
        <v>4</v>
      </c>
      <c r="CW391" t="n">
        <v>2.53</v>
      </c>
      <c r="CX391" t="n">
        <v>2.53</v>
      </c>
      <c r="CY391" t="n">
        <v>0</v>
      </c>
      <c r="DB391" t="n">
        <v>0</v>
      </c>
      <c r="DF391" t="n">
        <v>0</v>
      </c>
      <c r="DG391" t="n">
        <v>0</v>
      </c>
      <c r="DI391" t="n">
        <v>1</v>
      </c>
      <c r="DL391" t="n">
        <v>2</v>
      </c>
      <c r="DM391" t="n">
        <v>1</v>
      </c>
      <c r="DO391" t="n">
        <v>0</v>
      </c>
      <c r="EF391" t="n">
        <v>90</v>
      </c>
      <c r="EG391" t="n">
        <v>90</v>
      </c>
      <c r="EH391" t="n">
        <v>45</v>
      </c>
      <c r="EI391" t="n">
        <v>4681.8</v>
      </c>
      <c r="EJ391" t="n">
        <v>393</v>
      </c>
      <c r="EK391" t="n">
        <v>362.6</v>
      </c>
      <c r="EL391" t="n">
        <v>45</v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n">
        <v>4</v>
      </c>
      <c r="F392" t="b">
        <v>1</v>
      </c>
      <c r="G392" t="b">
        <v>1</v>
      </c>
      <c r="I392" t="inlineStr">
        <is>
          <t>a</t>
        </is>
      </c>
      <c r="L392" t="inlineStr">
        <is>
          <t>p640419</t>
        </is>
      </c>
      <c r="M392" t="n">
        <v>509</v>
      </c>
      <c r="Q392" t="n">
        <v>1</v>
      </c>
      <c r="R392" t="n">
        <v>1</v>
      </c>
      <c r="S392" t="n">
        <v>0</v>
      </c>
      <c r="T392" t="n">
        <v>0.011</v>
      </c>
      <c r="U392" t="n">
        <v>1</v>
      </c>
      <c r="V392" t="n">
        <v>1</v>
      </c>
      <c r="W392" t="n">
        <v>90</v>
      </c>
      <c r="X392" t="n">
        <v>0</v>
      </c>
      <c r="Y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3</v>
      </c>
      <c r="AG392" t="n">
        <v>3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0.18</v>
      </c>
      <c r="AX392" t="n">
        <v>1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H392" t="n">
        <v>1</v>
      </c>
      <c r="BI392" t="n">
        <v>0</v>
      </c>
      <c r="BJ392" t="n">
        <v>0</v>
      </c>
      <c r="BK392" t="n">
        <v>0</v>
      </c>
      <c r="BL392" t="n">
        <v>0</v>
      </c>
      <c r="BO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R392" t="n">
        <v>1</v>
      </c>
      <c r="CS392" t="n">
        <v>1</v>
      </c>
      <c r="CW392" t="n">
        <v>0</v>
      </c>
      <c r="CX392" t="n">
        <v>0</v>
      </c>
      <c r="CY392" t="n">
        <v>0</v>
      </c>
      <c r="DB392" t="n">
        <v>0</v>
      </c>
      <c r="DF392" t="n">
        <v>0</v>
      </c>
      <c r="DG392" t="n">
        <v>0</v>
      </c>
      <c r="DO392" t="n">
        <v>0.1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inlineStr">
        <is>
          <t>flat</t>
        </is>
      </c>
      <c r="EL392" t="n">
        <v>1</v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n">
        <v>4.5</v>
      </c>
      <c r="F393" t="b">
        <v>1</v>
      </c>
      <c r="G393" t="b">
        <v>1</v>
      </c>
      <c r="I393" t="inlineStr">
        <is>
          <t>a</t>
        </is>
      </c>
      <c r="L393" t="inlineStr">
        <is>
          <t>p556637</t>
        </is>
      </c>
      <c r="M393" t="n">
        <v>134</v>
      </c>
      <c r="Q393" t="n">
        <v>1</v>
      </c>
      <c r="R393" t="n">
        <v>1</v>
      </c>
      <c r="S393" t="n">
        <v>0</v>
      </c>
      <c r="T393" t="n">
        <v>0.011</v>
      </c>
      <c r="U393" t="n">
        <v>1</v>
      </c>
      <c r="V393" t="n">
        <v>1</v>
      </c>
      <c r="W393" t="n">
        <v>90</v>
      </c>
      <c r="X393" t="n">
        <v>0</v>
      </c>
      <c r="Y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3</v>
      </c>
      <c r="AG393" t="n">
        <v>3</v>
      </c>
      <c r="AH393" t="n">
        <v>0</v>
      </c>
      <c r="AI393" t="n">
        <v>1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S393" t="n">
        <v>0</v>
      </c>
      <c r="AT393" t="n">
        <v>0</v>
      </c>
      <c r="AU393" t="n">
        <v>1</v>
      </c>
      <c r="AV393" t="n">
        <v>0</v>
      </c>
      <c r="AW393" t="n">
        <v>0.18</v>
      </c>
      <c r="AX393" t="n">
        <v>1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H393" t="n">
        <v>1</v>
      </c>
      <c r="BI393" t="n">
        <v>0</v>
      </c>
      <c r="BJ393" t="n">
        <v>0</v>
      </c>
      <c r="BK393" t="n">
        <v>0</v>
      </c>
      <c r="BL393" t="n">
        <v>0</v>
      </c>
      <c r="BO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W393" t="n">
        <v>0</v>
      </c>
      <c r="CX393" t="n">
        <v>0</v>
      </c>
      <c r="CY393" t="n">
        <v>0</v>
      </c>
      <c r="DB393" t="n">
        <v>0</v>
      </c>
      <c r="DF393" t="n">
        <v>0</v>
      </c>
      <c r="DG393" t="n">
        <v>0</v>
      </c>
      <c r="DO393" t="n">
        <v>0.2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inlineStr">
        <is>
          <t>flat</t>
        </is>
      </c>
      <c r="EL393" t="n">
        <v>1</v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n">
        <v>4.5</v>
      </c>
      <c r="F394" t="b">
        <v>1</v>
      </c>
      <c r="G394" t="b">
        <v>1</v>
      </c>
      <c r="H394" t="n">
        <v>18.5</v>
      </c>
      <c r="I394" t="inlineStr">
        <is>
          <t>a</t>
        </is>
      </c>
      <c r="L394" t="inlineStr">
        <is>
          <t>p645618</t>
        </is>
      </c>
      <c r="M394" t="n">
        <v>50</v>
      </c>
      <c r="Q394" t="n">
        <v>16</v>
      </c>
      <c r="R394" t="n">
        <v>1</v>
      </c>
      <c r="S394" t="n">
        <v>0</v>
      </c>
      <c r="T394" t="n">
        <v>0.178</v>
      </c>
      <c r="U394" t="n">
        <v>16</v>
      </c>
      <c r="V394" t="n">
        <v>1</v>
      </c>
      <c r="W394" t="n">
        <v>5.625</v>
      </c>
      <c r="X394" t="n">
        <v>0</v>
      </c>
      <c r="Y394" t="n">
        <v>0</v>
      </c>
      <c r="AA394" t="n">
        <v>0</v>
      </c>
      <c r="AB394" t="n">
        <v>1</v>
      </c>
      <c r="AC394" t="n">
        <v>0</v>
      </c>
      <c r="AD394" t="n">
        <v>0</v>
      </c>
      <c r="AE394" t="n">
        <v>0</v>
      </c>
      <c r="AF394" t="n">
        <v>3</v>
      </c>
      <c r="AG394" t="n">
        <v>3</v>
      </c>
      <c r="AH394" t="n">
        <v>0</v>
      </c>
      <c r="AI394" t="n">
        <v>1</v>
      </c>
      <c r="AJ394" t="n">
        <v>0</v>
      </c>
      <c r="AK394" t="n">
        <v>0</v>
      </c>
      <c r="AL394" t="n">
        <v>1</v>
      </c>
      <c r="AM394" t="n">
        <v>5.625</v>
      </c>
      <c r="AN394" t="n">
        <v>0</v>
      </c>
      <c r="AO394" t="n">
        <v>0</v>
      </c>
      <c r="AS394" t="n">
        <v>0</v>
      </c>
      <c r="AT394" t="n">
        <v>0</v>
      </c>
      <c r="AU394" t="n">
        <v>1</v>
      </c>
      <c r="AV394" t="n">
        <v>0</v>
      </c>
      <c r="AW394" t="n">
        <v>0.16</v>
      </c>
      <c r="AX394" t="n">
        <v>1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H394" t="n">
        <v>1</v>
      </c>
      <c r="BI394" t="n">
        <v>0</v>
      </c>
      <c r="BJ394" t="n">
        <v>0</v>
      </c>
      <c r="BK394" t="n">
        <v>0</v>
      </c>
      <c r="BL394" t="n">
        <v>0</v>
      </c>
      <c r="BO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I394" t="n">
        <v>0</v>
      </c>
      <c r="CJ394" t="n">
        <v>0</v>
      </c>
      <c r="CK394" t="n">
        <v>0</v>
      </c>
      <c r="CL394" t="n">
        <v>1</v>
      </c>
      <c r="CM394" t="n">
        <v>0</v>
      </c>
      <c r="CR394" t="n">
        <v>1</v>
      </c>
      <c r="CW394" t="n">
        <v>0.9</v>
      </c>
      <c r="CX394" t="n">
        <v>5.063</v>
      </c>
      <c r="CY394" t="n">
        <v>0</v>
      </c>
      <c r="DB394" t="n">
        <v>0</v>
      </c>
      <c r="DF394" t="n">
        <v>0</v>
      </c>
      <c r="DG394" t="n">
        <v>0</v>
      </c>
      <c r="DI394" t="n">
        <v>1</v>
      </c>
      <c r="DO394" t="n">
        <v>0.8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inlineStr">
        <is>
          <t>flat</t>
        </is>
      </c>
      <c r="EL394" t="n">
        <v>16</v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n">
        <v>4.5</v>
      </c>
      <c r="F395" t="b">
        <v>1</v>
      </c>
      <c r="G395" t="b">
        <v>1</v>
      </c>
      <c r="H395" t="n">
        <v>19.2</v>
      </c>
      <c r="I395" t="inlineStr">
        <is>
          <t>a</t>
        </is>
      </c>
      <c r="L395" t="inlineStr">
        <is>
          <t>p599303</t>
        </is>
      </c>
      <c r="M395" t="n">
        <v>466</v>
      </c>
      <c r="Q395" t="n">
        <v>13</v>
      </c>
      <c r="R395" t="n">
        <v>1</v>
      </c>
      <c r="S395" t="n">
        <v>0</v>
      </c>
      <c r="T395" t="n">
        <v>0.144</v>
      </c>
      <c r="U395" t="n">
        <v>13</v>
      </c>
      <c r="V395" t="n">
        <v>1</v>
      </c>
      <c r="W395" t="n">
        <v>6.923</v>
      </c>
      <c r="X395" t="n">
        <v>0</v>
      </c>
      <c r="Y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2</v>
      </c>
      <c r="AG395" t="n">
        <v>2</v>
      </c>
      <c r="AH395" t="n">
        <v>0</v>
      </c>
      <c r="AI395" t="n">
        <v>1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S395" t="n">
        <v>0</v>
      </c>
      <c r="AT395" t="n">
        <v>0</v>
      </c>
      <c r="AU395" t="n">
        <v>1</v>
      </c>
      <c r="AV395" t="n">
        <v>0</v>
      </c>
      <c r="AW395" t="n">
        <v>0.16</v>
      </c>
      <c r="AX395" t="n">
        <v>1</v>
      </c>
      <c r="AY395" t="n">
        <v>0.03</v>
      </c>
      <c r="BA395" t="n">
        <v>0.03</v>
      </c>
      <c r="BC395" t="n">
        <v>0.208</v>
      </c>
      <c r="BE395" t="n">
        <v>0.208</v>
      </c>
      <c r="BH395" t="n">
        <v>0.996</v>
      </c>
      <c r="BI395" t="n">
        <v>0.03</v>
      </c>
      <c r="BJ395" t="n">
        <v>0.03</v>
      </c>
      <c r="BK395" t="n">
        <v>0.208</v>
      </c>
      <c r="BL395" t="n">
        <v>-0.03</v>
      </c>
      <c r="BP395" t="n">
        <v>1</v>
      </c>
      <c r="BS395" t="n">
        <v>1</v>
      </c>
      <c r="BT395" t="n">
        <v>6.923</v>
      </c>
      <c r="BW395" t="n">
        <v>0</v>
      </c>
      <c r="BY395" t="n">
        <v>0</v>
      </c>
      <c r="BZ395" t="n">
        <v>0</v>
      </c>
      <c r="CA395" t="n">
        <v>0.03</v>
      </c>
      <c r="CB395" t="n">
        <v>0.208</v>
      </c>
      <c r="CK395" t="n">
        <v>0</v>
      </c>
      <c r="CL395" t="n">
        <v>0</v>
      </c>
      <c r="CM395" t="n">
        <v>0</v>
      </c>
      <c r="CW395" t="n">
        <v>0.37</v>
      </c>
      <c r="CX395" t="n">
        <v>2.562</v>
      </c>
      <c r="CY395" t="n">
        <v>0</v>
      </c>
      <c r="DB395" t="n">
        <v>0</v>
      </c>
      <c r="DF395" t="n">
        <v>0</v>
      </c>
      <c r="DG395" t="n">
        <v>0</v>
      </c>
      <c r="DM395" t="n">
        <v>1</v>
      </c>
      <c r="DO395" t="n">
        <v>0.7</v>
      </c>
      <c r="DP395" t="n">
        <v>1.14</v>
      </c>
      <c r="DQ395" t="n">
        <v>0.57</v>
      </c>
      <c r="DR395" t="n">
        <v>1.14</v>
      </c>
      <c r="DS395" t="n">
        <v>0</v>
      </c>
      <c r="DT395" t="n">
        <v>0</v>
      </c>
      <c r="DU395" t="n">
        <v>0.01</v>
      </c>
      <c r="DV395" t="inlineStr">
        <is>
          <t>flat</t>
        </is>
      </c>
      <c r="EF395" t="n">
        <v>13</v>
      </c>
      <c r="EG395" t="n">
        <v>13</v>
      </c>
      <c r="EI395" t="n">
        <v>433.3</v>
      </c>
      <c r="EK395" t="n">
        <v>433.3</v>
      </c>
      <c r="EL395" t="n">
        <v>13</v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n">
        <v>4.5</v>
      </c>
      <c r="F396" t="b">
        <v>1</v>
      </c>
      <c r="G396" t="b">
        <v>1</v>
      </c>
      <c r="H396" t="n">
        <v>19.5</v>
      </c>
      <c r="I396" t="inlineStr">
        <is>
          <t>a</t>
        </is>
      </c>
      <c r="L396" t="inlineStr">
        <is>
          <t>p593174</t>
        </is>
      </c>
      <c r="M396" t="n">
        <v>107</v>
      </c>
      <c r="Q396" t="n">
        <v>1</v>
      </c>
      <c r="R396" t="n">
        <v>1</v>
      </c>
      <c r="S396" t="n">
        <v>0</v>
      </c>
      <c r="T396" t="n">
        <v>0.011</v>
      </c>
      <c r="U396" t="n">
        <v>1</v>
      </c>
      <c r="V396" t="n">
        <v>1</v>
      </c>
      <c r="W396" t="n">
        <v>90</v>
      </c>
      <c r="X396" t="n">
        <v>0</v>
      </c>
      <c r="Y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2</v>
      </c>
      <c r="AG396" t="n">
        <v>2</v>
      </c>
      <c r="AH396" t="n">
        <v>0</v>
      </c>
      <c r="AI396" t="n">
        <v>1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S396" t="n">
        <v>0</v>
      </c>
      <c r="AT396" t="n">
        <v>0</v>
      </c>
      <c r="AU396" t="n">
        <v>1</v>
      </c>
      <c r="AV396" t="n">
        <v>0</v>
      </c>
      <c r="AW396" t="n">
        <v>0.24</v>
      </c>
      <c r="AX396" t="n">
        <v>1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H396" t="n">
        <v>1</v>
      </c>
      <c r="BI396" t="n">
        <v>0</v>
      </c>
      <c r="BJ396" t="n">
        <v>0</v>
      </c>
      <c r="BK396" t="n">
        <v>0</v>
      </c>
      <c r="BL396" t="n">
        <v>0</v>
      </c>
      <c r="BO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W396" t="n">
        <v>0.02</v>
      </c>
      <c r="CX396" t="n">
        <v>1.8</v>
      </c>
      <c r="CY396" t="n">
        <v>0</v>
      </c>
      <c r="DB396" t="n">
        <v>0</v>
      </c>
      <c r="DF396" t="n">
        <v>0</v>
      </c>
      <c r="DG396" t="n">
        <v>0</v>
      </c>
      <c r="DH396" t="n">
        <v>1</v>
      </c>
      <c r="DO396" t="n">
        <v>0.8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inlineStr">
        <is>
          <t>flat</t>
        </is>
      </c>
      <c r="ED396" t="n">
        <v>100</v>
      </c>
      <c r="EE396" t="n">
        <v>469</v>
      </c>
      <c r="EL396" t="n">
        <v>1</v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n">
        <v>4.5</v>
      </c>
      <c r="F397" t="b">
        <v>1</v>
      </c>
      <c r="G397" t="b">
        <v>1</v>
      </c>
      <c r="I397" t="inlineStr">
        <is>
          <t>a</t>
        </is>
      </c>
      <c r="L397" t="inlineStr">
        <is>
          <t>p567119</t>
        </is>
      </c>
      <c r="M397" t="n">
        <v>169</v>
      </c>
      <c r="Q397" t="n">
        <v>1</v>
      </c>
      <c r="R397" t="n">
        <v>1</v>
      </c>
      <c r="S397" t="n">
        <v>0</v>
      </c>
      <c r="T397" t="n">
        <v>0.011</v>
      </c>
      <c r="U397" t="n">
        <v>1</v>
      </c>
      <c r="V397" t="n">
        <v>1</v>
      </c>
      <c r="W397" t="n">
        <v>90</v>
      </c>
      <c r="X397" t="n">
        <v>0</v>
      </c>
      <c r="Y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3</v>
      </c>
      <c r="AG397" t="n">
        <v>3</v>
      </c>
      <c r="AH397" t="n">
        <v>0</v>
      </c>
      <c r="AI397" t="n">
        <v>1</v>
      </c>
      <c r="AJ397" t="n">
        <v>0</v>
      </c>
      <c r="AK397" t="n">
        <v>0</v>
      </c>
      <c r="AL397" t="n">
        <v>1</v>
      </c>
      <c r="AM397" t="n">
        <v>90</v>
      </c>
      <c r="AN397" t="n">
        <v>0</v>
      </c>
      <c r="AO397" t="n">
        <v>0</v>
      </c>
      <c r="AS397" t="n">
        <v>0</v>
      </c>
      <c r="AT397" t="n">
        <v>0</v>
      </c>
      <c r="AU397" t="n">
        <v>1</v>
      </c>
      <c r="AV397" t="n">
        <v>0</v>
      </c>
      <c r="AW397" t="n">
        <v>0.71</v>
      </c>
      <c r="AX397" t="n">
        <v>1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H397" t="n">
        <v>1.017</v>
      </c>
      <c r="BI397" t="n">
        <v>0.06</v>
      </c>
      <c r="BJ397" t="n">
        <v>0</v>
      </c>
      <c r="BK397" t="n">
        <v>0</v>
      </c>
      <c r="BL397" t="n">
        <v>0</v>
      </c>
      <c r="BO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I397" t="n">
        <v>0</v>
      </c>
      <c r="CJ397" t="n">
        <v>0</v>
      </c>
      <c r="CK397" t="n">
        <v>1</v>
      </c>
      <c r="CL397" t="n">
        <v>0</v>
      </c>
      <c r="CM397" t="n">
        <v>0</v>
      </c>
      <c r="CP397" t="n">
        <v>1</v>
      </c>
      <c r="CW397" t="n">
        <v>0.05</v>
      </c>
      <c r="CX397" t="n">
        <v>4.5</v>
      </c>
      <c r="CY397" t="n">
        <v>0</v>
      </c>
      <c r="DB397" t="n">
        <v>0</v>
      </c>
      <c r="DF397" t="n">
        <v>0</v>
      </c>
      <c r="DG397" t="n">
        <v>0</v>
      </c>
      <c r="DO397" t="n">
        <v>0.4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inlineStr">
        <is>
          <t>flat</t>
        </is>
      </c>
      <c r="EL397" t="n">
        <v>1</v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n">
        <v>4.5</v>
      </c>
      <c r="F398" t="b">
        <v>1</v>
      </c>
      <c r="G398" t="b">
        <v>1</v>
      </c>
      <c r="I398" t="inlineStr">
        <is>
          <t>a</t>
        </is>
      </c>
      <c r="L398" t="inlineStr">
        <is>
          <t>p576620</t>
        </is>
      </c>
      <c r="M398" t="n">
        <v>437</v>
      </c>
      <c r="Q398" t="n">
        <v>15</v>
      </c>
      <c r="R398" t="n">
        <v>1</v>
      </c>
      <c r="S398" t="n">
        <v>0</v>
      </c>
      <c r="T398" t="n">
        <v>0.167</v>
      </c>
      <c r="U398" t="n">
        <v>15</v>
      </c>
      <c r="V398" t="n">
        <v>1</v>
      </c>
      <c r="W398" t="n">
        <v>6</v>
      </c>
      <c r="X398" t="n">
        <v>0</v>
      </c>
      <c r="Y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3</v>
      </c>
      <c r="AG398" t="n">
        <v>3</v>
      </c>
      <c r="AH398" t="n">
        <v>0</v>
      </c>
      <c r="AI398" t="n">
        <v>1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0.21</v>
      </c>
      <c r="AX398" t="n">
        <v>1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H398" t="n">
        <v>1</v>
      </c>
      <c r="BI398" t="n">
        <v>0</v>
      </c>
      <c r="BJ398" t="n">
        <v>0</v>
      </c>
      <c r="BK398" t="n">
        <v>0</v>
      </c>
      <c r="BL398" t="n">
        <v>0</v>
      </c>
      <c r="BO398" t="n">
        <v>0</v>
      </c>
      <c r="BW398" t="n">
        <v>0.01</v>
      </c>
      <c r="BX398" t="n">
        <v>0.036</v>
      </c>
      <c r="BY398" t="n">
        <v>0.023</v>
      </c>
      <c r="BZ398" t="n">
        <v>0.139</v>
      </c>
      <c r="CA398" t="n">
        <v>0.023</v>
      </c>
      <c r="CB398" t="n">
        <v>0.139</v>
      </c>
      <c r="CC398" t="n">
        <v>1</v>
      </c>
      <c r="CE398" t="n">
        <v>1</v>
      </c>
      <c r="CI398" t="n">
        <v>0.124</v>
      </c>
      <c r="CJ398" t="n">
        <v>0.124</v>
      </c>
      <c r="CK398" t="n">
        <v>0</v>
      </c>
      <c r="CL398" t="n">
        <v>0</v>
      </c>
      <c r="CM398" t="n">
        <v>0</v>
      </c>
      <c r="CW398" t="n">
        <v>0.05</v>
      </c>
      <c r="CX398" t="n">
        <v>0.3</v>
      </c>
      <c r="CY398" t="n">
        <v>0</v>
      </c>
      <c r="DB398" t="n">
        <v>0</v>
      </c>
      <c r="DF398" t="n">
        <v>0</v>
      </c>
      <c r="DG398" t="n">
        <v>0</v>
      </c>
      <c r="DO398" t="n">
        <v>0.2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inlineStr">
        <is>
          <t>flat</t>
        </is>
      </c>
      <c r="DW398" t="n">
        <v>76</v>
      </c>
      <c r="DX398" t="n">
        <v>76</v>
      </c>
      <c r="DZ398" t="n">
        <v>76</v>
      </c>
      <c r="EA398" t="n">
        <v>76</v>
      </c>
      <c r="EB398" t="n">
        <v>1</v>
      </c>
      <c r="EC398" t="n">
        <v>0.5</v>
      </c>
      <c r="ED398" t="n">
        <v>0</v>
      </c>
      <c r="EE398" t="n">
        <v>473</v>
      </c>
      <c r="EH398" t="n">
        <v>15</v>
      </c>
      <c r="EJ398" t="n">
        <v>645.5</v>
      </c>
      <c r="EK398" t="n">
        <v>645.5</v>
      </c>
      <c r="EL398" t="n">
        <v>15</v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n">
        <v>5</v>
      </c>
      <c r="F399" t="b">
        <v>1</v>
      </c>
      <c r="G399" t="b">
        <v>1</v>
      </c>
      <c r="H399" t="n">
        <v>21.5</v>
      </c>
      <c r="I399" t="inlineStr">
        <is>
          <t>a</t>
        </is>
      </c>
      <c r="L399" t="inlineStr">
        <is>
          <t>p699989</t>
        </is>
      </c>
      <c r="M399" t="n">
        <v>550</v>
      </c>
      <c r="Q399" t="n">
        <v>38</v>
      </c>
      <c r="R399" t="n">
        <v>1</v>
      </c>
      <c r="S399" t="n">
        <v>1</v>
      </c>
      <c r="T399" t="n">
        <v>0.422</v>
      </c>
      <c r="U399" t="n">
        <v>38</v>
      </c>
      <c r="V399" t="n">
        <v>1</v>
      </c>
      <c r="W399" t="n">
        <v>2.368</v>
      </c>
      <c r="X399" t="n">
        <v>0</v>
      </c>
      <c r="Y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4</v>
      </c>
      <c r="AG399" t="n">
        <v>4</v>
      </c>
      <c r="AH399" t="n">
        <v>0</v>
      </c>
      <c r="AI399" t="n">
        <v>1</v>
      </c>
      <c r="AJ399" t="n">
        <v>0</v>
      </c>
      <c r="AK399" t="n">
        <v>0</v>
      </c>
      <c r="AL399" t="n">
        <v>3</v>
      </c>
      <c r="AM399" t="n">
        <v>7.105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0.026</v>
      </c>
      <c r="AT399" t="n">
        <v>0</v>
      </c>
      <c r="AU399" t="n">
        <v>1</v>
      </c>
      <c r="AV399" t="n">
        <v>0</v>
      </c>
      <c r="AW399" t="n">
        <v>0.25</v>
      </c>
      <c r="AX399" t="n">
        <v>1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H399" t="n">
        <v>1</v>
      </c>
      <c r="BI399" t="n">
        <v>0</v>
      </c>
      <c r="BJ399" t="n">
        <v>0</v>
      </c>
      <c r="BK399" t="n">
        <v>0</v>
      </c>
      <c r="BL399" t="n">
        <v>0</v>
      </c>
      <c r="BO399" t="n">
        <v>0</v>
      </c>
      <c r="BS399" t="n">
        <v>1</v>
      </c>
      <c r="BT399" t="n">
        <v>2.368</v>
      </c>
      <c r="BW399" t="n">
        <v>0.04</v>
      </c>
      <c r="BX399" t="n">
        <v>0</v>
      </c>
      <c r="BY399" t="n">
        <v>0.02</v>
      </c>
      <c r="BZ399" t="n">
        <v>0.047</v>
      </c>
      <c r="CA399" t="n">
        <v>0.02</v>
      </c>
      <c r="CB399" t="n">
        <v>0.047</v>
      </c>
      <c r="CC399" t="n">
        <v>0</v>
      </c>
      <c r="CE399" t="n">
        <v>0</v>
      </c>
      <c r="CF399" t="n">
        <v>1</v>
      </c>
      <c r="CH399" t="n">
        <v>3</v>
      </c>
      <c r="CI399" t="n">
        <v>0</v>
      </c>
      <c r="CJ399" t="n">
        <v>0</v>
      </c>
      <c r="CK399" t="n">
        <v>0</v>
      </c>
      <c r="CL399" t="n">
        <v>2</v>
      </c>
      <c r="CM399" t="n">
        <v>1</v>
      </c>
      <c r="CR399" t="n">
        <v>4</v>
      </c>
      <c r="CW399" t="n">
        <v>0.24</v>
      </c>
      <c r="CX399" t="n">
        <v>0.5679999999999999</v>
      </c>
      <c r="CY399" t="n">
        <v>0</v>
      </c>
      <c r="DB399" t="n">
        <v>0</v>
      </c>
      <c r="DF399" t="n">
        <v>0</v>
      </c>
      <c r="DG399" t="n">
        <v>0</v>
      </c>
      <c r="DI399" t="n">
        <v>1</v>
      </c>
      <c r="DL399" t="n">
        <v>2</v>
      </c>
      <c r="DM399" t="n">
        <v>1</v>
      </c>
      <c r="DO399" t="n">
        <v>0</v>
      </c>
      <c r="DP399" t="n">
        <v>5.18</v>
      </c>
      <c r="DQ399" t="n">
        <v>2.59</v>
      </c>
      <c r="DR399" t="n">
        <v>5.18</v>
      </c>
      <c r="DS399" t="n">
        <v>0</v>
      </c>
      <c r="DT399" t="n">
        <v>125</v>
      </c>
      <c r="DU399" t="n">
        <v>3.3</v>
      </c>
      <c r="DV399" t="inlineStr">
        <is>
          <t>flat</t>
        </is>
      </c>
      <c r="EG399" t="n">
        <v>38</v>
      </c>
      <c r="EJ399" t="n">
        <v>1900</v>
      </c>
      <c r="EK399" t="n">
        <v>1900</v>
      </c>
      <c r="EL399" t="n">
        <v>38</v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n">
        <v>4</v>
      </c>
      <c r="F400" t="b">
        <v>1</v>
      </c>
      <c r="G400" t="b">
        <v>1</v>
      </c>
      <c r="I400" t="inlineStr">
        <is>
          <t>a</t>
        </is>
      </c>
      <c r="L400" t="inlineStr">
        <is>
          <t>p499716</t>
        </is>
      </c>
      <c r="M400" t="n">
        <v>510</v>
      </c>
      <c r="Q400" t="n">
        <v>1</v>
      </c>
      <c r="R400" t="n">
        <v>1</v>
      </c>
      <c r="S400" t="n">
        <v>0</v>
      </c>
      <c r="T400" t="n">
        <v>0.011</v>
      </c>
      <c r="U400" t="n">
        <v>1</v>
      </c>
      <c r="V400" t="n">
        <v>1</v>
      </c>
      <c r="W400" t="n">
        <v>90</v>
      </c>
      <c r="X400" t="n">
        <v>0</v>
      </c>
      <c r="Y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3</v>
      </c>
      <c r="AG400" t="n">
        <v>3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S400" t="n">
        <v>0</v>
      </c>
      <c r="AT400" t="n">
        <v>0</v>
      </c>
      <c r="AU400" t="n">
        <v>1</v>
      </c>
      <c r="AV400" t="n">
        <v>0</v>
      </c>
      <c r="AW400" t="n">
        <v>0.19</v>
      </c>
      <c r="AX400" t="n">
        <v>1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H400" t="n">
        <v>1</v>
      </c>
      <c r="BI400" t="n">
        <v>0</v>
      </c>
      <c r="BJ400" t="n">
        <v>0</v>
      </c>
      <c r="BK400" t="n">
        <v>0</v>
      </c>
      <c r="BL400" t="n">
        <v>0</v>
      </c>
      <c r="BO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W400" t="n">
        <v>0.36</v>
      </c>
      <c r="CX400" t="n">
        <v>32.4</v>
      </c>
      <c r="CY400" t="n">
        <v>0</v>
      </c>
      <c r="DB400" t="n">
        <v>0</v>
      </c>
      <c r="DF400" t="n">
        <v>0</v>
      </c>
      <c r="DG400" t="n">
        <v>0</v>
      </c>
      <c r="DO400" t="n">
        <v>0.1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inlineStr">
        <is>
          <t>flat</t>
        </is>
      </c>
      <c r="EL400" t="n">
        <v>1</v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n">
        <v>4</v>
      </c>
      <c r="F401" t="b">
        <v>1</v>
      </c>
      <c r="G401" t="b">
        <v>1</v>
      </c>
      <c r="H401" t="n">
        <v>32.8</v>
      </c>
      <c r="I401" t="inlineStr">
        <is>
          <t>u</t>
        </is>
      </c>
      <c r="J401" t="inlineStr">
        <is>
          <t>Has joined Konyaspor permanently</t>
        </is>
      </c>
      <c r="K401" t="n">
        <v>0</v>
      </c>
      <c r="L401" t="inlineStr">
        <is>
          <t>p105717</t>
        </is>
      </c>
      <c r="M401" t="n">
        <v>540</v>
      </c>
      <c r="Q401" t="n">
        <v>125</v>
      </c>
      <c r="R401" t="n">
        <v>3</v>
      </c>
      <c r="S401" t="n">
        <v>2</v>
      </c>
      <c r="T401" t="n">
        <v>1.389</v>
      </c>
      <c r="U401" t="n">
        <v>41.7</v>
      </c>
      <c r="V401" t="n">
        <v>1</v>
      </c>
      <c r="W401" t="n">
        <v>0.72</v>
      </c>
      <c r="X401" t="n">
        <v>0</v>
      </c>
      <c r="Y401" t="n">
        <v>0</v>
      </c>
      <c r="AA401" t="n">
        <v>0</v>
      </c>
      <c r="AB401" t="n">
        <v>2</v>
      </c>
      <c r="AC401" t="n">
        <v>0</v>
      </c>
      <c r="AD401" t="n">
        <v>0</v>
      </c>
      <c r="AE401" t="n">
        <v>0</v>
      </c>
      <c r="AF401" t="n">
        <v>4</v>
      </c>
      <c r="AG401" t="n">
        <v>1</v>
      </c>
      <c r="AH401" t="n">
        <v>-3</v>
      </c>
      <c r="AI401" t="n">
        <v>1</v>
      </c>
      <c r="AJ401" t="n">
        <v>0</v>
      </c>
      <c r="AK401" t="n">
        <v>0</v>
      </c>
      <c r="AL401" t="n">
        <v>10</v>
      </c>
      <c r="AM401" t="n">
        <v>7.2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0.053</v>
      </c>
      <c r="AT401" t="n">
        <v>0</v>
      </c>
      <c r="AU401" t="n">
        <v>3</v>
      </c>
      <c r="AV401" t="n">
        <v>0</v>
      </c>
      <c r="AW401" t="n">
        <v>0.16</v>
      </c>
      <c r="AX401" t="n">
        <v>1</v>
      </c>
      <c r="AY401" t="n">
        <v>0.07000000000000001</v>
      </c>
      <c r="AZ401" t="n">
        <v>0.078</v>
      </c>
      <c r="BA401" t="n">
        <v>0.074</v>
      </c>
      <c r="BB401" t="n">
        <v>0.078</v>
      </c>
      <c r="BC401" t="n">
        <v>0.05</v>
      </c>
      <c r="BD401" t="n">
        <v>0.056</v>
      </c>
      <c r="BE401" t="n">
        <v>0.053</v>
      </c>
      <c r="BH401" t="n">
        <v>0.991</v>
      </c>
      <c r="BI401" t="n">
        <v>0.07000000000000001</v>
      </c>
      <c r="BJ401" t="n">
        <v>0.06900000000000001</v>
      </c>
      <c r="BK401" t="n">
        <v>0.05</v>
      </c>
      <c r="BL401" t="n">
        <v>-0.074</v>
      </c>
      <c r="BO401" t="n">
        <v>-0.008</v>
      </c>
      <c r="BP401" t="n">
        <v>1</v>
      </c>
      <c r="BS401" t="n">
        <v>2</v>
      </c>
      <c r="BT401" t="n">
        <v>1.44</v>
      </c>
      <c r="BW401" t="n">
        <v>0.08</v>
      </c>
      <c r="BX401" t="n">
        <v>0.058</v>
      </c>
      <c r="BY401" t="n">
        <v>0.06900000000000001</v>
      </c>
      <c r="BZ401" t="n">
        <v>0.05</v>
      </c>
      <c r="CA401" t="n">
        <v>0.143</v>
      </c>
      <c r="CB401" t="n">
        <v>0.103</v>
      </c>
      <c r="CC401" t="n">
        <v>1</v>
      </c>
      <c r="CE401" t="n">
        <v>1</v>
      </c>
      <c r="CF401" t="n">
        <v>2</v>
      </c>
      <c r="CI401" t="n">
        <v>0.155</v>
      </c>
      <c r="CJ401" t="n">
        <v>0.097</v>
      </c>
      <c r="CK401" t="n">
        <v>6</v>
      </c>
      <c r="CL401" t="n">
        <v>3</v>
      </c>
      <c r="CM401" t="n">
        <v>4</v>
      </c>
      <c r="CN401" t="n">
        <v>2</v>
      </c>
      <c r="CO401" t="n">
        <v>2</v>
      </c>
      <c r="CP401" t="n">
        <v>4</v>
      </c>
      <c r="CR401" t="n">
        <v>7</v>
      </c>
      <c r="CS401" t="n">
        <v>1</v>
      </c>
      <c r="CW401" t="n">
        <v>2.09</v>
      </c>
      <c r="CX401" t="n">
        <v>1.505</v>
      </c>
      <c r="CY401" t="n">
        <v>0</v>
      </c>
      <c r="DB401" t="n">
        <v>0</v>
      </c>
      <c r="DF401" t="n">
        <v>1</v>
      </c>
      <c r="DG401" t="n">
        <v>0</v>
      </c>
      <c r="DH401" t="n">
        <v>3</v>
      </c>
      <c r="DL401" t="n">
        <v>2</v>
      </c>
      <c r="DM401" t="n">
        <v>1</v>
      </c>
      <c r="DO401" t="n">
        <v>1.2</v>
      </c>
      <c r="EF401" t="n">
        <v>125</v>
      </c>
      <c r="EG401" t="n">
        <v>62.5</v>
      </c>
      <c r="EH401" t="n">
        <v>125</v>
      </c>
      <c r="EI401" t="n">
        <v>1684.4</v>
      </c>
      <c r="EJ401" t="n">
        <v>1810.8</v>
      </c>
      <c r="EK401" t="n">
        <v>872.6</v>
      </c>
      <c r="EL401" t="n">
        <v>125</v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n">
        <v>4.5</v>
      </c>
      <c r="F402" t="b">
        <v>1</v>
      </c>
      <c r="G402" t="b">
        <v>1</v>
      </c>
      <c r="I402" t="inlineStr">
        <is>
          <t>a</t>
        </is>
      </c>
      <c r="L402" t="inlineStr">
        <is>
          <t>p499726</t>
        </is>
      </c>
      <c r="M402" t="n">
        <v>524</v>
      </c>
      <c r="Q402" t="n">
        <v>14</v>
      </c>
      <c r="R402" t="n">
        <v>1</v>
      </c>
      <c r="S402" t="n">
        <v>0</v>
      </c>
      <c r="T402" t="n">
        <v>0.156</v>
      </c>
      <c r="U402" t="n">
        <v>14</v>
      </c>
      <c r="V402" t="n">
        <v>1</v>
      </c>
      <c r="W402" t="n">
        <v>6.429</v>
      </c>
      <c r="X402" t="n">
        <v>0</v>
      </c>
      <c r="Y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3</v>
      </c>
      <c r="AG402" t="n">
        <v>3</v>
      </c>
      <c r="AH402" t="n">
        <v>0</v>
      </c>
      <c r="AI402" t="n">
        <v>1</v>
      </c>
      <c r="AJ402" t="n">
        <v>0</v>
      </c>
      <c r="AK402" t="n">
        <v>0</v>
      </c>
      <c r="AL402" t="n">
        <v>2</v>
      </c>
      <c r="AM402" t="n">
        <v>12.857</v>
      </c>
      <c r="AN402" t="n">
        <v>0</v>
      </c>
      <c r="AO402" t="n">
        <v>0</v>
      </c>
      <c r="AS402" t="n">
        <v>0</v>
      </c>
      <c r="AT402" t="n">
        <v>0</v>
      </c>
      <c r="AU402" t="n">
        <v>1</v>
      </c>
      <c r="AV402" t="n">
        <v>0</v>
      </c>
      <c r="AW402" t="n">
        <v>0.16</v>
      </c>
      <c r="AX402" t="n">
        <v>1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H402" t="n">
        <v>1</v>
      </c>
      <c r="BI402" t="n">
        <v>0</v>
      </c>
      <c r="BJ402" t="n">
        <v>0</v>
      </c>
      <c r="BK402" t="n">
        <v>0</v>
      </c>
      <c r="BL402" t="n">
        <v>0</v>
      </c>
      <c r="BO402" t="n">
        <v>0</v>
      </c>
      <c r="BW402" t="n">
        <v>0.01</v>
      </c>
      <c r="BX402" t="n">
        <v>0</v>
      </c>
      <c r="BY402" t="n">
        <v>0.005</v>
      </c>
      <c r="BZ402" t="n">
        <v>0.032</v>
      </c>
      <c r="CA402" t="n">
        <v>0.005</v>
      </c>
      <c r="CB402" t="n">
        <v>0.032</v>
      </c>
      <c r="CC402" t="n">
        <v>0</v>
      </c>
      <c r="CI402" t="n">
        <v>0</v>
      </c>
      <c r="CJ402" t="n">
        <v>0</v>
      </c>
      <c r="CK402" t="n">
        <v>0</v>
      </c>
      <c r="CL402" t="n">
        <v>2</v>
      </c>
      <c r="CM402" t="n">
        <v>0</v>
      </c>
      <c r="CN402" t="n">
        <v>0</v>
      </c>
      <c r="CR402" t="n">
        <v>0</v>
      </c>
      <c r="CV402" t="n">
        <v>0</v>
      </c>
      <c r="CW402" t="n">
        <v>0.75</v>
      </c>
      <c r="CX402" t="n">
        <v>4.821</v>
      </c>
      <c r="CY402" t="n">
        <v>0</v>
      </c>
      <c r="DB402" t="n">
        <v>0</v>
      </c>
      <c r="DF402" t="n">
        <v>0</v>
      </c>
      <c r="DG402" t="n">
        <v>0</v>
      </c>
      <c r="DO402" t="n">
        <v>0.9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inlineStr">
        <is>
          <t>flat</t>
        </is>
      </c>
      <c r="DW402" t="n">
        <v>69</v>
      </c>
      <c r="DX402" t="n">
        <v>69</v>
      </c>
      <c r="DZ402" t="n">
        <v>69</v>
      </c>
      <c r="EA402" t="n">
        <v>69</v>
      </c>
      <c r="EB402" t="n">
        <v>1</v>
      </c>
      <c r="EC402" t="n">
        <v>0.5</v>
      </c>
      <c r="ED402" t="n">
        <v>0</v>
      </c>
      <c r="EE402" t="n">
        <v>475</v>
      </c>
      <c r="EJ402" t="n">
        <v>2800</v>
      </c>
      <c r="EK402" t="n">
        <v>2800</v>
      </c>
      <c r="EL402" t="n">
        <v>14</v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n">
        <v>4.5</v>
      </c>
      <c r="F403" t="b">
        <v>1</v>
      </c>
      <c r="G403" t="b">
        <v>1</v>
      </c>
      <c r="H403" t="n">
        <v>21.4</v>
      </c>
      <c r="I403" t="inlineStr">
        <is>
          <t>a</t>
        </is>
      </c>
      <c r="L403" t="inlineStr">
        <is>
          <t>p491007</t>
        </is>
      </c>
      <c r="M403" t="n">
        <v>163</v>
      </c>
      <c r="Q403" t="n">
        <v>26</v>
      </c>
      <c r="R403" t="n">
        <v>3</v>
      </c>
      <c r="S403" t="n">
        <v>0</v>
      </c>
      <c r="T403" t="n">
        <v>0.289</v>
      </c>
      <c r="U403" t="n">
        <v>8.699999999999999</v>
      </c>
      <c r="V403" t="n">
        <v>1</v>
      </c>
      <c r="W403" t="n">
        <v>3.462</v>
      </c>
      <c r="X403" t="n">
        <v>0</v>
      </c>
      <c r="Y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7</v>
      </c>
      <c r="AG403" t="n">
        <v>7</v>
      </c>
      <c r="AH403" t="n">
        <v>0</v>
      </c>
      <c r="AI403" t="n">
        <v>1</v>
      </c>
      <c r="AJ403" t="n">
        <v>0</v>
      </c>
      <c r="AK403" t="n">
        <v>0</v>
      </c>
      <c r="AL403" t="n">
        <v>8</v>
      </c>
      <c r="AM403" t="n">
        <v>27.692</v>
      </c>
      <c r="AN403" t="n">
        <v>0</v>
      </c>
      <c r="AO403" t="n">
        <v>0</v>
      </c>
      <c r="AS403" t="n">
        <v>0</v>
      </c>
      <c r="AT403" t="n">
        <v>0</v>
      </c>
      <c r="AU403" t="n">
        <v>3</v>
      </c>
      <c r="AV403" t="n">
        <v>0</v>
      </c>
      <c r="AW403" t="n">
        <v>0.16</v>
      </c>
      <c r="AX403" t="n">
        <v>1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H403" t="n">
        <v>1</v>
      </c>
      <c r="BI403" t="n">
        <v>0</v>
      </c>
      <c r="BJ403" t="n">
        <v>0</v>
      </c>
      <c r="BK403" t="n">
        <v>0</v>
      </c>
      <c r="BL403" t="n">
        <v>0</v>
      </c>
      <c r="BO403" t="n">
        <v>0</v>
      </c>
      <c r="BS403" t="n">
        <v>1</v>
      </c>
      <c r="BT403" t="n">
        <v>3.462</v>
      </c>
      <c r="BW403" t="n">
        <v>0.01</v>
      </c>
      <c r="BX403" t="n">
        <v>0</v>
      </c>
      <c r="BY403" t="n">
        <v>0.005</v>
      </c>
      <c r="BZ403" t="n">
        <v>0.017</v>
      </c>
      <c r="CA403" t="n">
        <v>0.005</v>
      </c>
      <c r="CB403" t="n">
        <v>0.017</v>
      </c>
      <c r="CC403" t="n">
        <v>0</v>
      </c>
      <c r="CI403" t="n">
        <v>0.432</v>
      </c>
      <c r="CJ403" t="n">
        <v>0.432</v>
      </c>
      <c r="CK403" t="n">
        <v>1</v>
      </c>
      <c r="CL403" t="n">
        <v>1</v>
      </c>
      <c r="CM403" t="n">
        <v>6</v>
      </c>
      <c r="CN403" t="n">
        <v>3</v>
      </c>
      <c r="CP403" t="n">
        <v>1</v>
      </c>
      <c r="CR403" t="n">
        <v>10</v>
      </c>
      <c r="CS403" t="n">
        <v>1</v>
      </c>
      <c r="CW403" t="n">
        <v>0.55</v>
      </c>
      <c r="CX403" t="n">
        <v>1.904</v>
      </c>
      <c r="CY403" t="n">
        <v>0</v>
      </c>
      <c r="DB403" t="n">
        <v>0</v>
      </c>
      <c r="DF403" t="n">
        <v>2</v>
      </c>
      <c r="DG403" t="n">
        <v>0</v>
      </c>
      <c r="DH403" t="n">
        <v>3</v>
      </c>
      <c r="DI403" t="n">
        <v>1</v>
      </c>
      <c r="DL403" t="n">
        <v>2</v>
      </c>
      <c r="DM403" t="n">
        <v>2</v>
      </c>
      <c r="DO403" t="n">
        <v>0.2</v>
      </c>
      <c r="DP403" t="n">
        <v>7.79</v>
      </c>
      <c r="DQ403" t="n">
        <v>3.99</v>
      </c>
      <c r="DR403" t="n">
        <v>7.98</v>
      </c>
      <c r="DS403" t="n">
        <v>-0.19</v>
      </c>
      <c r="DT403" t="n">
        <v>12</v>
      </c>
      <c r="DU403" t="n">
        <v>0.32</v>
      </c>
      <c r="DV403" t="inlineStr">
        <is>
          <t>flat</t>
        </is>
      </c>
      <c r="DW403" t="n">
        <v>85</v>
      </c>
      <c r="DX403" t="n">
        <v>85</v>
      </c>
      <c r="DZ403" t="n">
        <v>85</v>
      </c>
      <c r="EA403" t="n">
        <v>85</v>
      </c>
      <c r="EB403" t="n">
        <v>1</v>
      </c>
      <c r="EC403" t="n">
        <v>0.5</v>
      </c>
      <c r="ED403" t="n">
        <v>0</v>
      </c>
      <c r="EE403" t="n">
        <v>471</v>
      </c>
      <c r="EG403" t="n">
        <v>26</v>
      </c>
      <c r="EJ403" t="n">
        <v>5200</v>
      </c>
      <c r="EK403" t="n">
        <v>5200</v>
      </c>
      <c r="EL403" t="n">
        <v>26</v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n">
        <v>4.5</v>
      </c>
      <c r="F404" t="b">
        <v>1</v>
      </c>
      <c r="G404" t="b">
        <v>1</v>
      </c>
      <c r="H404" t="n">
        <v>24.9</v>
      </c>
      <c r="I404" t="inlineStr">
        <is>
          <t>a</t>
        </is>
      </c>
      <c r="L404" t="inlineStr">
        <is>
          <t>p507433</t>
        </is>
      </c>
      <c r="M404" t="n">
        <v>83</v>
      </c>
      <c r="Q404" t="n">
        <v>90</v>
      </c>
      <c r="R404" t="n">
        <v>1</v>
      </c>
      <c r="S404" t="n">
        <v>1</v>
      </c>
      <c r="T404" t="n">
        <v>1</v>
      </c>
      <c r="U404" t="n">
        <v>90</v>
      </c>
      <c r="V404" t="n">
        <v>1</v>
      </c>
      <c r="W404" t="n">
        <v>1</v>
      </c>
      <c r="X404" t="n">
        <v>0</v>
      </c>
      <c r="Y404" t="n">
        <v>0</v>
      </c>
      <c r="AA404" t="n">
        <v>0</v>
      </c>
      <c r="AB404" t="n">
        <v>3</v>
      </c>
      <c r="AC404" t="n">
        <v>0</v>
      </c>
      <c r="AD404" t="n">
        <v>0</v>
      </c>
      <c r="AE404" t="n">
        <v>0</v>
      </c>
      <c r="AF404" t="n">
        <v>1</v>
      </c>
      <c r="AG404" t="n">
        <v>1</v>
      </c>
      <c r="AH404" t="n">
        <v>0</v>
      </c>
      <c r="AI404" t="n">
        <v>1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0.026</v>
      </c>
      <c r="AT404" t="n">
        <v>1</v>
      </c>
      <c r="AU404" t="n">
        <v>1</v>
      </c>
      <c r="AV404" t="n">
        <v>0</v>
      </c>
      <c r="AW404" t="n">
        <v>0.16</v>
      </c>
      <c r="AX404" t="n">
        <v>1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H404" t="n">
        <v>1</v>
      </c>
      <c r="BI404" t="n">
        <v>0</v>
      </c>
      <c r="BJ404" t="n">
        <v>0</v>
      </c>
      <c r="BK404" t="n">
        <v>0</v>
      </c>
      <c r="BL404" t="n">
        <v>0</v>
      </c>
      <c r="BO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I404" t="n">
        <v>0.213</v>
      </c>
      <c r="CJ404" t="n">
        <v>0.213</v>
      </c>
      <c r="CK404" t="n">
        <v>0</v>
      </c>
      <c r="CL404" t="n">
        <v>7</v>
      </c>
      <c r="CM404" t="n">
        <v>0</v>
      </c>
      <c r="CW404" t="n">
        <v>0.97</v>
      </c>
      <c r="CX404" t="n">
        <v>0.97</v>
      </c>
      <c r="CY404" t="n">
        <v>1</v>
      </c>
      <c r="DB404" t="n">
        <v>0</v>
      </c>
      <c r="DF404" t="n">
        <v>0</v>
      </c>
      <c r="DG404" t="n">
        <v>0</v>
      </c>
      <c r="DO404" t="n">
        <v>0.1</v>
      </c>
      <c r="DP404" t="n">
        <v>1.5</v>
      </c>
      <c r="DQ404" t="n">
        <v>0.75</v>
      </c>
      <c r="DR404" t="n">
        <v>1.5</v>
      </c>
      <c r="DS404" t="n">
        <v>0</v>
      </c>
      <c r="DT404" t="n">
        <v>35</v>
      </c>
      <c r="DU404" t="n">
        <v>0.91</v>
      </c>
      <c r="DV404" t="inlineStr">
        <is>
          <t>flat</t>
        </is>
      </c>
      <c r="DW404" t="n">
        <v>115.58</v>
      </c>
      <c r="DY404" t="n">
        <v>1.86</v>
      </c>
      <c r="DZ404" t="n">
        <v>113.45</v>
      </c>
      <c r="EA404" t="n">
        <v>119</v>
      </c>
      <c r="EB404" t="n">
        <v>9</v>
      </c>
      <c r="EC404" t="n">
        <v>4.3</v>
      </c>
      <c r="ED404" t="n">
        <v>0</v>
      </c>
      <c r="EE404" t="n">
        <v>468</v>
      </c>
      <c r="EL404" t="n">
        <v>90</v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n">
        <v>5</v>
      </c>
      <c r="F405" t="b">
        <v>1</v>
      </c>
      <c r="G405" t="b">
        <v>1</v>
      </c>
      <c r="H405" t="n">
        <v>21.4</v>
      </c>
      <c r="I405" t="inlineStr">
        <is>
          <t>d</t>
        </is>
      </c>
      <c r="J405" t="inlineStr">
        <is>
          <t>Knee injury - 75% chance of playing</t>
        </is>
      </c>
      <c r="K405" t="n">
        <v>75</v>
      </c>
      <c r="L405" t="inlineStr">
        <is>
          <t>p543295</t>
        </is>
      </c>
      <c r="M405" t="n">
        <v>99</v>
      </c>
      <c r="Q405" t="n">
        <v>45</v>
      </c>
      <c r="R405" t="n">
        <v>1</v>
      </c>
      <c r="S405" t="n">
        <v>1</v>
      </c>
      <c r="T405" t="n">
        <v>0.5</v>
      </c>
      <c r="U405" t="n">
        <v>45</v>
      </c>
      <c r="V405" t="n">
        <v>1</v>
      </c>
      <c r="W405" t="n">
        <v>2</v>
      </c>
      <c r="X405" t="n">
        <v>0</v>
      </c>
      <c r="Y405" t="n">
        <v>0</v>
      </c>
      <c r="AA405" t="n">
        <v>0</v>
      </c>
      <c r="AB405" t="n">
        <v>3</v>
      </c>
      <c r="AC405" t="n">
        <v>0</v>
      </c>
      <c r="AD405" t="n">
        <v>0</v>
      </c>
      <c r="AE405" t="n">
        <v>0</v>
      </c>
      <c r="AF405" t="n">
        <v>5</v>
      </c>
      <c r="AG405" t="n">
        <v>5</v>
      </c>
      <c r="AH405" t="n">
        <v>0</v>
      </c>
      <c r="AI405" t="n">
        <v>1</v>
      </c>
      <c r="AJ405" t="n">
        <v>0</v>
      </c>
      <c r="AK405" t="n">
        <v>0</v>
      </c>
      <c r="AL405" t="n">
        <v>4</v>
      </c>
      <c r="AM405" t="n">
        <v>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0.026</v>
      </c>
      <c r="AT405" t="n">
        <v>0</v>
      </c>
      <c r="AU405" t="n">
        <v>1</v>
      </c>
      <c r="AV405" t="n">
        <v>0</v>
      </c>
      <c r="AW405" t="n">
        <v>0.16</v>
      </c>
      <c r="AX405" t="n">
        <v>1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H405" t="n">
        <v>1</v>
      </c>
      <c r="BI405" t="n">
        <v>0</v>
      </c>
      <c r="BJ405" t="n">
        <v>0</v>
      </c>
      <c r="BK405" t="n">
        <v>0</v>
      </c>
      <c r="BL405" t="n">
        <v>0</v>
      </c>
      <c r="BO405" t="n">
        <v>0</v>
      </c>
      <c r="BW405" t="n">
        <v>0.01</v>
      </c>
      <c r="BX405" t="n">
        <v>0</v>
      </c>
      <c r="BY405" t="n">
        <v>0.005</v>
      </c>
      <c r="BZ405" t="n">
        <v>0.01</v>
      </c>
      <c r="CA405" t="n">
        <v>0.005</v>
      </c>
      <c r="CB405" t="n">
        <v>0.01</v>
      </c>
      <c r="CC405" t="n">
        <v>0</v>
      </c>
      <c r="CI405" t="n">
        <v>0.044</v>
      </c>
      <c r="CJ405" t="n">
        <v>0.044</v>
      </c>
      <c r="CK405" t="n">
        <v>0</v>
      </c>
      <c r="CL405" t="n">
        <v>2</v>
      </c>
      <c r="CM405" t="n">
        <v>2</v>
      </c>
      <c r="CN405" t="n">
        <v>1</v>
      </c>
      <c r="CO405" t="n">
        <v>0</v>
      </c>
      <c r="CR405" t="n">
        <v>5</v>
      </c>
      <c r="CS405" t="n">
        <v>2</v>
      </c>
      <c r="CW405" t="n">
        <v>1.49</v>
      </c>
      <c r="CX405" t="n">
        <v>2.98</v>
      </c>
      <c r="CY405" t="n">
        <v>0</v>
      </c>
      <c r="DB405" t="n">
        <v>0</v>
      </c>
      <c r="DF405" t="n">
        <v>0</v>
      </c>
      <c r="DG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inlineStr">
        <is>
          <t>flat</t>
        </is>
      </c>
      <c r="EJ405" t="n">
        <v>9000</v>
      </c>
      <c r="EK405" t="n">
        <v>9000</v>
      </c>
      <c r="EL405" t="n">
        <v>45</v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n">
        <v>4</v>
      </c>
      <c r="F406" t="b">
        <v>1</v>
      </c>
      <c r="G406" t="b">
        <v>1</v>
      </c>
      <c r="H406" t="n">
        <v>21.5</v>
      </c>
      <c r="I406" t="inlineStr">
        <is>
          <t>a</t>
        </is>
      </c>
      <c r="L406" t="inlineStr">
        <is>
          <t>p547676</t>
        </is>
      </c>
      <c r="M406" t="n">
        <v>425</v>
      </c>
      <c r="Q406" t="n">
        <v>2</v>
      </c>
      <c r="R406" t="n">
        <v>1</v>
      </c>
      <c r="S406" t="n">
        <v>0</v>
      </c>
      <c r="T406" t="n">
        <v>0.022</v>
      </c>
      <c r="U406" t="n">
        <v>2</v>
      </c>
      <c r="V406" t="n">
        <v>1</v>
      </c>
      <c r="W406" t="n">
        <v>45</v>
      </c>
      <c r="X406" t="n">
        <v>0</v>
      </c>
      <c r="Y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4</v>
      </c>
      <c r="AG406" t="n">
        <v>3</v>
      </c>
      <c r="AH406" t="n">
        <v>-1</v>
      </c>
      <c r="AI406" t="n">
        <v>1</v>
      </c>
      <c r="AJ406" t="n">
        <v>0</v>
      </c>
      <c r="AK406" t="n">
        <v>0</v>
      </c>
      <c r="AL406" t="n">
        <v>2</v>
      </c>
      <c r="AM406" t="n">
        <v>90</v>
      </c>
      <c r="AN406" t="n">
        <v>0</v>
      </c>
      <c r="AO406" t="n">
        <v>0</v>
      </c>
      <c r="AS406" t="n">
        <v>0</v>
      </c>
      <c r="AT406" t="n">
        <v>0</v>
      </c>
      <c r="AU406" t="n">
        <v>1</v>
      </c>
      <c r="AV406" t="n">
        <v>0</v>
      </c>
      <c r="AW406" t="n">
        <v>0.16</v>
      </c>
      <c r="AX406" t="n">
        <v>1</v>
      </c>
      <c r="AY406" t="n">
        <v>0</v>
      </c>
      <c r="BA406" t="n">
        <v>0</v>
      </c>
      <c r="BC406" t="n">
        <v>0</v>
      </c>
      <c r="BE406" t="n">
        <v>0</v>
      </c>
      <c r="BH406" t="n">
        <v>1</v>
      </c>
      <c r="BI406" t="n">
        <v>0</v>
      </c>
      <c r="BJ406" t="n">
        <v>0</v>
      </c>
      <c r="BK406" t="n">
        <v>0</v>
      </c>
      <c r="BL406" t="n">
        <v>0</v>
      </c>
      <c r="BW406" t="n">
        <v>0</v>
      </c>
      <c r="BY406" t="n">
        <v>0</v>
      </c>
      <c r="BZ406" t="n">
        <v>0</v>
      </c>
      <c r="CA406" t="n">
        <v>0</v>
      </c>
      <c r="CB406" t="n">
        <v>0</v>
      </c>
      <c r="CK406" t="n">
        <v>2</v>
      </c>
      <c r="CL406" t="n">
        <v>0</v>
      </c>
      <c r="CM406" t="n">
        <v>0</v>
      </c>
      <c r="CP406" t="n">
        <v>2</v>
      </c>
      <c r="CW406" t="n">
        <v>0.3</v>
      </c>
      <c r="CX406" t="n">
        <v>13.5</v>
      </c>
      <c r="CY406" t="n">
        <v>0</v>
      </c>
      <c r="DB406" t="n">
        <v>0</v>
      </c>
      <c r="DF406" t="n">
        <v>0</v>
      </c>
      <c r="DG406" t="n">
        <v>0</v>
      </c>
      <c r="DO406" t="n">
        <v>0.1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inlineStr">
        <is>
          <t>flat</t>
        </is>
      </c>
      <c r="EL406" t="n">
        <v>2</v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n">
        <v>5</v>
      </c>
      <c r="F407" t="b">
        <v>1</v>
      </c>
      <c r="G407" t="b">
        <v>0</v>
      </c>
      <c r="H407" t="n">
        <v>26.5</v>
      </c>
      <c r="I407" t="inlineStr">
        <is>
          <t>a</t>
        </is>
      </c>
      <c r="M407" t="n">
        <v>3</v>
      </c>
      <c r="Q407" t="n">
        <v>0</v>
      </c>
      <c r="S407" t="n">
        <v>0</v>
      </c>
      <c r="T407" t="n">
        <v>0</v>
      </c>
      <c r="V407" t="n">
        <v>0</v>
      </c>
      <c r="X407" t="n">
        <v>0</v>
      </c>
      <c r="Y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L407" t="n">
        <v>0</v>
      </c>
      <c r="AN407" t="n">
        <v>0</v>
      </c>
      <c r="AO407" t="n">
        <v>0</v>
      </c>
      <c r="AS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BA407" t="n">
        <v>0</v>
      </c>
      <c r="BL407" t="n">
        <v>0</v>
      </c>
      <c r="BW407" t="n">
        <v>0</v>
      </c>
      <c r="BY407" t="n">
        <v>0</v>
      </c>
      <c r="CA407" t="n">
        <v>0</v>
      </c>
      <c r="CK407" t="n">
        <v>0</v>
      </c>
      <c r="CL407" t="n">
        <v>0</v>
      </c>
      <c r="CM407" t="n">
        <v>0</v>
      </c>
      <c r="CW407" t="n">
        <v>0</v>
      </c>
      <c r="CY407" t="n">
        <v>0</v>
      </c>
      <c r="DB407" t="n">
        <v>0</v>
      </c>
      <c r="DF407" t="n">
        <v>0</v>
      </c>
      <c r="DG407" t="n">
        <v>0</v>
      </c>
      <c r="DO407" t="n">
        <v>0.1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inlineStr">
        <is>
          <t>flat</t>
        </is>
      </c>
      <c r="DW407" t="n">
        <v>112.88</v>
      </c>
      <c r="DX407" t="n">
        <v>74</v>
      </c>
      <c r="DY407" t="n">
        <v>12.39</v>
      </c>
      <c r="DZ407" t="n">
        <v>74</v>
      </c>
      <c r="EA407" t="n">
        <v>120</v>
      </c>
      <c r="EB407" t="n">
        <v>14</v>
      </c>
      <c r="EC407" t="n">
        <v>6.7</v>
      </c>
      <c r="ED407" t="n">
        <v>39.1</v>
      </c>
      <c r="EE407" t="n">
        <v>334</v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n">
        <v>4.5</v>
      </c>
      <c r="F408" t="b">
        <v>1</v>
      </c>
      <c r="G408" t="b">
        <v>0</v>
      </c>
      <c r="H408" t="n">
        <v>25</v>
      </c>
      <c r="I408" t="inlineStr">
        <is>
          <t>i</t>
        </is>
      </c>
      <c r="J408" t="inlineStr">
        <is>
          <t>Thigh injury - Unknown return date</t>
        </is>
      </c>
      <c r="K408" t="n">
        <v>0</v>
      </c>
      <c r="M408" t="n">
        <v>65</v>
      </c>
      <c r="Q408" t="n">
        <v>0</v>
      </c>
      <c r="S408" t="n">
        <v>0</v>
      </c>
      <c r="T408" t="n">
        <v>0</v>
      </c>
      <c r="V408" t="n">
        <v>0</v>
      </c>
      <c r="X408" t="n">
        <v>0</v>
      </c>
      <c r="Y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L408" t="n">
        <v>0</v>
      </c>
      <c r="AN408" t="n">
        <v>0</v>
      </c>
      <c r="AO408" t="n">
        <v>0</v>
      </c>
      <c r="AS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BA408" t="n">
        <v>0</v>
      </c>
      <c r="BL408" t="n">
        <v>0</v>
      </c>
      <c r="BW408" t="n">
        <v>0</v>
      </c>
      <c r="BY408" t="n">
        <v>0</v>
      </c>
      <c r="CA408" t="n">
        <v>0</v>
      </c>
      <c r="CK408" t="n">
        <v>0</v>
      </c>
      <c r="CL408" t="n">
        <v>0</v>
      </c>
      <c r="CM408" t="n">
        <v>0</v>
      </c>
      <c r="CW408" t="n">
        <v>0</v>
      </c>
      <c r="CY408" t="n">
        <v>0</v>
      </c>
      <c r="DB408" t="n">
        <v>0</v>
      </c>
      <c r="DF408" t="n">
        <v>0</v>
      </c>
      <c r="DG408" t="n">
        <v>0</v>
      </c>
      <c r="DO408" t="n">
        <v>0.1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inlineStr">
        <is>
          <t>flat</t>
        </is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n">
        <v>4.5</v>
      </c>
      <c r="F409" t="b">
        <v>1</v>
      </c>
      <c r="G409" t="b">
        <v>0</v>
      </c>
      <c r="H409" t="n">
        <v>26.6</v>
      </c>
      <c r="I409" t="inlineStr">
        <is>
          <t>a</t>
        </is>
      </c>
      <c r="M409" t="n">
        <v>564</v>
      </c>
      <c r="Q409" t="n">
        <v>0</v>
      </c>
      <c r="S409" t="n">
        <v>0</v>
      </c>
      <c r="T409" t="n">
        <v>0</v>
      </c>
      <c r="V409" t="n">
        <v>0</v>
      </c>
      <c r="X409" t="n">
        <v>0</v>
      </c>
      <c r="Y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L409" t="n">
        <v>0</v>
      </c>
      <c r="AN409" t="n">
        <v>0</v>
      </c>
      <c r="AO409" t="n">
        <v>0</v>
      </c>
      <c r="AS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BA409" t="n">
        <v>0</v>
      </c>
      <c r="BL409" t="n">
        <v>0</v>
      </c>
      <c r="BW409" t="n">
        <v>0</v>
      </c>
      <c r="BY409" t="n">
        <v>0</v>
      </c>
      <c r="CA409" t="n">
        <v>0</v>
      </c>
      <c r="CK409" t="n">
        <v>0</v>
      </c>
      <c r="CL409" t="n">
        <v>0</v>
      </c>
      <c r="CM409" t="n">
        <v>0</v>
      </c>
      <c r="CW409" t="n">
        <v>0</v>
      </c>
      <c r="CY409" t="n">
        <v>0</v>
      </c>
      <c r="DB409" t="n">
        <v>0</v>
      </c>
      <c r="DF409" t="n">
        <v>0</v>
      </c>
      <c r="DG409" t="n">
        <v>0</v>
      </c>
      <c r="DO409" t="n">
        <v>0.4</v>
      </c>
      <c r="DP409" t="n">
        <v>109.72</v>
      </c>
      <c r="DQ409" t="n">
        <v>54.86</v>
      </c>
      <c r="DR409" t="n">
        <v>109.72</v>
      </c>
      <c r="DS409" t="n">
        <v>0</v>
      </c>
      <c r="DT409" t="n">
        <v>3317</v>
      </c>
      <c r="DU409" t="n">
        <v>87.3</v>
      </c>
      <c r="DV409" t="inlineStr">
        <is>
          <t>flat</t>
        </is>
      </c>
      <c r="DW409" t="n">
        <v>116.84</v>
      </c>
      <c r="DY409" t="n">
        <v>3.66</v>
      </c>
      <c r="DZ409" t="n">
        <v>107.5</v>
      </c>
      <c r="EA409" t="n">
        <v>120</v>
      </c>
      <c r="EB409" t="n">
        <v>12</v>
      </c>
      <c r="EC409" t="n">
        <v>5.8</v>
      </c>
      <c r="ED409" t="n">
        <v>7.7</v>
      </c>
      <c r="EE409" t="n">
        <v>507</v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n">
        <v>4</v>
      </c>
      <c r="F410" t="b">
        <v>1</v>
      </c>
      <c r="G410" t="b">
        <v>0</v>
      </c>
      <c r="H410" t="n">
        <v>40.4</v>
      </c>
      <c r="I410" t="inlineStr">
        <is>
          <t>a</t>
        </is>
      </c>
      <c r="M410" t="n">
        <v>414</v>
      </c>
      <c r="Q410" t="n">
        <v>0</v>
      </c>
      <c r="S410" t="n">
        <v>0</v>
      </c>
      <c r="T410" t="n">
        <v>0</v>
      </c>
      <c r="V410" t="n">
        <v>0</v>
      </c>
      <c r="X410" t="n">
        <v>0</v>
      </c>
      <c r="Y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L410" t="n">
        <v>0</v>
      </c>
      <c r="AN410" t="n">
        <v>0</v>
      </c>
      <c r="AO410" t="n">
        <v>0</v>
      </c>
      <c r="AS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BA410" t="n">
        <v>0</v>
      </c>
      <c r="BL410" t="n">
        <v>0</v>
      </c>
      <c r="BW410" t="n">
        <v>0</v>
      </c>
      <c r="BY410" t="n">
        <v>0</v>
      </c>
      <c r="CA410" t="n">
        <v>0</v>
      </c>
      <c r="CK410" t="n">
        <v>0</v>
      </c>
      <c r="CL410" t="n">
        <v>0</v>
      </c>
      <c r="CM410" t="n">
        <v>0</v>
      </c>
      <c r="CW410" t="n">
        <v>0</v>
      </c>
      <c r="CY410" t="n">
        <v>0</v>
      </c>
      <c r="DB410" t="n">
        <v>0</v>
      </c>
      <c r="DF410" t="n">
        <v>0</v>
      </c>
      <c r="DG410" t="n">
        <v>0</v>
      </c>
      <c r="DO410" t="n">
        <v>0.3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inlineStr">
        <is>
          <t>flat</t>
        </is>
      </c>
      <c r="DW410" t="n">
        <v>117.6</v>
      </c>
      <c r="DZ410" t="n">
        <v>117.6</v>
      </c>
      <c r="EA410" t="n">
        <v>117.6</v>
      </c>
      <c r="EB410" t="n">
        <v>1</v>
      </c>
      <c r="EC410" t="n">
        <v>0.5</v>
      </c>
      <c r="ED410" t="n">
        <v>0</v>
      </c>
      <c r="EE410" t="n">
        <v>577</v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n">
        <v>4</v>
      </c>
      <c r="F411" t="b">
        <v>1</v>
      </c>
      <c r="G411" t="b">
        <v>0</v>
      </c>
      <c r="H411" t="n">
        <v>26.3</v>
      </c>
      <c r="I411" t="inlineStr">
        <is>
          <t>u</t>
        </is>
      </c>
      <c r="J411" t="inlineStr">
        <is>
          <t>Has joined Wrexham permanently</t>
        </is>
      </c>
      <c r="K411" t="n">
        <v>0</v>
      </c>
      <c r="M411" t="n">
        <v>530</v>
      </c>
      <c r="Q411" t="n">
        <v>0</v>
      </c>
      <c r="S411" t="n">
        <v>0</v>
      </c>
      <c r="T411" t="n">
        <v>0</v>
      </c>
      <c r="V411" t="n">
        <v>0</v>
      </c>
      <c r="X411" t="n">
        <v>0</v>
      </c>
      <c r="Y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L411" t="n">
        <v>0</v>
      </c>
      <c r="AN411" t="n">
        <v>0</v>
      </c>
      <c r="AO411" t="n">
        <v>0</v>
      </c>
      <c r="AS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BA411" t="n">
        <v>0</v>
      </c>
      <c r="BL411" t="n">
        <v>0</v>
      </c>
      <c r="BW411" t="n">
        <v>0</v>
      </c>
      <c r="BY411" t="n">
        <v>0</v>
      </c>
      <c r="CA411" t="n">
        <v>0</v>
      </c>
      <c r="CK411" t="n">
        <v>0</v>
      </c>
      <c r="CL411" t="n">
        <v>0</v>
      </c>
      <c r="CM411" t="n">
        <v>0</v>
      </c>
      <c r="CW411" t="n">
        <v>0</v>
      </c>
      <c r="CY411" t="n">
        <v>0</v>
      </c>
      <c r="DB411" t="n">
        <v>0</v>
      </c>
      <c r="DF411" t="n">
        <v>0</v>
      </c>
      <c r="DG411" t="n">
        <v>0</v>
      </c>
      <c r="DO411" t="n">
        <v>0.8</v>
      </c>
      <c r="DW411" t="n">
        <v>116</v>
      </c>
      <c r="DZ411" t="n">
        <v>116</v>
      </c>
      <c r="EA411" t="n">
        <v>116</v>
      </c>
      <c r="EB411" t="n">
        <v>1</v>
      </c>
      <c r="EC411" t="n">
        <v>0.5</v>
      </c>
      <c r="ED411" t="n">
        <v>0</v>
      </c>
      <c r="EE411" t="n">
        <v>584</v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n">
        <v>5</v>
      </c>
      <c r="F412" t="b">
        <v>1</v>
      </c>
      <c r="G412" t="b">
        <v>0</v>
      </c>
      <c r="H412" t="n">
        <v>27.3</v>
      </c>
      <c r="I412" t="inlineStr">
        <is>
          <t>a</t>
        </is>
      </c>
      <c r="M412" t="n">
        <v>227</v>
      </c>
      <c r="Q412" t="n">
        <v>0</v>
      </c>
      <c r="S412" t="n">
        <v>0</v>
      </c>
      <c r="T412" t="n">
        <v>0</v>
      </c>
      <c r="V412" t="n">
        <v>0</v>
      </c>
      <c r="X412" t="n">
        <v>0</v>
      </c>
      <c r="Y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L412" t="n">
        <v>0</v>
      </c>
      <c r="AN412" t="n">
        <v>0</v>
      </c>
      <c r="AO412" t="n">
        <v>0</v>
      </c>
      <c r="AS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BA412" t="n">
        <v>0</v>
      </c>
      <c r="BL412" t="n">
        <v>0</v>
      </c>
      <c r="BW412" t="n">
        <v>0</v>
      </c>
      <c r="BY412" t="n">
        <v>0</v>
      </c>
      <c r="CA412" t="n">
        <v>0</v>
      </c>
      <c r="CK412" t="n">
        <v>0</v>
      </c>
      <c r="CL412" t="n">
        <v>0</v>
      </c>
      <c r="CM412" t="n">
        <v>0</v>
      </c>
      <c r="CW412" t="n">
        <v>0</v>
      </c>
      <c r="CY412" t="n">
        <v>0</v>
      </c>
      <c r="DB412" t="n">
        <v>0</v>
      </c>
      <c r="DF412" t="n">
        <v>0</v>
      </c>
      <c r="DG412" t="n">
        <v>0</v>
      </c>
      <c r="DO412" t="n">
        <v>0.1</v>
      </c>
      <c r="DP412" t="n">
        <v>1.52</v>
      </c>
      <c r="DQ412" t="n">
        <v>0.76</v>
      </c>
      <c r="DR412" t="n">
        <v>1.52</v>
      </c>
      <c r="DS412" t="n">
        <v>0</v>
      </c>
      <c r="DT412" t="n">
        <v>35</v>
      </c>
      <c r="DU412" t="n">
        <v>0.91</v>
      </c>
      <c r="DV412" t="inlineStr">
        <is>
          <t>flat</t>
        </is>
      </c>
      <c r="DW412" t="n">
        <v>114.21</v>
      </c>
      <c r="DY412" t="n">
        <v>3.4</v>
      </c>
      <c r="DZ412" t="n">
        <v>110.5</v>
      </c>
      <c r="EA412" t="n">
        <v>120</v>
      </c>
      <c r="EB412" t="n">
        <v>8</v>
      </c>
      <c r="EC412" t="n">
        <v>3.8</v>
      </c>
      <c r="ED412" t="n">
        <v>46.7</v>
      </c>
      <c r="EE412" t="n">
        <v>350</v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n">
        <v>5</v>
      </c>
      <c r="F413" t="b">
        <v>1</v>
      </c>
      <c r="G413" t="b">
        <v>0</v>
      </c>
      <c r="H413" t="n">
        <v>19.5</v>
      </c>
      <c r="I413" t="inlineStr">
        <is>
          <t>a</t>
        </is>
      </c>
      <c r="M413" t="n">
        <v>504</v>
      </c>
      <c r="Q413" t="n">
        <v>0</v>
      </c>
      <c r="S413" t="n">
        <v>0</v>
      </c>
      <c r="T413" t="n">
        <v>0</v>
      </c>
      <c r="V413" t="n">
        <v>0</v>
      </c>
      <c r="X413" t="n">
        <v>0</v>
      </c>
      <c r="Y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L413" t="n">
        <v>0</v>
      </c>
      <c r="AN413" t="n">
        <v>0</v>
      </c>
      <c r="AO413" t="n">
        <v>0</v>
      </c>
      <c r="AS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BA413" t="n">
        <v>0</v>
      </c>
      <c r="BL413" t="n">
        <v>0</v>
      </c>
      <c r="BW413" t="n">
        <v>0</v>
      </c>
      <c r="BY413" t="n">
        <v>0</v>
      </c>
      <c r="CA413" t="n">
        <v>0</v>
      </c>
      <c r="CK413" t="n">
        <v>0</v>
      </c>
      <c r="CL413" t="n">
        <v>0</v>
      </c>
      <c r="CM413" t="n">
        <v>0</v>
      </c>
      <c r="CW413" t="n">
        <v>0</v>
      </c>
      <c r="CY413" t="n">
        <v>0</v>
      </c>
      <c r="DB413" t="n">
        <v>0</v>
      </c>
      <c r="DF413" t="n">
        <v>0</v>
      </c>
      <c r="DG413" t="n">
        <v>0</v>
      </c>
      <c r="DO413" t="n">
        <v>2.6</v>
      </c>
      <c r="DP413" t="n">
        <v>80.98</v>
      </c>
      <c r="DQ413" t="n">
        <v>40.52</v>
      </c>
      <c r="DR413" t="n">
        <v>81.04000000000001</v>
      </c>
      <c r="DS413" t="n">
        <v>-0.06</v>
      </c>
      <c r="DT413" t="n">
        <v>1708</v>
      </c>
      <c r="DU413" t="n">
        <v>44.95</v>
      </c>
      <c r="DV413" t="inlineStr">
        <is>
          <t>flat</t>
        </is>
      </c>
      <c r="DW413" t="n">
        <v>89.36</v>
      </c>
      <c r="DX413" t="n">
        <v>98.65000000000001</v>
      </c>
      <c r="DY413" t="n">
        <v>19.42</v>
      </c>
      <c r="DZ413" t="n">
        <v>38.67</v>
      </c>
      <c r="EA413" t="n">
        <v>120</v>
      </c>
      <c r="EB413" t="n">
        <v>92</v>
      </c>
      <c r="EC413" t="n">
        <v>44.2</v>
      </c>
      <c r="ED413" t="n">
        <v>6.1</v>
      </c>
      <c r="EE413" t="n">
        <v>380</v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n">
        <v>4</v>
      </c>
      <c r="F414" t="b">
        <v>1</v>
      </c>
      <c r="G414" t="b">
        <v>0</v>
      </c>
      <c r="H414" t="n">
        <v>27.6</v>
      </c>
      <c r="I414" t="inlineStr">
        <is>
          <t>a</t>
        </is>
      </c>
      <c r="M414" t="n">
        <v>495</v>
      </c>
      <c r="Q414" t="n">
        <v>0</v>
      </c>
      <c r="S414" t="n">
        <v>0</v>
      </c>
      <c r="T414" t="n">
        <v>0</v>
      </c>
      <c r="V414" t="n">
        <v>0</v>
      </c>
      <c r="X414" t="n">
        <v>0</v>
      </c>
      <c r="Y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L414" t="n">
        <v>0</v>
      </c>
      <c r="AN414" t="n">
        <v>0</v>
      </c>
      <c r="AO414" t="n">
        <v>0</v>
      </c>
      <c r="AS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BA414" t="n">
        <v>0</v>
      </c>
      <c r="BL414" t="n">
        <v>0</v>
      </c>
      <c r="BW414" t="n">
        <v>0</v>
      </c>
      <c r="BY414" t="n">
        <v>0</v>
      </c>
      <c r="CA414" t="n">
        <v>0</v>
      </c>
      <c r="CK414" t="n">
        <v>0</v>
      </c>
      <c r="CL414" t="n">
        <v>0</v>
      </c>
      <c r="CM414" t="n">
        <v>0</v>
      </c>
      <c r="CW414" t="n">
        <v>0</v>
      </c>
      <c r="CY414" t="n">
        <v>0</v>
      </c>
      <c r="DB414" t="n">
        <v>0</v>
      </c>
      <c r="DF414" t="n">
        <v>0</v>
      </c>
      <c r="DG414" t="n">
        <v>0</v>
      </c>
      <c r="DO414" t="n">
        <v>0.6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inlineStr">
        <is>
          <t>flat</t>
        </is>
      </c>
      <c r="DW414" t="n">
        <v>5</v>
      </c>
      <c r="DX414" t="n">
        <v>5</v>
      </c>
      <c r="DZ414" t="n">
        <v>5</v>
      </c>
      <c r="EA414" t="n">
        <v>5</v>
      </c>
      <c r="EB414" t="n">
        <v>1</v>
      </c>
      <c r="EC414" t="n">
        <v>0.5</v>
      </c>
      <c r="ED414" t="n">
        <v>0</v>
      </c>
      <c r="EE414" t="n">
        <v>583</v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n">
        <v>5</v>
      </c>
      <c r="F415" t="b">
        <v>1</v>
      </c>
      <c r="G415" t="b">
        <v>0</v>
      </c>
      <c r="H415" t="n">
        <v>30.3</v>
      </c>
      <c r="I415" t="inlineStr">
        <is>
          <t>a</t>
        </is>
      </c>
      <c r="M415" t="n">
        <v>364</v>
      </c>
      <c r="Q415" t="n">
        <v>0</v>
      </c>
      <c r="S415" t="n">
        <v>0</v>
      </c>
      <c r="T415" t="n">
        <v>0</v>
      </c>
      <c r="V415" t="n">
        <v>0</v>
      </c>
      <c r="X415" t="n">
        <v>0</v>
      </c>
      <c r="Y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L415" t="n">
        <v>0</v>
      </c>
      <c r="AN415" t="n">
        <v>0</v>
      </c>
      <c r="AO415" t="n">
        <v>0</v>
      </c>
      <c r="AS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BA415" t="n">
        <v>0</v>
      </c>
      <c r="BL415" t="n">
        <v>0</v>
      </c>
      <c r="BW415" t="n">
        <v>0</v>
      </c>
      <c r="BY415" t="n">
        <v>0</v>
      </c>
      <c r="CA415" t="n">
        <v>0</v>
      </c>
      <c r="CK415" t="n">
        <v>0</v>
      </c>
      <c r="CL415" t="n">
        <v>0</v>
      </c>
      <c r="CM415" t="n">
        <v>0</v>
      </c>
      <c r="CW415" t="n">
        <v>0</v>
      </c>
      <c r="CY415" t="n">
        <v>0</v>
      </c>
      <c r="DB415" t="n">
        <v>0</v>
      </c>
      <c r="DF415" t="n">
        <v>0</v>
      </c>
      <c r="DG415" t="n">
        <v>0</v>
      </c>
      <c r="DO415" t="n">
        <v>0.1</v>
      </c>
      <c r="DP415" t="n">
        <v>13.5</v>
      </c>
      <c r="DQ415" t="n">
        <v>6.75</v>
      </c>
      <c r="DR415" t="n">
        <v>13.5</v>
      </c>
      <c r="DS415" t="n">
        <v>0</v>
      </c>
      <c r="DT415" t="n">
        <v>256</v>
      </c>
      <c r="DU415" t="n">
        <v>6.75</v>
      </c>
      <c r="DV415" t="inlineStr">
        <is>
          <t>flat</t>
        </is>
      </c>
      <c r="DW415" t="n">
        <v>108.5</v>
      </c>
      <c r="DX415" t="n">
        <v>120</v>
      </c>
      <c r="DY415" t="n">
        <v>16.26</v>
      </c>
      <c r="DZ415" t="n">
        <v>97</v>
      </c>
      <c r="EA415" t="n">
        <v>120</v>
      </c>
      <c r="EB415" t="n">
        <v>2</v>
      </c>
      <c r="EC415" t="n">
        <v>1</v>
      </c>
      <c r="ED415" t="n">
        <v>50</v>
      </c>
      <c r="EE415" t="n">
        <v>368</v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n">
        <v>4</v>
      </c>
      <c r="F416" t="b">
        <v>1</v>
      </c>
      <c r="G416" t="b">
        <v>0</v>
      </c>
      <c r="H416" t="n">
        <v>28.5</v>
      </c>
      <c r="I416" t="inlineStr">
        <is>
          <t>a</t>
        </is>
      </c>
      <c r="M416" t="n">
        <v>476</v>
      </c>
      <c r="Q416" t="n">
        <v>0</v>
      </c>
      <c r="S416" t="n">
        <v>0</v>
      </c>
      <c r="T416" t="n">
        <v>0</v>
      </c>
      <c r="V416" t="n">
        <v>0</v>
      </c>
      <c r="X416" t="n">
        <v>0</v>
      </c>
      <c r="Y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L416" t="n">
        <v>0</v>
      </c>
      <c r="AN416" t="n">
        <v>0</v>
      </c>
      <c r="AO416" t="n">
        <v>0</v>
      </c>
      <c r="AS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BA416" t="n">
        <v>0</v>
      </c>
      <c r="BL416" t="n">
        <v>0</v>
      </c>
      <c r="BW416" t="n">
        <v>0</v>
      </c>
      <c r="BY416" t="n">
        <v>0</v>
      </c>
      <c r="CA416" t="n">
        <v>0</v>
      </c>
      <c r="CK416" t="n">
        <v>0</v>
      </c>
      <c r="CL416" t="n">
        <v>0</v>
      </c>
      <c r="CM416" t="n">
        <v>0</v>
      </c>
      <c r="CW416" t="n">
        <v>0</v>
      </c>
      <c r="CY416" t="n">
        <v>0</v>
      </c>
      <c r="DB416" t="n">
        <v>0</v>
      </c>
      <c r="DF416" t="n">
        <v>0</v>
      </c>
      <c r="DG416" t="n">
        <v>0</v>
      </c>
      <c r="DO416" t="n">
        <v>0.2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inlineStr">
        <is>
          <t>flat</t>
        </is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n">
        <v>7</v>
      </c>
      <c r="F417" t="b">
        <v>1</v>
      </c>
      <c r="G417" t="b">
        <v>0</v>
      </c>
      <c r="H417" t="n">
        <v>28.8</v>
      </c>
      <c r="I417" t="inlineStr">
        <is>
          <t>a</t>
        </is>
      </c>
      <c r="M417" t="n">
        <v>429</v>
      </c>
      <c r="Q417" t="n">
        <v>0</v>
      </c>
      <c r="S417" t="n">
        <v>0</v>
      </c>
      <c r="T417" t="n">
        <v>0</v>
      </c>
      <c r="V417" t="n">
        <v>0</v>
      </c>
      <c r="X417" t="n">
        <v>0</v>
      </c>
      <c r="Y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L417" t="n">
        <v>0</v>
      </c>
      <c r="AN417" t="n">
        <v>0</v>
      </c>
      <c r="AO417" t="n">
        <v>0</v>
      </c>
      <c r="AS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BA417" t="n">
        <v>0</v>
      </c>
      <c r="BL417" t="n">
        <v>0</v>
      </c>
      <c r="BW417" t="n">
        <v>0</v>
      </c>
      <c r="BY417" t="n">
        <v>0</v>
      </c>
      <c r="CA417" t="n">
        <v>0</v>
      </c>
      <c r="CK417" t="n">
        <v>0</v>
      </c>
      <c r="CL417" t="n">
        <v>0</v>
      </c>
      <c r="CM417" t="n">
        <v>0</v>
      </c>
      <c r="CW417" t="n">
        <v>0</v>
      </c>
      <c r="CY417" t="n">
        <v>0</v>
      </c>
      <c r="DB417" t="n">
        <v>0</v>
      </c>
      <c r="DF417" t="n">
        <v>0</v>
      </c>
      <c r="DG417" t="n">
        <v>0</v>
      </c>
      <c r="DO417" t="n">
        <v>1.5</v>
      </c>
      <c r="DP417" t="n">
        <v>14.39</v>
      </c>
      <c r="DQ417" t="n">
        <v>7.28</v>
      </c>
      <c r="DR417" t="n">
        <v>14.56</v>
      </c>
      <c r="DS417" t="n">
        <v>-0.17</v>
      </c>
      <c r="DT417" t="n">
        <v>176</v>
      </c>
      <c r="DU417" t="n">
        <v>4.63</v>
      </c>
      <c r="DV417" t="inlineStr">
        <is>
          <t>flat</t>
        </is>
      </c>
      <c r="DW417" t="n">
        <v>60.62</v>
      </c>
      <c r="DX417" t="n">
        <v>60.27</v>
      </c>
      <c r="DY417" t="n">
        <v>27.81</v>
      </c>
      <c r="DZ417" t="n">
        <v>10.67</v>
      </c>
      <c r="EA417" t="n">
        <v>111.11</v>
      </c>
      <c r="EB417" t="n">
        <v>95</v>
      </c>
      <c r="EC417" t="n">
        <v>45.7</v>
      </c>
      <c r="ED417" t="n">
        <v>41.7</v>
      </c>
      <c r="EE417" t="n">
        <v>30</v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n">
        <v>4.5</v>
      </c>
      <c r="F418" t="b">
        <v>1</v>
      </c>
      <c r="G418" t="b">
        <v>0</v>
      </c>
      <c r="H418" t="n">
        <v>20.6</v>
      </c>
      <c r="I418" t="inlineStr">
        <is>
          <t>a</t>
        </is>
      </c>
      <c r="M418" t="n">
        <v>396</v>
      </c>
      <c r="Q418" t="n">
        <v>0</v>
      </c>
      <c r="S418" t="n">
        <v>0</v>
      </c>
      <c r="T418" t="n">
        <v>0</v>
      </c>
      <c r="V418" t="n">
        <v>0</v>
      </c>
      <c r="X418" t="n">
        <v>0</v>
      </c>
      <c r="Y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L418" t="n">
        <v>0</v>
      </c>
      <c r="AN418" t="n">
        <v>0</v>
      </c>
      <c r="AO418" t="n">
        <v>0</v>
      </c>
      <c r="AS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BA418" t="n">
        <v>0</v>
      </c>
      <c r="BL418" t="n">
        <v>0</v>
      </c>
      <c r="BW418" t="n">
        <v>0</v>
      </c>
      <c r="BY418" t="n">
        <v>0</v>
      </c>
      <c r="CA418" t="n">
        <v>0</v>
      </c>
      <c r="CK418" t="n">
        <v>0</v>
      </c>
      <c r="CL418" t="n">
        <v>0</v>
      </c>
      <c r="CM418" t="n">
        <v>0</v>
      </c>
      <c r="CW418" t="n">
        <v>0</v>
      </c>
      <c r="CY418" t="n">
        <v>0</v>
      </c>
      <c r="DB418" t="n">
        <v>0</v>
      </c>
      <c r="DF418" t="n">
        <v>0</v>
      </c>
      <c r="DG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inlineStr">
        <is>
          <t>flat</t>
        </is>
      </c>
      <c r="DW418" t="n">
        <v>105.81</v>
      </c>
      <c r="DY418" t="n">
        <v>3.81</v>
      </c>
      <c r="DZ418" t="n">
        <v>103.11</v>
      </c>
      <c r="EA418" t="n">
        <v>108.5</v>
      </c>
      <c r="EB418" t="n">
        <v>2</v>
      </c>
      <c r="EC418" t="n">
        <v>1</v>
      </c>
      <c r="ED418" t="n">
        <v>0</v>
      </c>
      <c r="EE418" t="n">
        <v>506</v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n">
        <v>4.5</v>
      </c>
      <c r="F419" t="b">
        <v>1</v>
      </c>
      <c r="G419" t="b">
        <v>0</v>
      </c>
      <c r="H419" t="n">
        <v>21.1</v>
      </c>
      <c r="I419" t="inlineStr">
        <is>
          <t>a</t>
        </is>
      </c>
      <c r="M419" t="n">
        <v>560</v>
      </c>
      <c r="Q419" t="n">
        <v>0</v>
      </c>
      <c r="S419" t="n">
        <v>0</v>
      </c>
      <c r="T419" t="n">
        <v>0</v>
      </c>
      <c r="V419" t="n">
        <v>0</v>
      </c>
      <c r="X419" t="n">
        <v>0</v>
      </c>
      <c r="Y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L419" t="n">
        <v>0</v>
      </c>
      <c r="AN419" t="n">
        <v>0</v>
      </c>
      <c r="AO419" t="n">
        <v>0</v>
      </c>
      <c r="AS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BA419" t="n">
        <v>0</v>
      </c>
      <c r="BL419" t="n">
        <v>0</v>
      </c>
      <c r="BW419" t="n">
        <v>0</v>
      </c>
      <c r="BY419" t="n">
        <v>0</v>
      </c>
      <c r="CA419" t="n">
        <v>0</v>
      </c>
      <c r="CK419" t="n">
        <v>0</v>
      </c>
      <c r="CL419" t="n">
        <v>0</v>
      </c>
      <c r="CM419" t="n">
        <v>0</v>
      </c>
      <c r="CW419" t="n">
        <v>0</v>
      </c>
      <c r="CY419" t="n">
        <v>0</v>
      </c>
      <c r="DB419" t="n">
        <v>0</v>
      </c>
      <c r="DF419" t="n">
        <v>0</v>
      </c>
      <c r="DG419" t="n">
        <v>0</v>
      </c>
      <c r="DO419" t="n">
        <v>0.1</v>
      </c>
      <c r="DP419" t="n">
        <v>9.32</v>
      </c>
      <c r="DQ419" t="n">
        <v>4.66</v>
      </c>
      <c r="DR419" t="n">
        <v>9.32</v>
      </c>
      <c r="DS419" t="n">
        <v>0</v>
      </c>
      <c r="DT419" t="n">
        <v>274</v>
      </c>
      <c r="DU419" t="n">
        <v>7.2</v>
      </c>
      <c r="DV419" t="inlineStr">
        <is>
          <t>flat</t>
        </is>
      </c>
      <c r="DW419" t="n">
        <v>110.38</v>
      </c>
      <c r="DY419" t="n">
        <v>14.89</v>
      </c>
      <c r="DZ419" t="n">
        <v>77</v>
      </c>
      <c r="EA419" t="n">
        <v>120</v>
      </c>
      <c r="EB419" t="n">
        <v>7</v>
      </c>
      <c r="EC419" t="n">
        <v>3.4</v>
      </c>
      <c r="ED419" t="n">
        <v>22.2</v>
      </c>
      <c r="EE419" t="n">
        <v>512</v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n">
        <v>4</v>
      </c>
      <c r="F420" t="b">
        <v>1</v>
      </c>
      <c r="G420" t="b">
        <v>0</v>
      </c>
      <c r="H420" t="n">
        <v>32.5</v>
      </c>
      <c r="I420" t="inlineStr">
        <is>
          <t>a</t>
        </is>
      </c>
      <c r="M420" t="n">
        <v>555</v>
      </c>
      <c r="Q420" t="n">
        <v>0</v>
      </c>
      <c r="S420" t="n">
        <v>0</v>
      </c>
      <c r="T420" t="n">
        <v>0</v>
      </c>
      <c r="V420" t="n">
        <v>0</v>
      </c>
      <c r="X420" t="n">
        <v>0</v>
      </c>
      <c r="Y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L420" t="n">
        <v>0</v>
      </c>
      <c r="AN420" t="n">
        <v>0</v>
      </c>
      <c r="AO420" t="n">
        <v>0</v>
      </c>
      <c r="AS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BA420" t="n">
        <v>0</v>
      </c>
      <c r="BL420" t="n">
        <v>0</v>
      </c>
      <c r="BW420" t="n">
        <v>0</v>
      </c>
      <c r="BY420" t="n">
        <v>0</v>
      </c>
      <c r="CA420" t="n">
        <v>0</v>
      </c>
      <c r="CK420" t="n">
        <v>0</v>
      </c>
      <c r="CL420" t="n">
        <v>0</v>
      </c>
      <c r="CM420" t="n">
        <v>0</v>
      </c>
      <c r="CW420" t="n">
        <v>0</v>
      </c>
      <c r="CY420" t="n">
        <v>0</v>
      </c>
      <c r="DB420" t="n">
        <v>0</v>
      </c>
      <c r="DF420" t="n">
        <v>0</v>
      </c>
      <c r="DG420" t="n">
        <v>0</v>
      </c>
      <c r="DO420" t="n">
        <v>1.7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inlineStr">
        <is>
          <t>flat</t>
        </is>
      </c>
      <c r="DW420" t="n">
        <v>12</v>
      </c>
      <c r="DX420" t="n">
        <v>12</v>
      </c>
      <c r="DZ420" t="n">
        <v>12</v>
      </c>
      <c r="EA420" t="n">
        <v>12</v>
      </c>
      <c r="EB420" t="n">
        <v>1</v>
      </c>
      <c r="EC420" t="n">
        <v>0.5</v>
      </c>
      <c r="ED420" t="n">
        <v>0</v>
      </c>
      <c r="EE420" t="n">
        <v>579</v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n">
        <v>4.5</v>
      </c>
      <c r="F421" t="b">
        <v>1</v>
      </c>
      <c r="G421" t="b">
        <v>0</v>
      </c>
      <c r="H421" t="n">
        <v>21.3</v>
      </c>
      <c r="I421" t="inlineStr">
        <is>
          <t>a</t>
        </is>
      </c>
      <c r="M421" t="n">
        <v>561</v>
      </c>
      <c r="Q421" t="n">
        <v>0</v>
      </c>
      <c r="S421" t="n">
        <v>0</v>
      </c>
      <c r="T421" t="n">
        <v>0</v>
      </c>
      <c r="V421" t="n">
        <v>0</v>
      </c>
      <c r="X421" t="n">
        <v>0</v>
      </c>
      <c r="Y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L421" t="n">
        <v>0</v>
      </c>
      <c r="AN421" t="n">
        <v>0</v>
      </c>
      <c r="AO421" t="n">
        <v>0</v>
      </c>
      <c r="AS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BA421" t="n">
        <v>0</v>
      </c>
      <c r="BL421" t="n">
        <v>0</v>
      </c>
      <c r="BW421" t="n">
        <v>0</v>
      </c>
      <c r="BY421" t="n">
        <v>0</v>
      </c>
      <c r="CA421" t="n">
        <v>0</v>
      </c>
      <c r="CK421" t="n">
        <v>0</v>
      </c>
      <c r="CL421" t="n">
        <v>0</v>
      </c>
      <c r="CM421" t="n">
        <v>0</v>
      </c>
      <c r="CW421" t="n">
        <v>0</v>
      </c>
      <c r="CY421" t="n">
        <v>0</v>
      </c>
      <c r="DB421" t="n">
        <v>0</v>
      </c>
      <c r="DF421" t="n">
        <v>0</v>
      </c>
      <c r="DG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inlineStr">
        <is>
          <t>flat</t>
        </is>
      </c>
      <c r="DW421" t="n">
        <v>78.55</v>
      </c>
      <c r="DZ421" t="n">
        <v>78.55</v>
      </c>
      <c r="EA421" t="n">
        <v>78.55</v>
      </c>
      <c r="EB421" t="n">
        <v>1</v>
      </c>
      <c r="EC421" t="n">
        <v>0.5</v>
      </c>
      <c r="ED421" t="n">
        <v>0</v>
      </c>
      <c r="EE421" t="n">
        <v>511</v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n">
        <v>4</v>
      </c>
      <c r="F422" t="b">
        <v>1</v>
      </c>
      <c r="G422" t="b">
        <v>0</v>
      </c>
      <c r="H422" t="n">
        <v>26.1</v>
      </c>
      <c r="I422" t="inlineStr">
        <is>
          <t>a</t>
        </is>
      </c>
      <c r="M422" t="n">
        <v>59</v>
      </c>
      <c r="Q422" t="n">
        <v>0</v>
      </c>
      <c r="S422" t="n">
        <v>0</v>
      </c>
      <c r="T422" t="n">
        <v>0</v>
      </c>
      <c r="V422" t="n">
        <v>0</v>
      </c>
      <c r="X422" t="n">
        <v>0</v>
      </c>
      <c r="Y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L422" t="n">
        <v>0</v>
      </c>
      <c r="AN422" t="n">
        <v>0</v>
      </c>
      <c r="AO422" t="n">
        <v>0</v>
      </c>
      <c r="AS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BA422" t="n">
        <v>0</v>
      </c>
      <c r="BL422" t="n">
        <v>0</v>
      </c>
      <c r="BW422" t="n">
        <v>0</v>
      </c>
      <c r="BY422" t="n">
        <v>0</v>
      </c>
      <c r="CA422" t="n">
        <v>0</v>
      </c>
      <c r="CK422" t="n">
        <v>0</v>
      </c>
      <c r="CL422" t="n">
        <v>0</v>
      </c>
      <c r="CM422" t="n">
        <v>0</v>
      </c>
      <c r="CW422" t="n">
        <v>0</v>
      </c>
      <c r="CY422" t="n">
        <v>0</v>
      </c>
      <c r="DB422" t="n">
        <v>0</v>
      </c>
      <c r="DF422" t="n">
        <v>0</v>
      </c>
      <c r="DG422" t="n">
        <v>0</v>
      </c>
      <c r="DO422" t="n">
        <v>0.2</v>
      </c>
      <c r="DP422" t="n">
        <v>1.46</v>
      </c>
      <c r="DQ422" t="n">
        <v>0.73</v>
      </c>
      <c r="DR422" t="n">
        <v>1.46</v>
      </c>
      <c r="DS422" t="n">
        <v>0</v>
      </c>
      <c r="DT422" t="n">
        <v>35</v>
      </c>
      <c r="DU422" t="n">
        <v>0.91</v>
      </c>
      <c r="DV422" t="inlineStr">
        <is>
          <t>flat</t>
        </is>
      </c>
      <c r="DW422" t="n">
        <v>119.2</v>
      </c>
      <c r="DZ422" t="n">
        <v>119.2</v>
      </c>
      <c r="EA422" t="n">
        <v>119.2</v>
      </c>
      <c r="EB422" t="n">
        <v>1</v>
      </c>
      <c r="EC422" t="n">
        <v>0.5</v>
      </c>
      <c r="ED422" t="n">
        <v>0</v>
      </c>
      <c r="EE422" t="n">
        <v>535</v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n">
        <v>4</v>
      </c>
      <c r="F423" t="b">
        <v>1</v>
      </c>
      <c r="G423" t="b">
        <v>0</v>
      </c>
      <c r="H423" t="n">
        <v>30.9</v>
      </c>
      <c r="I423" t="inlineStr">
        <is>
          <t>a</t>
        </is>
      </c>
      <c r="M423" t="n">
        <v>556</v>
      </c>
      <c r="Q423" t="n">
        <v>0</v>
      </c>
      <c r="S423" t="n">
        <v>0</v>
      </c>
      <c r="T423" t="n">
        <v>0</v>
      </c>
      <c r="V423" t="n">
        <v>0</v>
      </c>
      <c r="X423" t="n">
        <v>0</v>
      </c>
      <c r="Y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L423" t="n">
        <v>0</v>
      </c>
      <c r="AN423" t="n">
        <v>0</v>
      </c>
      <c r="AO423" t="n">
        <v>0</v>
      </c>
      <c r="AS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BA423" t="n">
        <v>0</v>
      </c>
      <c r="BL423" t="n">
        <v>0</v>
      </c>
      <c r="BW423" t="n">
        <v>0</v>
      </c>
      <c r="BY423" t="n">
        <v>0</v>
      </c>
      <c r="CA423" t="n">
        <v>0</v>
      </c>
      <c r="CK423" t="n">
        <v>0</v>
      </c>
      <c r="CL423" t="n">
        <v>0</v>
      </c>
      <c r="CM423" t="n">
        <v>0</v>
      </c>
      <c r="CW423" t="n">
        <v>0</v>
      </c>
      <c r="CY423" t="n">
        <v>0</v>
      </c>
      <c r="DB423" t="n">
        <v>0</v>
      </c>
      <c r="DF423" t="n">
        <v>0</v>
      </c>
      <c r="DG423" t="n">
        <v>0</v>
      </c>
      <c r="DO423" t="n">
        <v>3</v>
      </c>
      <c r="DP423" t="n">
        <v>23.28</v>
      </c>
      <c r="DQ423" t="n">
        <v>13.75</v>
      </c>
      <c r="DR423" t="n">
        <v>27.5</v>
      </c>
      <c r="DS423" t="n">
        <v>-4.22</v>
      </c>
      <c r="DT423" t="n">
        <v>421</v>
      </c>
      <c r="DU423" t="n">
        <v>11.07</v>
      </c>
      <c r="DV423" t="inlineStr">
        <is>
          <t>flat</t>
        </is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n">
        <v>5</v>
      </c>
      <c r="F424" t="b">
        <v>1</v>
      </c>
      <c r="G424" t="b">
        <v>0</v>
      </c>
      <c r="H424" t="n">
        <v>30.7</v>
      </c>
      <c r="I424" t="inlineStr">
        <is>
          <t>a</t>
        </is>
      </c>
      <c r="M424" t="n">
        <v>408</v>
      </c>
      <c r="Q424" t="n">
        <v>0</v>
      </c>
      <c r="S424" t="n">
        <v>0</v>
      </c>
      <c r="T424" t="n">
        <v>0</v>
      </c>
      <c r="V424" t="n">
        <v>0</v>
      </c>
      <c r="X424" t="n">
        <v>0</v>
      </c>
      <c r="Y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L424" t="n">
        <v>0</v>
      </c>
      <c r="AN424" t="n">
        <v>0</v>
      </c>
      <c r="AO424" t="n">
        <v>0</v>
      </c>
      <c r="AS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BA424" t="n">
        <v>0</v>
      </c>
      <c r="BL424" t="n">
        <v>0</v>
      </c>
      <c r="BW424" t="n">
        <v>0</v>
      </c>
      <c r="BY424" t="n">
        <v>0</v>
      </c>
      <c r="CA424" t="n">
        <v>0</v>
      </c>
      <c r="CK424" t="n">
        <v>0</v>
      </c>
      <c r="CL424" t="n">
        <v>0</v>
      </c>
      <c r="CM424" t="n">
        <v>0</v>
      </c>
      <c r="CW424" t="n">
        <v>0</v>
      </c>
      <c r="CY424" t="n">
        <v>0</v>
      </c>
      <c r="DB424" t="n">
        <v>0</v>
      </c>
      <c r="DF424" t="n">
        <v>0</v>
      </c>
      <c r="DG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inlineStr">
        <is>
          <t>flat</t>
        </is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n">
        <v>4.5</v>
      </c>
      <c r="F425" t="b">
        <v>1</v>
      </c>
      <c r="G425" t="b">
        <v>0</v>
      </c>
      <c r="H425" t="n">
        <v>31.5</v>
      </c>
      <c r="I425" t="inlineStr">
        <is>
          <t>a</t>
        </is>
      </c>
      <c r="M425" t="n">
        <v>228</v>
      </c>
      <c r="Q425" t="n">
        <v>0</v>
      </c>
      <c r="S425" t="n">
        <v>0</v>
      </c>
      <c r="T425" t="n">
        <v>0</v>
      </c>
      <c r="V425" t="n">
        <v>0</v>
      </c>
      <c r="X425" t="n">
        <v>0</v>
      </c>
      <c r="Y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L425" t="n">
        <v>0</v>
      </c>
      <c r="AN425" t="n">
        <v>0</v>
      </c>
      <c r="AO425" t="n">
        <v>0</v>
      </c>
      <c r="AS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BA425" t="n">
        <v>0</v>
      </c>
      <c r="BL425" t="n">
        <v>0</v>
      </c>
      <c r="BW425" t="n">
        <v>0</v>
      </c>
      <c r="BY425" t="n">
        <v>0</v>
      </c>
      <c r="CA425" t="n">
        <v>0</v>
      </c>
      <c r="CK425" t="n">
        <v>0</v>
      </c>
      <c r="CL425" t="n">
        <v>0</v>
      </c>
      <c r="CM425" t="n">
        <v>0</v>
      </c>
      <c r="CW425" t="n">
        <v>0</v>
      </c>
      <c r="CY425" t="n">
        <v>0</v>
      </c>
      <c r="DB425" t="n">
        <v>0</v>
      </c>
      <c r="DF425" t="n">
        <v>0</v>
      </c>
      <c r="DG425" t="n">
        <v>0</v>
      </c>
      <c r="DO425" t="n">
        <v>0.1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inlineStr">
        <is>
          <t>flat</t>
        </is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n">
        <v>4.5</v>
      </c>
      <c r="F426" t="b">
        <v>1</v>
      </c>
      <c r="G426" t="b">
        <v>0</v>
      </c>
      <c r="H426" t="n">
        <v>34.2</v>
      </c>
      <c r="I426" t="inlineStr">
        <is>
          <t>a</t>
        </is>
      </c>
      <c r="M426" t="n">
        <v>386</v>
      </c>
      <c r="Q426" t="n">
        <v>0</v>
      </c>
      <c r="S426" t="n">
        <v>0</v>
      </c>
      <c r="T426" t="n">
        <v>0</v>
      </c>
      <c r="V426" t="n">
        <v>0</v>
      </c>
      <c r="X426" t="n">
        <v>0</v>
      </c>
      <c r="Y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L426" t="n">
        <v>0</v>
      </c>
      <c r="AN426" t="n">
        <v>0</v>
      </c>
      <c r="AO426" t="n">
        <v>0</v>
      </c>
      <c r="AS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BA426" t="n">
        <v>0</v>
      </c>
      <c r="BL426" t="n">
        <v>0</v>
      </c>
      <c r="BW426" t="n">
        <v>0</v>
      </c>
      <c r="BY426" t="n">
        <v>0</v>
      </c>
      <c r="CA426" t="n">
        <v>0</v>
      </c>
      <c r="CK426" t="n">
        <v>0</v>
      </c>
      <c r="CL426" t="n">
        <v>0</v>
      </c>
      <c r="CM426" t="n">
        <v>0</v>
      </c>
      <c r="CW426" t="n">
        <v>0</v>
      </c>
      <c r="CY426" t="n">
        <v>0</v>
      </c>
      <c r="DB426" t="n">
        <v>0</v>
      </c>
      <c r="DF426" t="n">
        <v>0</v>
      </c>
      <c r="DG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inlineStr">
        <is>
          <t>flat</t>
        </is>
      </c>
      <c r="DW426" t="n">
        <v>117.76</v>
      </c>
      <c r="DX426" t="n">
        <v>119</v>
      </c>
      <c r="DY426" t="n">
        <v>1.67</v>
      </c>
      <c r="DZ426" t="n">
        <v>114.86</v>
      </c>
      <c r="EA426" t="n">
        <v>119</v>
      </c>
      <c r="EB426" t="n">
        <v>5</v>
      </c>
      <c r="EC426" t="n">
        <v>2.4</v>
      </c>
      <c r="ED426" t="n">
        <v>0</v>
      </c>
      <c r="EE426" t="n">
        <v>505</v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n">
        <v>4</v>
      </c>
      <c r="F427" t="b">
        <v>1</v>
      </c>
      <c r="G427" t="b">
        <v>0</v>
      </c>
      <c r="H427" t="n">
        <v>19.7</v>
      </c>
      <c r="I427" t="inlineStr">
        <is>
          <t>i</t>
        </is>
      </c>
      <c r="J427" t="inlineStr">
        <is>
          <t>Knee injury - Unknown return date</t>
        </is>
      </c>
      <c r="K427" t="n">
        <v>0</v>
      </c>
      <c r="M427" t="n">
        <v>363</v>
      </c>
      <c r="Q427" t="n">
        <v>0</v>
      </c>
      <c r="S427" t="n">
        <v>0</v>
      </c>
      <c r="T427" t="n">
        <v>0</v>
      </c>
      <c r="V427" t="n">
        <v>0</v>
      </c>
      <c r="X427" t="n">
        <v>0</v>
      </c>
      <c r="Y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L427" t="n">
        <v>0</v>
      </c>
      <c r="AN427" t="n">
        <v>0</v>
      </c>
      <c r="AO427" t="n">
        <v>0</v>
      </c>
      <c r="AS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BA427" t="n">
        <v>0</v>
      </c>
      <c r="BL427" t="n">
        <v>0</v>
      </c>
      <c r="BW427" t="n">
        <v>0</v>
      </c>
      <c r="BY427" t="n">
        <v>0</v>
      </c>
      <c r="CA427" t="n">
        <v>0</v>
      </c>
      <c r="CK427" t="n">
        <v>0</v>
      </c>
      <c r="CL427" t="n">
        <v>0</v>
      </c>
      <c r="CM427" t="n">
        <v>0</v>
      </c>
      <c r="CW427" t="n">
        <v>0</v>
      </c>
      <c r="CY427" t="n">
        <v>0</v>
      </c>
      <c r="DB427" t="n">
        <v>0</v>
      </c>
      <c r="DF427" t="n">
        <v>0</v>
      </c>
      <c r="DG427" t="n">
        <v>0</v>
      </c>
      <c r="DO427" t="n">
        <v>0.1</v>
      </c>
      <c r="DP427" t="n">
        <v>1.53</v>
      </c>
      <c r="DQ427" t="n">
        <v>0.77</v>
      </c>
      <c r="DR427" t="n">
        <v>1.54</v>
      </c>
      <c r="DS427" t="n">
        <v>-0.01</v>
      </c>
      <c r="DT427" t="n">
        <v>28</v>
      </c>
      <c r="DU427" t="n">
        <v>0.75</v>
      </c>
      <c r="DV427" t="inlineStr">
        <is>
          <t>flat</t>
        </is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n">
        <v>4</v>
      </c>
      <c r="F428" t="b">
        <v>1</v>
      </c>
      <c r="G428" t="b">
        <v>0</v>
      </c>
      <c r="H428" t="n">
        <v>35.3</v>
      </c>
      <c r="I428" t="inlineStr">
        <is>
          <t>a</t>
        </is>
      </c>
      <c r="M428" t="n">
        <v>251</v>
      </c>
      <c r="Q428" t="n">
        <v>0</v>
      </c>
      <c r="S428" t="n">
        <v>0</v>
      </c>
      <c r="T428" t="n">
        <v>0</v>
      </c>
      <c r="V428" t="n">
        <v>0</v>
      </c>
      <c r="X428" t="n">
        <v>0</v>
      </c>
      <c r="Y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L428" t="n">
        <v>0</v>
      </c>
      <c r="AN428" t="n">
        <v>0</v>
      </c>
      <c r="AO428" t="n">
        <v>0</v>
      </c>
      <c r="AS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BA428" t="n">
        <v>0</v>
      </c>
      <c r="BL428" t="n">
        <v>0</v>
      </c>
      <c r="BW428" t="n">
        <v>0</v>
      </c>
      <c r="BY428" t="n">
        <v>0</v>
      </c>
      <c r="CA428" t="n">
        <v>0</v>
      </c>
      <c r="CK428" t="n">
        <v>0</v>
      </c>
      <c r="CL428" t="n">
        <v>0</v>
      </c>
      <c r="CM428" t="n">
        <v>0</v>
      </c>
      <c r="CW428" t="n">
        <v>0</v>
      </c>
      <c r="CY428" t="n">
        <v>0</v>
      </c>
      <c r="DB428" t="n">
        <v>0</v>
      </c>
      <c r="DF428" t="n">
        <v>0</v>
      </c>
      <c r="DG428" t="n">
        <v>0</v>
      </c>
      <c r="DO428" t="n">
        <v>1.4</v>
      </c>
      <c r="DP428" t="n">
        <v>0.74</v>
      </c>
      <c r="DQ428" t="n">
        <v>0.38</v>
      </c>
      <c r="DR428" t="n">
        <v>0.76</v>
      </c>
      <c r="DS428" t="n">
        <v>-0.02</v>
      </c>
      <c r="DT428" t="n">
        <v>11</v>
      </c>
      <c r="DU428" t="n">
        <v>0.3</v>
      </c>
      <c r="DV428" t="inlineStr">
        <is>
          <t>flat</t>
        </is>
      </c>
      <c r="DW428" t="n">
        <v>120</v>
      </c>
      <c r="DZ428" t="n">
        <v>120</v>
      </c>
      <c r="EA428" t="n">
        <v>120</v>
      </c>
      <c r="EB428" t="n">
        <v>1</v>
      </c>
      <c r="EC428" t="n">
        <v>0.5</v>
      </c>
      <c r="ED428" t="n">
        <v>0</v>
      </c>
      <c r="EE428" t="n">
        <v>549</v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n">
        <v>4.5</v>
      </c>
      <c r="F429" t="b">
        <v>1</v>
      </c>
      <c r="G429" t="b">
        <v>0</v>
      </c>
      <c r="H429" t="n">
        <v>34.4</v>
      </c>
      <c r="I429" t="inlineStr">
        <is>
          <t>a</t>
        </is>
      </c>
      <c r="M429" t="n">
        <v>443</v>
      </c>
      <c r="Q429" t="n">
        <v>0</v>
      </c>
      <c r="S429" t="n">
        <v>0</v>
      </c>
      <c r="T429" t="n">
        <v>0</v>
      </c>
      <c r="V429" t="n">
        <v>0</v>
      </c>
      <c r="X429" t="n">
        <v>0</v>
      </c>
      <c r="Y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L429" t="n">
        <v>0</v>
      </c>
      <c r="AN429" t="n">
        <v>0</v>
      </c>
      <c r="AO429" t="n">
        <v>0</v>
      </c>
      <c r="AS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BA429" t="n">
        <v>0</v>
      </c>
      <c r="BL429" t="n">
        <v>0</v>
      </c>
      <c r="BW429" t="n">
        <v>0</v>
      </c>
      <c r="BY429" t="n">
        <v>0</v>
      </c>
      <c r="CA429" t="n">
        <v>0</v>
      </c>
      <c r="CK429" t="n">
        <v>0</v>
      </c>
      <c r="CL429" t="n">
        <v>0</v>
      </c>
      <c r="CM429" t="n">
        <v>0</v>
      </c>
      <c r="CW429" t="n">
        <v>0</v>
      </c>
      <c r="CY429" t="n">
        <v>0</v>
      </c>
      <c r="DB429" t="n">
        <v>0</v>
      </c>
      <c r="DF429" t="n">
        <v>0</v>
      </c>
      <c r="DG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inlineStr">
        <is>
          <t>flat</t>
        </is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n">
        <v>4</v>
      </c>
      <c r="F430" t="b">
        <v>1</v>
      </c>
      <c r="G430" t="b">
        <v>0</v>
      </c>
      <c r="H430" t="n">
        <v>36</v>
      </c>
      <c r="I430" t="inlineStr">
        <is>
          <t>a</t>
        </is>
      </c>
      <c r="M430" t="n">
        <v>111</v>
      </c>
      <c r="Q430" t="n">
        <v>0</v>
      </c>
      <c r="S430" t="n">
        <v>0</v>
      </c>
      <c r="T430" t="n">
        <v>0</v>
      </c>
      <c r="V430" t="n">
        <v>0</v>
      </c>
      <c r="X430" t="n">
        <v>0</v>
      </c>
      <c r="Y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L430" t="n">
        <v>0</v>
      </c>
      <c r="AN430" t="n">
        <v>0</v>
      </c>
      <c r="AO430" t="n">
        <v>0</v>
      </c>
      <c r="AS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BA430" t="n">
        <v>0</v>
      </c>
      <c r="BL430" t="n">
        <v>0</v>
      </c>
      <c r="BW430" t="n">
        <v>0</v>
      </c>
      <c r="BY430" t="n">
        <v>0</v>
      </c>
      <c r="CA430" t="n">
        <v>0</v>
      </c>
      <c r="CK430" t="n">
        <v>0</v>
      </c>
      <c r="CL430" t="n">
        <v>0</v>
      </c>
      <c r="CM430" t="n">
        <v>0</v>
      </c>
      <c r="CW430" t="n">
        <v>0</v>
      </c>
      <c r="CY430" t="n">
        <v>0</v>
      </c>
      <c r="DB430" t="n">
        <v>0</v>
      </c>
      <c r="DF430" t="n">
        <v>0</v>
      </c>
      <c r="DG430" t="n">
        <v>0</v>
      </c>
      <c r="DO430" t="n">
        <v>4.4</v>
      </c>
      <c r="DP430" t="n">
        <v>1.46</v>
      </c>
      <c r="DQ430" t="n">
        <v>0.73</v>
      </c>
      <c r="DR430" t="n">
        <v>1.46</v>
      </c>
      <c r="DS430" t="n">
        <v>0</v>
      </c>
      <c r="DT430" t="n">
        <v>35</v>
      </c>
      <c r="DU430" t="n">
        <v>0.91</v>
      </c>
      <c r="DV430" t="inlineStr">
        <is>
          <t>flat</t>
        </is>
      </c>
      <c r="DW430" t="n">
        <v>119.12</v>
      </c>
      <c r="DY430" t="n">
        <v>0.9399999999999999</v>
      </c>
      <c r="DZ430" t="n">
        <v>118</v>
      </c>
      <c r="EA430" t="n">
        <v>120</v>
      </c>
      <c r="EB430" t="n">
        <v>5</v>
      </c>
      <c r="EC430" t="n">
        <v>2.4</v>
      </c>
      <c r="ED430" t="n">
        <v>16.7</v>
      </c>
      <c r="EE430" t="n">
        <v>536</v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n">
        <v>4</v>
      </c>
      <c r="F431" t="b">
        <v>1</v>
      </c>
      <c r="G431" t="b">
        <v>0</v>
      </c>
      <c r="H431" t="n">
        <v>38.4</v>
      </c>
      <c r="I431" t="inlineStr">
        <is>
          <t>a</t>
        </is>
      </c>
      <c r="M431" t="n">
        <v>58</v>
      </c>
      <c r="Q431" t="n">
        <v>0</v>
      </c>
      <c r="S431" t="n">
        <v>0</v>
      </c>
      <c r="T431" t="n">
        <v>0</v>
      </c>
      <c r="V431" t="n">
        <v>0</v>
      </c>
      <c r="X431" t="n">
        <v>0</v>
      </c>
      <c r="Y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L431" t="n">
        <v>0</v>
      </c>
      <c r="AN431" t="n">
        <v>0</v>
      </c>
      <c r="AO431" t="n">
        <v>0</v>
      </c>
      <c r="AS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BA431" t="n">
        <v>0</v>
      </c>
      <c r="BL431" t="n">
        <v>0</v>
      </c>
      <c r="BW431" t="n">
        <v>0</v>
      </c>
      <c r="BY431" t="n">
        <v>0</v>
      </c>
      <c r="CA431" t="n">
        <v>0</v>
      </c>
      <c r="CK431" t="n">
        <v>0</v>
      </c>
      <c r="CL431" t="n">
        <v>0</v>
      </c>
      <c r="CM431" t="n">
        <v>0</v>
      </c>
      <c r="CW431" t="n">
        <v>0</v>
      </c>
      <c r="CY431" t="n">
        <v>0</v>
      </c>
      <c r="DB431" t="n">
        <v>0</v>
      </c>
      <c r="DF431" t="n">
        <v>0</v>
      </c>
      <c r="DG431" t="n">
        <v>0</v>
      </c>
      <c r="DO431" t="n">
        <v>3.2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inlineStr">
        <is>
          <t>flat</t>
        </is>
      </c>
      <c r="DW431" t="n">
        <v>115.83</v>
      </c>
      <c r="DY431" t="n">
        <v>0.29</v>
      </c>
      <c r="DZ431" t="n">
        <v>115.5</v>
      </c>
      <c r="EA431" t="n">
        <v>116</v>
      </c>
      <c r="EB431" t="n">
        <v>3</v>
      </c>
      <c r="EC431" t="n">
        <v>1.4</v>
      </c>
      <c r="ED431" t="n">
        <v>0</v>
      </c>
      <c r="EE431" t="n">
        <v>534</v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n">
        <v>5</v>
      </c>
      <c r="F432" t="b">
        <v>1</v>
      </c>
      <c r="G432" t="b">
        <v>0</v>
      </c>
      <c r="H432" t="n">
        <v>26.6</v>
      </c>
      <c r="I432" t="inlineStr">
        <is>
          <t>a</t>
        </is>
      </c>
      <c r="M432" t="n">
        <v>218</v>
      </c>
      <c r="Q432" t="n">
        <v>0</v>
      </c>
      <c r="S432" t="n">
        <v>0</v>
      </c>
      <c r="T432" t="n">
        <v>0</v>
      </c>
      <c r="V432" t="n">
        <v>0</v>
      </c>
      <c r="X432" t="n">
        <v>0</v>
      </c>
      <c r="Y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L432" t="n">
        <v>0</v>
      </c>
      <c r="AN432" t="n">
        <v>0</v>
      </c>
      <c r="AO432" t="n">
        <v>0</v>
      </c>
      <c r="AS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BA432" t="n">
        <v>0</v>
      </c>
      <c r="BL432" t="n">
        <v>0</v>
      </c>
      <c r="BW432" t="n">
        <v>0</v>
      </c>
      <c r="BY432" t="n">
        <v>0</v>
      </c>
      <c r="CA432" t="n">
        <v>0</v>
      </c>
      <c r="CK432" t="n">
        <v>0</v>
      </c>
      <c r="CL432" t="n">
        <v>0</v>
      </c>
      <c r="CM432" t="n">
        <v>0</v>
      </c>
      <c r="CW432" t="n">
        <v>0</v>
      </c>
      <c r="CY432" t="n">
        <v>0</v>
      </c>
      <c r="DB432" t="n">
        <v>0</v>
      </c>
      <c r="DF432" t="n">
        <v>0</v>
      </c>
      <c r="DG432" t="n">
        <v>0</v>
      </c>
      <c r="DO432" t="n">
        <v>0.1</v>
      </c>
      <c r="DP432" t="n">
        <v>0</v>
      </c>
      <c r="DQ432" t="n">
        <v>0</v>
      </c>
      <c r="DR432" t="n">
        <v>0</v>
      </c>
      <c r="DS432" t="n">
        <v>0</v>
      </c>
      <c r="DT432" t="n">
        <v>0</v>
      </c>
      <c r="DU432" t="n">
        <v>0</v>
      </c>
      <c r="DV432" t="inlineStr">
        <is>
          <t>flat</t>
        </is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n">
        <v>5</v>
      </c>
      <c r="F433" t="b">
        <v>1</v>
      </c>
      <c r="G433" t="b">
        <v>0</v>
      </c>
      <c r="H433" t="n">
        <v>24.3</v>
      </c>
      <c r="I433" t="inlineStr">
        <is>
          <t>a</t>
        </is>
      </c>
      <c r="M433" t="n">
        <v>340</v>
      </c>
      <c r="Q433" t="n">
        <v>0</v>
      </c>
      <c r="S433" t="n">
        <v>0</v>
      </c>
      <c r="T433" t="n">
        <v>0</v>
      </c>
      <c r="V433" t="n">
        <v>0</v>
      </c>
      <c r="X433" t="n">
        <v>0</v>
      </c>
      <c r="Y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L433" t="n">
        <v>0</v>
      </c>
      <c r="AN433" t="n">
        <v>0</v>
      </c>
      <c r="AO433" t="n">
        <v>0</v>
      </c>
      <c r="AS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BA433" t="n">
        <v>0</v>
      </c>
      <c r="BL433" t="n">
        <v>0</v>
      </c>
      <c r="BW433" t="n">
        <v>0</v>
      </c>
      <c r="BY433" t="n">
        <v>0</v>
      </c>
      <c r="CA433" t="n">
        <v>0</v>
      </c>
      <c r="CK433" t="n">
        <v>0</v>
      </c>
      <c r="CL433" t="n">
        <v>0</v>
      </c>
      <c r="CM433" t="n">
        <v>0</v>
      </c>
      <c r="CW433" t="n">
        <v>0</v>
      </c>
      <c r="CY433" t="n">
        <v>0</v>
      </c>
      <c r="DB433" t="n">
        <v>0</v>
      </c>
      <c r="DF433" t="n">
        <v>0</v>
      </c>
      <c r="DG433" t="n">
        <v>0</v>
      </c>
      <c r="DO433" t="n">
        <v>0</v>
      </c>
      <c r="DP433" t="n">
        <v>0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inlineStr">
        <is>
          <t>flat</t>
        </is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n">
        <v>6.5</v>
      </c>
      <c r="F434" t="b">
        <v>1</v>
      </c>
      <c r="G434" t="b">
        <v>0</v>
      </c>
      <c r="H434" t="n">
        <v>26.3</v>
      </c>
      <c r="I434" t="inlineStr">
        <is>
          <t>i</t>
        </is>
      </c>
      <c r="J434" t="inlineStr">
        <is>
          <t>Knee injury - Unknown return date</t>
        </is>
      </c>
      <c r="K434" t="n">
        <v>0</v>
      </c>
      <c r="M434" t="n">
        <v>521</v>
      </c>
      <c r="Q434" t="n">
        <v>0</v>
      </c>
      <c r="S434" t="n">
        <v>0</v>
      </c>
      <c r="T434" t="n">
        <v>0</v>
      </c>
      <c r="V434" t="n">
        <v>0</v>
      </c>
      <c r="X434" t="n">
        <v>0</v>
      </c>
      <c r="Y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L434" t="n">
        <v>0</v>
      </c>
      <c r="AN434" t="n">
        <v>0</v>
      </c>
      <c r="AO434" t="n">
        <v>0</v>
      </c>
      <c r="AS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BA434" t="n">
        <v>0</v>
      </c>
      <c r="BL434" t="n">
        <v>0</v>
      </c>
      <c r="BW434" t="n">
        <v>0</v>
      </c>
      <c r="BY434" t="n">
        <v>0</v>
      </c>
      <c r="CA434" t="n">
        <v>0</v>
      </c>
      <c r="CK434" t="n">
        <v>0</v>
      </c>
      <c r="CL434" t="n">
        <v>0</v>
      </c>
      <c r="CM434" t="n">
        <v>0</v>
      </c>
      <c r="CW434" t="n">
        <v>0</v>
      </c>
      <c r="CY434" t="n">
        <v>0</v>
      </c>
      <c r="DB434" t="n">
        <v>0</v>
      </c>
      <c r="DF434" t="n">
        <v>0</v>
      </c>
      <c r="DG434" t="n">
        <v>0</v>
      </c>
      <c r="DO434" t="n">
        <v>0</v>
      </c>
      <c r="DP434" t="n">
        <v>16.95</v>
      </c>
      <c r="DQ434" t="n">
        <v>8.539999999999999</v>
      </c>
      <c r="DR434" t="n">
        <v>17.08</v>
      </c>
      <c r="DS434" t="n">
        <v>-0.13</v>
      </c>
      <c r="DT434" t="n">
        <v>280</v>
      </c>
      <c r="DU434" t="n">
        <v>7.38</v>
      </c>
      <c r="DV434" t="inlineStr">
        <is>
          <t>flat</t>
        </is>
      </c>
      <c r="DW434" t="n">
        <v>83.09</v>
      </c>
      <c r="DY434" t="n">
        <v>15.8</v>
      </c>
      <c r="DZ434" t="n">
        <v>60.8</v>
      </c>
      <c r="EA434" t="n">
        <v>96.5</v>
      </c>
      <c r="EB434" t="n">
        <v>4</v>
      </c>
      <c r="EC434" t="n">
        <v>1.9</v>
      </c>
      <c r="ED434" t="n">
        <v>55.6</v>
      </c>
      <c r="EE434" t="n">
        <v>54</v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n">
        <v>4.5</v>
      </c>
      <c r="F435" t="b">
        <v>1</v>
      </c>
      <c r="G435" t="b">
        <v>0</v>
      </c>
      <c r="H435" t="n">
        <v>21.9</v>
      </c>
      <c r="I435" t="inlineStr">
        <is>
          <t>a</t>
        </is>
      </c>
      <c r="M435" t="n">
        <v>378</v>
      </c>
      <c r="Q435" t="n">
        <v>0</v>
      </c>
      <c r="S435" t="n">
        <v>0</v>
      </c>
      <c r="T435" t="n">
        <v>0</v>
      </c>
      <c r="V435" t="n">
        <v>0</v>
      </c>
      <c r="X435" t="n">
        <v>0</v>
      </c>
      <c r="Y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L435" t="n">
        <v>0</v>
      </c>
      <c r="AN435" t="n">
        <v>0</v>
      </c>
      <c r="AO435" t="n">
        <v>0</v>
      </c>
      <c r="AS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BA435" t="n">
        <v>0</v>
      </c>
      <c r="BL435" t="n">
        <v>0</v>
      </c>
      <c r="BW435" t="n">
        <v>0</v>
      </c>
      <c r="BY435" t="n">
        <v>0</v>
      </c>
      <c r="CA435" t="n">
        <v>0</v>
      </c>
      <c r="CK435" t="n">
        <v>0</v>
      </c>
      <c r="CL435" t="n">
        <v>0</v>
      </c>
      <c r="CM435" t="n">
        <v>0</v>
      </c>
      <c r="CW435" t="n">
        <v>0</v>
      </c>
      <c r="CY435" t="n">
        <v>0</v>
      </c>
      <c r="DB435" t="n">
        <v>0</v>
      </c>
      <c r="DF435" t="n">
        <v>0</v>
      </c>
      <c r="DG435" t="n">
        <v>0</v>
      </c>
      <c r="DO435" t="n">
        <v>0.2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inlineStr">
        <is>
          <t>flat</t>
        </is>
      </c>
      <c r="DW435" t="n">
        <v>42.36</v>
      </c>
      <c r="DX435" t="n">
        <v>60</v>
      </c>
      <c r="DY435" t="n">
        <v>24.94</v>
      </c>
      <c r="DZ435" t="n">
        <v>24.73</v>
      </c>
      <c r="EA435" t="n">
        <v>60</v>
      </c>
      <c r="EB435" t="n">
        <v>2</v>
      </c>
      <c r="EC435" t="n">
        <v>1</v>
      </c>
      <c r="ED435" t="n">
        <v>0</v>
      </c>
      <c r="EE435" t="n">
        <v>503</v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n">
        <v>5</v>
      </c>
      <c r="F436" t="b">
        <v>1</v>
      </c>
      <c r="G436" t="b">
        <v>0</v>
      </c>
      <c r="H436" t="n">
        <v>22.4</v>
      </c>
      <c r="I436" t="inlineStr">
        <is>
          <t>a</t>
        </is>
      </c>
      <c r="M436" t="n">
        <v>217</v>
      </c>
      <c r="Q436" t="n">
        <v>0</v>
      </c>
      <c r="S436" t="n">
        <v>0</v>
      </c>
      <c r="T436" t="n">
        <v>0</v>
      </c>
      <c r="V436" t="n">
        <v>0</v>
      </c>
      <c r="X436" t="n">
        <v>0</v>
      </c>
      <c r="Y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L436" t="n">
        <v>0</v>
      </c>
      <c r="AN436" t="n">
        <v>0</v>
      </c>
      <c r="AO436" t="n">
        <v>0</v>
      </c>
      <c r="AS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BA436" t="n">
        <v>0</v>
      </c>
      <c r="BL436" t="n">
        <v>0</v>
      </c>
      <c r="BW436" t="n">
        <v>0</v>
      </c>
      <c r="BY436" t="n">
        <v>0</v>
      </c>
      <c r="CA436" t="n">
        <v>0</v>
      </c>
      <c r="CK436" t="n">
        <v>0</v>
      </c>
      <c r="CL436" t="n">
        <v>0</v>
      </c>
      <c r="CM436" t="n">
        <v>0</v>
      </c>
      <c r="CW436" t="n">
        <v>0</v>
      </c>
      <c r="CY436" t="n">
        <v>0</v>
      </c>
      <c r="DB436" t="n">
        <v>0</v>
      </c>
      <c r="DF436" t="n">
        <v>0</v>
      </c>
      <c r="DG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inlineStr">
        <is>
          <t>flat</t>
        </is>
      </c>
      <c r="DW436" t="n">
        <v>91.56</v>
      </c>
      <c r="DZ436" t="n">
        <v>91.56</v>
      </c>
      <c r="EA436" t="n">
        <v>91.56</v>
      </c>
      <c r="EB436" t="n">
        <v>1</v>
      </c>
      <c r="EC436" t="n">
        <v>0.5</v>
      </c>
      <c r="ED436" t="n">
        <v>0</v>
      </c>
      <c r="EE436" t="n">
        <v>347</v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n">
        <v>5</v>
      </c>
      <c r="F437" t="b">
        <v>1</v>
      </c>
      <c r="G437" t="b">
        <v>0</v>
      </c>
      <c r="H437" t="n">
        <v>21.8</v>
      </c>
      <c r="I437" t="inlineStr">
        <is>
          <t>i</t>
        </is>
      </c>
      <c r="J437" t="inlineStr">
        <is>
          <t>Hamstring injury - Expected back 23 Aug</t>
        </is>
      </c>
      <c r="K437" t="n">
        <v>0</v>
      </c>
      <c r="M437" t="n">
        <v>376</v>
      </c>
      <c r="Q437" t="n">
        <v>0</v>
      </c>
      <c r="S437" t="n">
        <v>0</v>
      </c>
      <c r="T437" t="n">
        <v>0</v>
      </c>
      <c r="V437" t="n">
        <v>0</v>
      </c>
      <c r="X437" t="n">
        <v>0</v>
      </c>
      <c r="Y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L437" t="n">
        <v>0</v>
      </c>
      <c r="AN437" t="n">
        <v>0</v>
      </c>
      <c r="AO437" t="n">
        <v>0</v>
      </c>
      <c r="AS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BA437" t="n">
        <v>0</v>
      </c>
      <c r="BL437" t="n">
        <v>0</v>
      </c>
      <c r="BW437" t="n">
        <v>0</v>
      </c>
      <c r="BY437" t="n">
        <v>0</v>
      </c>
      <c r="CA437" t="n">
        <v>0</v>
      </c>
      <c r="CK437" t="n">
        <v>0</v>
      </c>
      <c r="CL437" t="n">
        <v>0</v>
      </c>
      <c r="CM437" t="n">
        <v>0</v>
      </c>
      <c r="CW437" t="n">
        <v>0</v>
      </c>
      <c r="CY437" t="n">
        <v>0</v>
      </c>
      <c r="DB437" t="n">
        <v>0</v>
      </c>
      <c r="DF437" t="n">
        <v>0</v>
      </c>
      <c r="DG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inlineStr">
        <is>
          <t>flat</t>
        </is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n">
        <v>4</v>
      </c>
      <c r="F438" t="b">
        <v>1</v>
      </c>
      <c r="G438" t="b">
        <v>0</v>
      </c>
      <c r="I438" t="inlineStr">
        <is>
          <t>a</t>
        </is>
      </c>
      <c r="M438" t="n">
        <v>361</v>
      </c>
      <c r="Q438" t="n">
        <v>0</v>
      </c>
      <c r="S438" t="n">
        <v>0</v>
      </c>
      <c r="T438" t="n">
        <v>0</v>
      </c>
      <c r="V438" t="n">
        <v>0</v>
      </c>
      <c r="X438" t="n">
        <v>0</v>
      </c>
      <c r="Y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L438" t="n">
        <v>0</v>
      </c>
      <c r="AN438" t="n">
        <v>0</v>
      </c>
      <c r="AO438" t="n">
        <v>0</v>
      </c>
      <c r="AS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BA438" t="n">
        <v>0</v>
      </c>
      <c r="BL438" t="n">
        <v>0</v>
      </c>
      <c r="BW438" t="n">
        <v>0</v>
      </c>
      <c r="BY438" t="n">
        <v>0</v>
      </c>
      <c r="CA438" t="n">
        <v>0</v>
      </c>
      <c r="CK438" t="n">
        <v>0</v>
      </c>
      <c r="CL438" t="n">
        <v>0</v>
      </c>
      <c r="CM438" t="n">
        <v>0</v>
      </c>
      <c r="CW438" t="n">
        <v>0</v>
      </c>
      <c r="CY438" t="n">
        <v>0</v>
      </c>
      <c r="DB438" t="n">
        <v>0</v>
      </c>
      <c r="DF438" t="n">
        <v>0</v>
      </c>
      <c r="DG438" t="n">
        <v>0</v>
      </c>
      <c r="DO438" t="n">
        <v>0.1</v>
      </c>
      <c r="DP438" t="n">
        <v>0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inlineStr">
        <is>
          <t>flat</t>
        </is>
      </c>
      <c r="DW438" t="n">
        <v>37</v>
      </c>
      <c r="DX438" t="n">
        <v>37</v>
      </c>
      <c r="DZ438" t="n">
        <v>37</v>
      </c>
      <c r="EA438" t="n">
        <v>37</v>
      </c>
      <c r="EB438" t="n">
        <v>1</v>
      </c>
      <c r="EC438" t="n">
        <v>0.5</v>
      </c>
      <c r="ED438" t="n">
        <v>50</v>
      </c>
      <c r="EE438" t="n">
        <v>574</v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n">
        <v>6.5</v>
      </c>
      <c r="F439" t="b">
        <v>1</v>
      </c>
      <c r="G439" t="b">
        <v>0</v>
      </c>
      <c r="H439" t="n">
        <v>25.2</v>
      </c>
      <c r="I439" t="inlineStr">
        <is>
          <t>a</t>
        </is>
      </c>
      <c r="M439" t="n">
        <v>166</v>
      </c>
      <c r="Q439" t="n">
        <v>0</v>
      </c>
      <c r="S439" t="n">
        <v>0</v>
      </c>
      <c r="T439" t="n">
        <v>0</v>
      </c>
      <c r="V439" t="n">
        <v>0</v>
      </c>
      <c r="X439" t="n">
        <v>0</v>
      </c>
      <c r="Y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L439" t="n">
        <v>0</v>
      </c>
      <c r="AN439" t="n">
        <v>0</v>
      </c>
      <c r="AO439" t="n">
        <v>0</v>
      </c>
      <c r="AS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BA439" t="n">
        <v>0</v>
      </c>
      <c r="BL439" t="n">
        <v>0</v>
      </c>
      <c r="BW439" t="n">
        <v>0</v>
      </c>
      <c r="BY439" t="n">
        <v>0</v>
      </c>
      <c r="CA439" t="n">
        <v>0</v>
      </c>
      <c r="CK439" t="n">
        <v>0</v>
      </c>
      <c r="CL439" t="n">
        <v>0</v>
      </c>
      <c r="CM439" t="n">
        <v>0</v>
      </c>
      <c r="CW439" t="n">
        <v>0</v>
      </c>
      <c r="CY439" t="n">
        <v>0</v>
      </c>
      <c r="DB439" t="n">
        <v>0</v>
      </c>
      <c r="DF439" t="n">
        <v>0</v>
      </c>
      <c r="DG439" t="n">
        <v>0</v>
      </c>
      <c r="DO439" t="n">
        <v>0.4</v>
      </c>
      <c r="DP439" t="n">
        <v>9.369999999999999</v>
      </c>
      <c r="DQ439" t="n">
        <v>4.75</v>
      </c>
      <c r="DR439" t="n">
        <v>9.5</v>
      </c>
      <c r="DS439" t="n">
        <v>-0.13</v>
      </c>
      <c r="DT439" t="n">
        <v>10</v>
      </c>
      <c r="DU439" t="n">
        <v>0.25</v>
      </c>
      <c r="DV439" t="inlineStr">
        <is>
          <t>flat</t>
        </is>
      </c>
      <c r="DW439" t="n">
        <v>69.86</v>
      </c>
      <c r="DX439" t="n">
        <v>65.45</v>
      </c>
      <c r="DY439" t="n">
        <v>30.39</v>
      </c>
      <c r="DZ439" t="n">
        <v>22.67</v>
      </c>
      <c r="EA439" t="n">
        <v>118.77</v>
      </c>
      <c r="EB439" t="n">
        <v>74</v>
      </c>
      <c r="EC439" t="n">
        <v>35.6</v>
      </c>
      <c r="ED439" t="n">
        <v>46</v>
      </c>
      <c r="EE439" t="n">
        <v>52</v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n">
        <v>4.5</v>
      </c>
      <c r="F440" t="b">
        <v>1</v>
      </c>
      <c r="G440" t="b">
        <v>0</v>
      </c>
      <c r="H440" t="n">
        <v>22.8</v>
      </c>
      <c r="I440" t="inlineStr">
        <is>
          <t>i</t>
        </is>
      </c>
      <c r="J440" t="inlineStr">
        <is>
          <t>Knee injury - Unknown return date</t>
        </is>
      </c>
      <c r="K440" t="n">
        <v>0</v>
      </c>
      <c r="M440" t="n">
        <v>349</v>
      </c>
      <c r="Q440" t="n">
        <v>0</v>
      </c>
      <c r="S440" t="n">
        <v>0</v>
      </c>
      <c r="T440" t="n">
        <v>0</v>
      </c>
      <c r="V440" t="n">
        <v>0</v>
      </c>
      <c r="X440" t="n">
        <v>0</v>
      </c>
      <c r="Y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L440" t="n">
        <v>0</v>
      </c>
      <c r="AN440" t="n">
        <v>0</v>
      </c>
      <c r="AO440" t="n">
        <v>0</v>
      </c>
      <c r="AS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BA440" t="n">
        <v>0</v>
      </c>
      <c r="BL440" t="n">
        <v>0</v>
      </c>
      <c r="BW440" t="n">
        <v>0</v>
      </c>
      <c r="BY440" t="n">
        <v>0</v>
      </c>
      <c r="CA440" t="n">
        <v>0</v>
      </c>
      <c r="CK440" t="n">
        <v>0</v>
      </c>
      <c r="CL440" t="n">
        <v>0</v>
      </c>
      <c r="CM440" t="n">
        <v>0</v>
      </c>
      <c r="CW440" t="n">
        <v>0</v>
      </c>
      <c r="CY440" t="n">
        <v>0</v>
      </c>
      <c r="DB440" t="n">
        <v>0</v>
      </c>
      <c r="DF440" t="n">
        <v>0</v>
      </c>
      <c r="DG440" t="n">
        <v>0</v>
      </c>
      <c r="DO440" t="n">
        <v>0.2</v>
      </c>
      <c r="DP440" t="n">
        <v>0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inlineStr">
        <is>
          <t>flat</t>
        </is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n">
        <v>4.5</v>
      </c>
      <c r="F441" t="b">
        <v>1</v>
      </c>
      <c r="G441" t="b">
        <v>0</v>
      </c>
      <c r="H441" t="n">
        <v>21.7</v>
      </c>
      <c r="I441" t="inlineStr">
        <is>
          <t>a</t>
        </is>
      </c>
      <c r="M441" t="n">
        <v>92</v>
      </c>
      <c r="Q441" t="n">
        <v>0</v>
      </c>
      <c r="S441" t="n">
        <v>0</v>
      </c>
      <c r="T441" t="n">
        <v>0</v>
      </c>
      <c r="V441" t="n">
        <v>0</v>
      </c>
      <c r="X441" t="n">
        <v>0</v>
      </c>
      <c r="Y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L441" t="n">
        <v>0</v>
      </c>
      <c r="AN441" t="n">
        <v>0</v>
      </c>
      <c r="AO441" t="n">
        <v>0</v>
      </c>
      <c r="AS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BA441" t="n">
        <v>0</v>
      </c>
      <c r="BL441" t="n">
        <v>0</v>
      </c>
      <c r="BW441" t="n">
        <v>0</v>
      </c>
      <c r="BY441" t="n">
        <v>0</v>
      </c>
      <c r="CA441" t="n">
        <v>0</v>
      </c>
      <c r="CK441" t="n">
        <v>0</v>
      </c>
      <c r="CL441" t="n">
        <v>0</v>
      </c>
      <c r="CM441" t="n">
        <v>0</v>
      </c>
      <c r="CW441" t="n">
        <v>0</v>
      </c>
      <c r="CY441" t="n">
        <v>0</v>
      </c>
      <c r="DB441" t="n">
        <v>0</v>
      </c>
      <c r="DF441" t="n">
        <v>0</v>
      </c>
      <c r="DG441" t="n">
        <v>0</v>
      </c>
      <c r="DO441" t="n">
        <v>0</v>
      </c>
      <c r="DP441" t="n">
        <v>0</v>
      </c>
      <c r="DQ441" t="n">
        <v>0</v>
      </c>
      <c r="DR441" t="n">
        <v>0</v>
      </c>
      <c r="DS441" t="n">
        <v>0</v>
      </c>
      <c r="DT441" t="n">
        <v>0</v>
      </c>
      <c r="DU441" t="n">
        <v>0</v>
      </c>
      <c r="DV441" t="inlineStr">
        <is>
          <t>flat</t>
        </is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n">
        <v>4</v>
      </c>
      <c r="F442" t="b">
        <v>1</v>
      </c>
      <c r="G442" t="b">
        <v>0</v>
      </c>
      <c r="I442" t="inlineStr">
        <is>
          <t>a</t>
        </is>
      </c>
      <c r="M442" t="n">
        <v>252</v>
      </c>
      <c r="Q442" t="n">
        <v>0</v>
      </c>
      <c r="S442" t="n">
        <v>0</v>
      </c>
      <c r="T442" t="n">
        <v>0</v>
      </c>
      <c r="V442" t="n">
        <v>0</v>
      </c>
      <c r="X442" t="n">
        <v>0</v>
      </c>
      <c r="Y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L442" t="n">
        <v>0</v>
      </c>
      <c r="AN442" t="n">
        <v>0</v>
      </c>
      <c r="AO442" t="n">
        <v>0</v>
      </c>
      <c r="AS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BA442" t="n">
        <v>0</v>
      </c>
      <c r="BL442" t="n">
        <v>0</v>
      </c>
      <c r="BW442" t="n">
        <v>0</v>
      </c>
      <c r="BY442" t="n">
        <v>0</v>
      </c>
      <c r="CA442" t="n">
        <v>0</v>
      </c>
      <c r="CK442" t="n">
        <v>0</v>
      </c>
      <c r="CL442" t="n">
        <v>0</v>
      </c>
      <c r="CM442" t="n">
        <v>0</v>
      </c>
      <c r="CW442" t="n">
        <v>0</v>
      </c>
      <c r="CY442" t="n">
        <v>0</v>
      </c>
      <c r="DB442" t="n">
        <v>0</v>
      </c>
      <c r="DF442" t="n">
        <v>0</v>
      </c>
      <c r="DG442" t="n">
        <v>0</v>
      </c>
      <c r="DO442" t="n">
        <v>0.2</v>
      </c>
      <c r="DP442" t="n">
        <v>0</v>
      </c>
      <c r="DQ442" t="n">
        <v>0</v>
      </c>
      <c r="DR442" t="n">
        <v>0</v>
      </c>
      <c r="DS442" t="n">
        <v>0</v>
      </c>
      <c r="DT442" t="n">
        <v>0</v>
      </c>
      <c r="DU442" t="n">
        <v>0</v>
      </c>
      <c r="DV442" t="inlineStr">
        <is>
          <t>flat</t>
        </is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n">
        <v>4.5</v>
      </c>
      <c r="F443" t="b">
        <v>1</v>
      </c>
      <c r="G443" t="b">
        <v>0</v>
      </c>
      <c r="I443" t="inlineStr">
        <is>
          <t>i</t>
        </is>
      </c>
      <c r="J443" t="inlineStr">
        <is>
          <t>Unspecified injury - Unknown return date</t>
        </is>
      </c>
      <c r="K443" t="n">
        <v>0</v>
      </c>
      <c r="M443" t="n">
        <v>382</v>
      </c>
      <c r="Q443" t="n">
        <v>0</v>
      </c>
      <c r="S443" t="n">
        <v>0</v>
      </c>
      <c r="T443" t="n">
        <v>0</v>
      </c>
      <c r="V443" t="n">
        <v>0</v>
      </c>
      <c r="X443" t="n">
        <v>0</v>
      </c>
      <c r="Y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L443" t="n">
        <v>0</v>
      </c>
      <c r="AN443" t="n">
        <v>0</v>
      </c>
      <c r="AO443" t="n">
        <v>0</v>
      </c>
      <c r="AS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BA443" t="n">
        <v>0</v>
      </c>
      <c r="BL443" t="n">
        <v>0</v>
      </c>
      <c r="BW443" t="n">
        <v>0</v>
      </c>
      <c r="BY443" t="n">
        <v>0</v>
      </c>
      <c r="CA443" t="n">
        <v>0</v>
      </c>
      <c r="CK443" t="n">
        <v>0</v>
      </c>
      <c r="CL443" t="n">
        <v>0</v>
      </c>
      <c r="CM443" t="n">
        <v>0</v>
      </c>
      <c r="CW443" t="n">
        <v>0</v>
      </c>
      <c r="CY443" t="n">
        <v>0</v>
      </c>
      <c r="DB443" t="n">
        <v>0</v>
      </c>
      <c r="DF443" t="n">
        <v>0</v>
      </c>
      <c r="DG443" t="n">
        <v>0</v>
      </c>
      <c r="DO443" t="n">
        <v>0</v>
      </c>
      <c r="DP443" t="n">
        <v>0</v>
      </c>
      <c r="DQ443" t="n">
        <v>0</v>
      </c>
      <c r="DR443" t="n">
        <v>0</v>
      </c>
      <c r="DS443" t="n">
        <v>0</v>
      </c>
      <c r="DT443" t="n">
        <v>0</v>
      </c>
      <c r="DU443" t="n">
        <v>0</v>
      </c>
      <c r="DV443" t="inlineStr">
        <is>
          <t>flat</t>
        </is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n">
        <v>5</v>
      </c>
      <c r="F444" t="b">
        <v>1</v>
      </c>
      <c r="G444" t="b">
        <v>0</v>
      </c>
      <c r="H444" t="n">
        <v>20.6</v>
      </c>
      <c r="I444" t="inlineStr">
        <is>
          <t>a</t>
        </is>
      </c>
      <c r="M444" t="n">
        <v>407</v>
      </c>
      <c r="Q444" t="n">
        <v>0</v>
      </c>
      <c r="S444" t="n">
        <v>0</v>
      </c>
      <c r="T444" t="n">
        <v>0</v>
      </c>
      <c r="V444" t="n">
        <v>0</v>
      </c>
      <c r="X444" t="n">
        <v>0</v>
      </c>
      <c r="Y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L444" t="n">
        <v>0</v>
      </c>
      <c r="AN444" t="n">
        <v>0</v>
      </c>
      <c r="AO444" t="n">
        <v>0</v>
      </c>
      <c r="AS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BA444" t="n">
        <v>0</v>
      </c>
      <c r="BL444" t="n">
        <v>0</v>
      </c>
      <c r="BW444" t="n">
        <v>0</v>
      </c>
      <c r="BY444" t="n">
        <v>0</v>
      </c>
      <c r="CA444" t="n">
        <v>0</v>
      </c>
      <c r="CK444" t="n">
        <v>0</v>
      </c>
      <c r="CL444" t="n">
        <v>0</v>
      </c>
      <c r="CM444" t="n">
        <v>0</v>
      </c>
      <c r="CW444" t="n">
        <v>0</v>
      </c>
      <c r="CY444" t="n">
        <v>0</v>
      </c>
      <c r="DB444" t="n">
        <v>0</v>
      </c>
      <c r="DF444" t="n">
        <v>0</v>
      </c>
      <c r="DG444" t="n">
        <v>0</v>
      </c>
      <c r="DO444" t="n">
        <v>0</v>
      </c>
      <c r="DP444" t="n">
        <v>0</v>
      </c>
      <c r="DQ444" t="n">
        <v>0</v>
      </c>
      <c r="DR444" t="n">
        <v>0</v>
      </c>
      <c r="DS444" t="n">
        <v>0</v>
      </c>
      <c r="DT444" t="n">
        <v>0</v>
      </c>
      <c r="DU444" t="n">
        <v>0</v>
      </c>
      <c r="DV444" t="inlineStr">
        <is>
          <t>flat</t>
        </is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n">
        <v>5</v>
      </c>
      <c r="F445" t="b">
        <v>1</v>
      </c>
      <c r="G445" t="b">
        <v>0</v>
      </c>
      <c r="H445" t="n">
        <v>19</v>
      </c>
      <c r="I445" t="inlineStr">
        <is>
          <t>a</t>
        </is>
      </c>
      <c r="M445" t="n">
        <v>523</v>
      </c>
      <c r="Q445" t="n">
        <v>0</v>
      </c>
      <c r="S445" t="n">
        <v>0</v>
      </c>
      <c r="T445" t="n">
        <v>0</v>
      </c>
      <c r="V445" t="n">
        <v>0</v>
      </c>
      <c r="X445" t="n">
        <v>0</v>
      </c>
      <c r="Y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L445" t="n">
        <v>0</v>
      </c>
      <c r="AN445" t="n">
        <v>0</v>
      </c>
      <c r="AO445" t="n">
        <v>0</v>
      </c>
      <c r="AS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BA445" t="n">
        <v>0</v>
      </c>
      <c r="BL445" t="n">
        <v>0</v>
      </c>
      <c r="BW445" t="n">
        <v>0</v>
      </c>
      <c r="BY445" t="n">
        <v>0</v>
      </c>
      <c r="CA445" t="n">
        <v>0</v>
      </c>
      <c r="CK445" t="n">
        <v>0</v>
      </c>
      <c r="CL445" t="n">
        <v>0</v>
      </c>
      <c r="CM445" t="n">
        <v>0</v>
      </c>
      <c r="CW445" t="n">
        <v>0</v>
      </c>
      <c r="CY445" t="n">
        <v>0</v>
      </c>
      <c r="DB445" t="n">
        <v>0</v>
      </c>
      <c r="DF445" t="n">
        <v>0</v>
      </c>
      <c r="DG445" t="n">
        <v>0</v>
      </c>
      <c r="DO445" t="n">
        <v>0.1</v>
      </c>
      <c r="DP445" t="n">
        <v>0</v>
      </c>
      <c r="DQ445" t="n">
        <v>0</v>
      </c>
      <c r="DR445" t="n">
        <v>0</v>
      </c>
      <c r="DS445" t="n">
        <v>0</v>
      </c>
      <c r="DT445" t="n">
        <v>0</v>
      </c>
      <c r="DU445" t="n">
        <v>0</v>
      </c>
      <c r="DV445" t="inlineStr">
        <is>
          <t>flat</t>
        </is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n">
        <v>4</v>
      </c>
      <c r="F446" t="b">
        <v>1</v>
      </c>
      <c r="G446" t="b">
        <v>0</v>
      </c>
      <c r="H446" t="n">
        <v>20.2</v>
      </c>
      <c r="I446" t="inlineStr">
        <is>
          <t>a</t>
        </is>
      </c>
      <c r="M446" t="n">
        <v>235</v>
      </c>
      <c r="Q446" t="n">
        <v>0</v>
      </c>
      <c r="S446" t="n">
        <v>0</v>
      </c>
      <c r="T446" t="n">
        <v>0</v>
      </c>
      <c r="V446" t="n">
        <v>0</v>
      </c>
      <c r="X446" t="n">
        <v>0</v>
      </c>
      <c r="Y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L446" t="n">
        <v>0</v>
      </c>
      <c r="AN446" t="n">
        <v>0</v>
      </c>
      <c r="AO446" t="n">
        <v>0</v>
      </c>
      <c r="AS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BA446" t="n">
        <v>0</v>
      </c>
      <c r="BL446" t="n">
        <v>0</v>
      </c>
      <c r="BW446" t="n">
        <v>0</v>
      </c>
      <c r="BY446" t="n">
        <v>0</v>
      </c>
      <c r="CA446" t="n">
        <v>0</v>
      </c>
      <c r="CK446" t="n">
        <v>0</v>
      </c>
      <c r="CL446" t="n">
        <v>0</v>
      </c>
      <c r="CM446" t="n">
        <v>0</v>
      </c>
      <c r="CW446" t="n">
        <v>0</v>
      </c>
      <c r="CY446" t="n">
        <v>0</v>
      </c>
      <c r="DB446" t="n">
        <v>0</v>
      </c>
      <c r="DF446" t="n">
        <v>0</v>
      </c>
      <c r="DG446" t="n">
        <v>0</v>
      </c>
      <c r="DO446" t="n">
        <v>0.2</v>
      </c>
      <c r="DP446" t="n">
        <v>0</v>
      </c>
      <c r="DQ446" t="n">
        <v>0</v>
      </c>
      <c r="DR446" t="n">
        <v>0</v>
      </c>
      <c r="DS446" t="n">
        <v>0</v>
      </c>
      <c r="DT446" t="n">
        <v>0</v>
      </c>
      <c r="DU446" t="n">
        <v>0</v>
      </c>
      <c r="DV446" t="inlineStr">
        <is>
          <t>flat</t>
        </is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n">
        <v>5</v>
      </c>
      <c r="F447" t="b">
        <v>1</v>
      </c>
      <c r="G447" t="b">
        <v>0</v>
      </c>
      <c r="H447" t="n">
        <v>22.6</v>
      </c>
      <c r="I447" t="inlineStr">
        <is>
          <t>a</t>
        </is>
      </c>
      <c r="M447" t="n">
        <v>436</v>
      </c>
      <c r="Q447" t="n">
        <v>0</v>
      </c>
      <c r="S447" t="n">
        <v>0</v>
      </c>
      <c r="T447" t="n">
        <v>0</v>
      </c>
      <c r="V447" t="n">
        <v>0</v>
      </c>
      <c r="X447" t="n">
        <v>0</v>
      </c>
      <c r="Y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L447" t="n">
        <v>0</v>
      </c>
      <c r="AN447" t="n">
        <v>0</v>
      </c>
      <c r="AO447" t="n">
        <v>0</v>
      </c>
      <c r="AS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BA447" t="n">
        <v>0</v>
      </c>
      <c r="BL447" t="n">
        <v>0</v>
      </c>
      <c r="BW447" t="n">
        <v>0</v>
      </c>
      <c r="BY447" t="n">
        <v>0</v>
      </c>
      <c r="CA447" t="n">
        <v>0</v>
      </c>
      <c r="CK447" t="n">
        <v>0</v>
      </c>
      <c r="CL447" t="n">
        <v>0</v>
      </c>
      <c r="CM447" t="n">
        <v>0</v>
      </c>
      <c r="CW447" t="n">
        <v>0</v>
      </c>
      <c r="CY447" t="n">
        <v>0</v>
      </c>
      <c r="DB447" t="n">
        <v>0</v>
      </c>
      <c r="DF447" t="n">
        <v>0</v>
      </c>
      <c r="DG447" t="n">
        <v>0</v>
      </c>
      <c r="DO447" t="n">
        <v>0</v>
      </c>
      <c r="DP447" t="n">
        <v>0.15</v>
      </c>
      <c r="DQ447" t="n">
        <v>0.15</v>
      </c>
      <c r="DR447" t="n">
        <v>0.3</v>
      </c>
      <c r="DS447" t="n">
        <v>-0.15</v>
      </c>
      <c r="DT447" t="n">
        <v>0</v>
      </c>
      <c r="DU447" t="n">
        <v>0</v>
      </c>
      <c r="DV447" t="inlineStr">
        <is>
          <t>flat</t>
        </is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n">
        <v>4.5</v>
      </c>
      <c r="F448" t="b">
        <v>1</v>
      </c>
      <c r="G448" t="b">
        <v>0</v>
      </c>
      <c r="H448" t="n">
        <v>18.7</v>
      </c>
      <c r="I448" t="inlineStr">
        <is>
          <t>a</t>
        </is>
      </c>
      <c r="M448" t="n">
        <v>441</v>
      </c>
      <c r="Q448" t="n">
        <v>0</v>
      </c>
      <c r="S448" t="n">
        <v>0</v>
      </c>
      <c r="T448" t="n">
        <v>0</v>
      </c>
      <c r="V448" t="n">
        <v>0</v>
      </c>
      <c r="X448" t="n">
        <v>0</v>
      </c>
      <c r="Y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L448" t="n">
        <v>0</v>
      </c>
      <c r="AN448" t="n">
        <v>0</v>
      </c>
      <c r="AO448" t="n">
        <v>0</v>
      </c>
      <c r="AS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BA448" t="n">
        <v>0</v>
      </c>
      <c r="BL448" t="n">
        <v>0</v>
      </c>
      <c r="BW448" t="n">
        <v>0</v>
      </c>
      <c r="BY448" t="n">
        <v>0</v>
      </c>
      <c r="CA448" t="n">
        <v>0</v>
      </c>
      <c r="CK448" t="n">
        <v>0</v>
      </c>
      <c r="CL448" t="n">
        <v>0</v>
      </c>
      <c r="CM448" t="n">
        <v>0</v>
      </c>
      <c r="CW448" t="n">
        <v>0</v>
      </c>
      <c r="CY448" t="n">
        <v>0</v>
      </c>
      <c r="DB448" t="n">
        <v>0</v>
      </c>
      <c r="DF448" t="n">
        <v>0</v>
      </c>
      <c r="DG448" t="n">
        <v>0</v>
      </c>
      <c r="DO448" t="n">
        <v>1.2</v>
      </c>
      <c r="DP448" t="n">
        <v>0</v>
      </c>
      <c r="DQ448" t="n">
        <v>0</v>
      </c>
      <c r="DR448" t="n">
        <v>0</v>
      </c>
      <c r="DS448" t="n">
        <v>0</v>
      </c>
      <c r="DT448" t="n">
        <v>0</v>
      </c>
      <c r="DU448" t="n">
        <v>0</v>
      </c>
      <c r="DV448" t="inlineStr">
        <is>
          <t>flat</t>
        </is>
      </c>
      <c r="DW448" t="n">
        <v>101</v>
      </c>
      <c r="DX448" t="n">
        <v>101</v>
      </c>
      <c r="DZ448" t="n">
        <v>101</v>
      </c>
      <c r="EA448" t="n">
        <v>101</v>
      </c>
      <c r="EB448" t="n">
        <v>1</v>
      </c>
      <c r="EC448" t="n">
        <v>0.5</v>
      </c>
      <c r="ED448" t="n">
        <v>0</v>
      </c>
      <c r="EE448" t="n">
        <v>508</v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n">
        <v>4</v>
      </c>
      <c r="F449" t="b">
        <v>1</v>
      </c>
      <c r="G449" t="b">
        <v>0</v>
      </c>
      <c r="H449" t="n">
        <v>23.1</v>
      </c>
      <c r="I449" t="inlineStr">
        <is>
          <t>a</t>
        </is>
      </c>
      <c r="M449" t="n">
        <v>365</v>
      </c>
      <c r="Q449" t="n">
        <v>0</v>
      </c>
      <c r="S449" t="n">
        <v>0</v>
      </c>
      <c r="T449" t="n">
        <v>0</v>
      </c>
      <c r="V449" t="n">
        <v>0</v>
      </c>
      <c r="X449" t="n">
        <v>0</v>
      </c>
      <c r="Y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L449" t="n">
        <v>0</v>
      </c>
      <c r="AN449" t="n">
        <v>0</v>
      </c>
      <c r="AO449" t="n">
        <v>0</v>
      </c>
      <c r="AS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BA449" t="n">
        <v>0</v>
      </c>
      <c r="BL449" t="n">
        <v>0</v>
      </c>
      <c r="BW449" t="n">
        <v>0</v>
      </c>
      <c r="BY449" t="n">
        <v>0</v>
      </c>
      <c r="CA449" t="n">
        <v>0</v>
      </c>
      <c r="CK449" t="n">
        <v>0</v>
      </c>
      <c r="CL449" t="n">
        <v>0</v>
      </c>
      <c r="CM449" t="n">
        <v>0</v>
      </c>
      <c r="CW449" t="n">
        <v>0</v>
      </c>
      <c r="CY449" t="n">
        <v>0</v>
      </c>
      <c r="DB449" t="n">
        <v>0</v>
      </c>
      <c r="DF449" t="n">
        <v>0</v>
      </c>
      <c r="DG449" t="n">
        <v>0</v>
      </c>
      <c r="DO449" t="n">
        <v>0.2</v>
      </c>
      <c r="DP449" t="n">
        <v>5.61</v>
      </c>
      <c r="DQ449" t="n">
        <v>3.02</v>
      </c>
      <c r="DR449" t="n">
        <v>6.04</v>
      </c>
      <c r="DS449" t="n">
        <v>-0.43</v>
      </c>
      <c r="DT449" t="n">
        <v>103</v>
      </c>
      <c r="DU449" t="n">
        <v>2.7</v>
      </c>
      <c r="DV449" t="inlineStr">
        <is>
          <t>flat</t>
        </is>
      </c>
      <c r="DW449" t="n">
        <v>28</v>
      </c>
      <c r="DX449" t="n">
        <v>28</v>
      </c>
      <c r="DZ449" t="n">
        <v>28</v>
      </c>
      <c r="EA449" t="n">
        <v>28</v>
      </c>
      <c r="EB449" t="n">
        <v>1</v>
      </c>
      <c r="EC449" t="n">
        <v>0.5</v>
      </c>
      <c r="ED449" t="n">
        <v>50</v>
      </c>
      <c r="EE449" t="n">
        <v>576</v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n">
        <v>5</v>
      </c>
      <c r="F450" t="b">
        <v>1</v>
      </c>
      <c r="G450" t="b">
        <v>0</v>
      </c>
      <c r="H450" t="n">
        <v>21.8</v>
      </c>
      <c r="I450" t="inlineStr">
        <is>
          <t>i</t>
        </is>
      </c>
      <c r="J450" t="inlineStr">
        <is>
          <t>Ankle injury - Expected back 10 Oct</t>
        </is>
      </c>
      <c r="K450" t="n">
        <v>0</v>
      </c>
      <c r="M450" t="n">
        <v>139</v>
      </c>
      <c r="Q450" t="n">
        <v>0</v>
      </c>
      <c r="S450" t="n">
        <v>0</v>
      </c>
      <c r="T450" t="n">
        <v>0</v>
      </c>
      <c r="V450" t="n">
        <v>0</v>
      </c>
      <c r="X450" t="n">
        <v>0</v>
      </c>
      <c r="Y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L450" t="n">
        <v>0</v>
      </c>
      <c r="AN450" t="n">
        <v>0</v>
      </c>
      <c r="AO450" t="n">
        <v>0</v>
      </c>
      <c r="AS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BA450" t="n">
        <v>0</v>
      </c>
      <c r="BL450" t="n">
        <v>0</v>
      </c>
      <c r="BW450" t="n">
        <v>0</v>
      </c>
      <c r="BY450" t="n">
        <v>0</v>
      </c>
      <c r="CA450" t="n">
        <v>0</v>
      </c>
      <c r="CK450" t="n">
        <v>0</v>
      </c>
      <c r="CL450" t="n">
        <v>0</v>
      </c>
      <c r="CM450" t="n">
        <v>0</v>
      </c>
      <c r="CW450" t="n">
        <v>0</v>
      </c>
      <c r="CY450" t="n">
        <v>0</v>
      </c>
      <c r="DB450" t="n">
        <v>0</v>
      </c>
      <c r="DF450" t="n">
        <v>0</v>
      </c>
      <c r="DG450" t="n">
        <v>0</v>
      </c>
      <c r="DO450" t="n">
        <v>0</v>
      </c>
      <c r="DP450" t="n">
        <v>0</v>
      </c>
      <c r="DQ450" t="n">
        <v>0</v>
      </c>
      <c r="DR450" t="n">
        <v>0</v>
      </c>
      <c r="DS450" t="n">
        <v>0</v>
      </c>
      <c r="DT450" t="n">
        <v>0</v>
      </c>
      <c r="DU450" t="n">
        <v>0</v>
      </c>
      <c r="DV450" t="inlineStr">
        <is>
          <t>flat</t>
        </is>
      </c>
      <c r="DW450" t="n">
        <v>115.5</v>
      </c>
      <c r="DZ450" t="n">
        <v>115.5</v>
      </c>
      <c r="EA450" t="n">
        <v>115.5</v>
      </c>
      <c r="EB450" t="n">
        <v>1</v>
      </c>
      <c r="EC450" t="n">
        <v>0.5</v>
      </c>
      <c r="ED450" t="n">
        <v>0</v>
      </c>
      <c r="EE450" t="n">
        <v>338</v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n">
        <v>4</v>
      </c>
      <c r="F451" t="b">
        <v>1</v>
      </c>
      <c r="G451" t="b">
        <v>0</v>
      </c>
      <c r="H451" t="n">
        <v>19.4</v>
      </c>
      <c r="I451" t="inlineStr">
        <is>
          <t>a</t>
        </is>
      </c>
      <c r="M451" t="n">
        <v>424</v>
      </c>
      <c r="Q451" t="n">
        <v>0</v>
      </c>
      <c r="S451" t="n">
        <v>0</v>
      </c>
      <c r="T451" t="n">
        <v>0</v>
      </c>
      <c r="V451" t="n">
        <v>0</v>
      </c>
      <c r="X451" t="n">
        <v>0</v>
      </c>
      <c r="Y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L451" t="n">
        <v>0</v>
      </c>
      <c r="AN451" t="n">
        <v>0</v>
      </c>
      <c r="AO451" t="n">
        <v>0</v>
      </c>
      <c r="AS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BA451" t="n">
        <v>0</v>
      </c>
      <c r="BL451" t="n">
        <v>0</v>
      </c>
      <c r="BW451" t="n">
        <v>0</v>
      </c>
      <c r="BY451" t="n">
        <v>0</v>
      </c>
      <c r="CA451" t="n">
        <v>0</v>
      </c>
      <c r="CK451" t="n">
        <v>0</v>
      </c>
      <c r="CL451" t="n">
        <v>0</v>
      </c>
      <c r="CM451" t="n">
        <v>0</v>
      </c>
      <c r="CW451" t="n">
        <v>0</v>
      </c>
      <c r="CY451" t="n">
        <v>0</v>
      </c>
      <c r="DB451" t="n">
        <v>0</v>
      </c>
      <c r="DF451" t="n">
        <v>0</v>
      </c>
      <c r="DG451" t="n">
        <v>0</v>
      </c>
      <c r="DO451" t="n">
        <v>0.2</v>
      </c>
      <c r="DP451" t="n">
        <v>7.16</v>
      </c>
      <c r="DQ451" t="n">
        <v>3.58</v>
      </c>
      <c r="DR451" t="n">
        <v>7.16</v>
      </c>
      <c r="DS451" t="n">
        <v>0</v>
      </c>
      <c r="DT451" t="n">
        <v>79</v>
      </c>
      <c r="DU451" t="n">
        <v>2.07</v>
      </c>
      <c r="DV451" t="inlineStr">
        <is>
          <t>flat</t>
        </is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n">
        <v>4</v>
      </c>
      <c r="F452" t="b">
        <v>1</v>
      </c>
      <c r="G452" t="b">
        <v>0</v>
      </c>
      <c r="H452" t="n">
        <v>23</v>
      </c>
      <c r="I452" t="inlineStr">
        <is>
          <t>u</t>
        </is>
      </c>
      <c r="J452" t="inlineStr">
        <is>
          <t>Has joined KV Mechelen on loan for the rest of the season</t>
        </is>
      </c>
      <c r="K452" t="n">
        <v>0</v>
      </c>
      <c r="M452" t="n">
        <v>538</v>
      </c>
      <c r="Q452" t="n">
        <v>0</v>
      </c>
      <c r="S452" t="n">
        <v>0</v>
      </c>
      <c r="T452" t="n">
        <v>0</v>
      </c>
      <c r="V452" t="n">
        <v>0</v>
      </c>
      <c r="X452" t="n">
        <v>0</v>
      </c>
      <c r="Y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L452" t="n">
        <v>0</v>
      </c>
      <c r="AN452" t="n">
        <v>0</v>
      </c>
      <c r="AO452" t="n">
        <v>0</v>
      </c>
      <c r="AS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BA452" t="n">
        <v>0</v>
      </c>
      <c r="BL452" t="n">
        <v>0</v>
      </c>
      <c r="BW452" t="n">
        <v>0</v>
      </c>
      <c r="BY452" t="n">
        <v>0</v>
      </c>
      <c r="CA452" t="n">
        <v>0</v>
      </c>
      <c r="CK452" t="n">
        <v>0</v>
      </c>
      <c r="CL452" t="n">
        <v>0</v>
      </c>
      <c r="CM452" t="n">
        <v>0</v>
      </c>
      <c r="CW452" t="n">
        <v>0</v>
      </c>
      <c r="CY452" t="n">
        <v>0</v>
      </c>
      <c r="DB452" t="n">
        <v>0</v>
      </c>
      <c r="DF452" t="n">
        <v>0</v>
      </c>
      <c r="DG452" t="n">
        <v>0</v>
      </c>
      <c r="DO452" t="n">
        <v>0.3</v>
      </c>
      <c r="DW452" t="n">
        <v>83.2</v>
      </c>
      <c r="DZ452" t="n">
        <v>83.2</v>
      </c>
      <c r="EA452" t="n">
        <v>83.2</v>
      </c>
      <c r="EB452" t="n">
        <v>1</v>
      </c>
      <c r="EC452" t="n">
        <v>0.5</v>
      </c>
      <c r="ED452" t="n">
        <v>0</v>
      </c>
      <c r="EE452" t="n">
        <v>587</v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n">
        <v>4</v>
      </c>
      <c r="F453" t="b">
        <v>1</v>
      </c>
      <c r="G453" t="b">
        <v>0</v>
      </c>
      <c r="I453" t="inlineStr">
        <is>
          <t>a</t>
        </is>
      </c>
      <c r="M453" t="n">
        <v>353</v>
      </c>
      <c r="Q453" t="n">
        <v>0</v>
      </c>
      <c r="S453" t="n">
        <v>0</v>
      </c>
      <c r="T453" t="n">
        <v>0</v>
      </c>
      <c r="V453" t="n">
        <v>0</v>
      </c>
      <c r="X453" t="n">
        <v>0</v>
      </c>
      <c r="Y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L453" t="n">
        <v>0</v>
      </c>
      <c r="AN453" t="n">
        <v>0</v>
      </c>
      <c r="AO453" t="n">
        <v>0</v>
      </c>
      <c r="AS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BA453" t="n">
        <v>0</v>
      </c>
      <c r="BL453" t="n">
        <v>0</v>
      </c>
      <c r="BW453" t="n">
        <v>0</v>
      </c>
      <c r="BY453" t="n">
        <v>0</v>
      </c>
      <c r="CA453" t="n">
        <v>0</v>
      </c>
      <c r="CK453" t="n">
        <v>0</v>
      </c>
      <c r="CL453" t="n">
        <v>0</v>
      </c>
      <c r="CM453" t="n">
        <v>0</v>
      </c>
      <c r="CW453" t="n">
        <v>0</v>
      </c>
      <c r="CY453" t="n">
        <v>0</v>
      </c>
      <c r="DB453" t="n">
        <v>0</v>
      </c>
      <c r="DF453" t="n">
        <v>0</v>
      </c>
      <c r="DG453" t="n">
        <v>0</v>
      </c>
      <c r="DO453" t="n">
        <v>0.1</v>
      </c>
      <c r="DP453" t="n">
        <v>0</v>
      </c>
      <c r="DQ453" t="n">
        <v>0</v>
      </c>
      <c r="DR453" t="n">
        <v>0</v>
      </c>
      <c r="DS453" t="n">
        <v>0</v>
      </c>
      <c r="DT453" t="n">
        <v>0</v>
      </c>
      <c r="DU453" t="n">
        <v>0</v>
      </c>
      <c r="DV453" t="inlineStr">
        <is>
          <t>flat</t>
        </is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n">
        <v>4.5</v>
      </c>
      <c r="F454" t="b">
        <v>1</v>
      </c>
      <c r="G454" t="b">
        <v>0</v>
      </c>
      <c r="H454" t="n">
        <v>25.1</v>
      </c>
      <c r="I454" t="inlineStr">
        <is>
          <t>a</t>
        </is>
      </c>
      <c r="M454" t="n">
        <v>110</v>
      </c>
      <c r="Q454" t="n">
        <v>0</v>
      </c>
      <c r="S454" t="n">
        <v>0</v>
      </c>
      <c r="T454" t="n">
        <v>0</v>
      </c>
      <c r="V454" t="n">
        <v>0</v>
      </c>
      <c r="X454" t="n">
        <v>0</v>
      </c>
      <c r="Y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L454" t="n">
        <v>0</v>
      </c>
      <c r="AN454" t="n">
        <v>0</v>
      </c>
      <c r="AO454" t="n">
        <v>0</v>
      </c>
      <c r="AS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BA454" t="n">
        <v>0</v>
      </c>
      <c r="BL454" t="n">
        <v>0</v>
      </c>
      <c r="BW454" t="n">
        <v>0</v>
      </c>
      <c r="BY454" t="n">
        <v>0</v>
      </c>
      <c r="CA454" t="n">
        <v>0</v>
      </c>
      <c r="CK454" t="n">
        <v>0</v>
      </c>
      <c r="CL454" t="n">
        <v>0</v>
      </c>
      <c r="CM454" t="n">
        <v>0</v>
      </c>
      <c r="CW454" t="n">
        <v>0</v>
      </c>
      <c r="CY454" t="n">
        <v>0</v>
      </c>
      <c r="DB454" t="n">
        <v>0</v>
      </c>
      <c r="DF454" t="n">
        <v>0</v>
      </c>
      <c r="DG454" t="n">
        <v>0</v>
      </c>
      <c r="DO454" t="n">
        <v>0.9</v>
      </c>
      <c r="DP454" t="n">
        <v>115.08</v>
      </c>
      <c r="DQ454" t="n">
        <v>57.54</v>
      </c>
      <c r="DR454" t="n">
        <v>115.08</v>
      </c>
      <c r="DS454" t="n">
        <v>0</v>
      </c>
      <c r="DT454" t="n">
        <v>3385</v>
      </c>
      <c r="DU454" t="n">
        <v>89.09</v>
      </c>
      <c r="DV454" t="inlineStr">
        <is>
          <t>flat</t>
        </is>
      </c>
      <c r="DW454" t="n">
        <v>112.33</v>
      </c>
      <c r="DX454" t="n">
        <v>118.6</v>
      </c>
      <c r="DY454" t="n">
        <v>10.49</v>
      </c>
      <c r="DZ454" t="n">
        <v>68.8</v>
      </c>
      <c r="EA454" t="n">
        <v>120</v>
      </c>
      <c r="EB454" t="n">
        <v>55</v>
      </c>
      <c r="EC454" t="n">
        <v>26.4</v>
      </c>
      <c r="ED454" t="n">
        <v>3.5</v>
      </c>
      <c r="EE454" t="n">
        <v>479</v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n">
        <v>4.5</v>
      </c>
      <c r="F455" t="b">
        <v>1</v>
      </c>
      <c r="G455" t="b">
        <v>0</v>
      </c>
      <c r="H455" t="n">
        <v>22.5</v>
      </c>
      <c r="I455" t="inlineStr">
        <is>
          <t>i</t>
        </is>
      </c>
      <c r="J455" t="inlineStr">
        <is>
          <t>Thigh injury - Unknown return date</t>
        </is>
      </c>
      <c r="K455" t="n">
        <v>0</v>
      </c>
      <c r="M455" t="n">
        <v>297</v>
      </c>
      <c r="Q455" t="n">
        <v>0</v>
      </c>
      <c r="S455" t="n">
        <v>0</v>
      </c>
      <c r="T455" t="n">
        <v>0</v>
      </c>
      <c r="V455" t="n">
        <v>0</v>
      </c>
      <c r="X455" t="n">
        <v>0</v>
      </c>
      <c r="Y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L455" t="n">
        <v>0</v>
      </c>
      <c r="AN455" t="n">
        <v>0</v>
      </c>
      <c r="AO455" t="n">
        <v>0</v>
      </c>
      <c r="AS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BA455" t="n">
        <v>0</v>
      </c>
      <c r="BL455" t="n">
        <v>0</v>
      </c>
      <c r="BW455" t="n">
        <v>0</v>
      </c>
      <c r="BY455" t="n">
        <v>0</v>
      </c>
      <c r="CA455" t="n">
        <v>0</v>
      </c>
      <c r="CK455" t="n">
        <v>0</v>
      </c>
      <c r="CL455" t="n">
        <v>0</v>
      </c>
      <c r="CM455" t="n">
        <v>0</v>
      </c>
      <c r="CW455" t="n">
        <v>0</v>
      </c>
      <c r="CY455" t="n">
        <v>0</v>
      </c>
      <c r="DB455" t="n">
        <v>0</v>
      </c>
      <c r="DF455" t="n">
        <v>0</v>
      </c>
      <c r="DG455" t="n">
        <v>0</v>
      </c>
      <c r="DO455" t="n">
        <v>0.1</v>
      </c>
      <c r="DP455" t="n">
        <v>0</v>
      </c>
      <c r="DQ455" t="n">
        <v>0</v>
      </c>
      <c r="DR455" t="n">
        <v>0</v>
      </c>
      <c r="DS455" t="n">
        <v>0</v>
      </c>
      <c r="DT455" t="n">
        <v>0</v>
      </c>
      <c r="DU455" t="n">
        <v>0</v>
      </c>
      <c r="DV455" t="inlineStr">
        <is>
          <t>flat</t>
        </is>
      </c>
      <c r="DW455" t="n">
        <v>26.67</v>
      </c>
      <c r="DZ455" t="n">
        <v>26.67</v>
      </c>
      <c r="EA455" t="n">
        <v>26.67</v>
      </c>
      <c r="EB455" t="n">
        <v>1</v>
      </c>
      <c r="EC455" t="n">
        <v>0.5</v>
      </c>
      <c r="ED455" t="n">
        <v>0</v>
      </c>
      <c r="EE455" t="n">
        <v>495</v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n">
        <v>5</v>
      </c>
      <c r="F456" t="b">
        <v>1</v>
      </c>
      <c r="G456" t="b">
        <v>0</v>
      </c>
      <c r="H456" t="n">
        <v>22.9</v>
      </c>
      <c r="I456" t="inlineStr">
        <is>
          <t>a</t>
        </is>
      </c>
      <c r="M456" t="n">
        <v>49</v>
      </c>
      <c r="Q456" t="n">
        <v>0</v>
      </c>
      <c r="S456" t="n">
        <v>0</v>
      </c>
      <c r="T456" t="n">
        <v>0</v>
      </c>
      <c r="V456" t="n">
        <v>0</v>
      </c>
      <c r="X456" t="n">
        <v>0</v>
      </c>
      <c r="Y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L456" t="n">
        <v>0</v>
      </c>
      <c r="AN456" t="n">
        <v>0</v>
      </c>
      <c r="AO456" t="n">
        <v>0</v>
      </c>
      <c r="AS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BA456" t="n">
        <v>0</v>
      </c>
      <c r="BL456" t="n">
        <v>0</v>
      </c>
      <c r="BW456" t="n">
        <v>0</v>
      </c>
      <c r="BY456" t="n">
        <v>0</v>
      </c>
      <c r="CA456" t="n">
        <v>0</v>
      </c>
      <c r="CK456" t="n">
        <v>0</v>
      </c>
      <c r="CL456" t="n">
        <v>0</v>
      </c>
      <c r="CM456" t="n">
        <v>0</v>
      </c>
      <c r="CW456" t="n">
        <v>0</v>
      </c>
      <c r="CY456" t="n">
        <v>0</v>
      </c>
      <c r="DB456" t="n">
        <v>0</v>
      </c>
      <c r="DF456" t="n">
        <v>0</v>
      </c>
      <c r="DG456" t="n">
        <v>0</v>
      </c>
      <c r="DO456" t="n">
        <v>0</v>
      </c>
      <c r="DP456" t="n">
        <v>0</v>
      </c>
      <c r="DQ456" t="n">
        <v>0</v>
      </c>
      <c r="DR456" t="n">
        <v>0</v>
      </c>
      <c r="DS456" t="n">
        <v>0</v>
      </c>
      <c r="DT456" t="n">
        <v>0</v>
      </c>
      <c r="DU456" t="n">
        <v>0</v>
      </c>
      <c r="DV456" t="inlineStr">
        <is>
          <t>flat</t>
        </is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n">
        <v>5.5</v>
      </c>
      <c r="F457" t="b">
        <v>1</v>
      </c>
      <c r="G457" t="b">
        <v>0</v>
      </c>
      <c r="H457" t="n">
        <v>25.6</v>
      </c>
      <c r="I457" t="inlineStr">
        <is>
          <t>a</t>
        </is>
      </c>
      <c r="M457" t="n">
        <v>578</v>
      </c>
      <c r="Q457" t="n">
        <v>0</v>
      </c>
      <c r="S457" t="n">
        <v>0</v>
      </c>
      <c r="T457" t="n">
        <v>0</v>
      </c>
      <c r="V457" t="n">
        <v>0</v>
      </c>
      <c r="X457" t="n">
        <v>0</v>
      </c>
      <c r="Y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L457" t="n">
        <v>0</v>
      </c>
      <c r="AN457" t="n">
        <v>0</v>
      </c>
      <c r="AO457" t="n">
        <v>0</v>
      </c>
      <c r="AS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BA457" t="n">
        <v>0</v>
      </c>
      <c r="BL457" t="n">
        <v>0</v>
      </c>
      <c r="BW457" t="n">
        <v>0</v>
      </c>
      <c r="BY457" t="n">
        <v>0</v>
      </c>
      <c r="CA457" t="n">
        <v>0</v>
      </c>
      <c r="CK457" t="n">
        <v>0</v>
      </c>
      <c r="CL457" t="n">
        <v>0</v>
      </c>
      <c r="CM457" t="n">
        <v>0</v>
      </c>
      <c r="CW457" t="n">
        <v>0</v>
      </c>
      <c r="CY457" t="n">
        <v>0</v>
      </c>
      <c r="DB457" t="n">
        <v>0</v>
      </c>
      <c r="DF457" t="n">
        <v>0</v>
      </c>
      <c r="DG457" t="n">
        <v>0</v>
      </c>
      <c r="DO457" t="n">
        <v>0</v>
      </c>
      <c r="DP457" t="n">
        <v>13.3</v>
      </c>
      <c r="DQ457" t="n">
        <v>6.71</v>
      </c>
      <c r="DR457" t="n">
        <v>13.42</v>
      </c>
      <c r="DS457" t="n">
        <v>-0.12</v>
      </c>
      <c r="DT457" t="n">
        <v>20</v>
      </c>
      <c r="DU457" t="n">
        <v>0.52</v>
      </c>
      <c r="DV457" t="inlineStr">
        <is>
          <t>flat</t>
        </is>
      </c>
      <c r="DW457" t="n">
        <v>117.71</v>
      </c>
      <c r="DZ457" t="n">
        <v>117.71</v>
      </c>
      <c r="EA457" t="n">
        <v>117.71</v>
      </c>
      <c r="EB457" t="n">
        <v>1</v>
      </c>
      <c r="EC457" t="n">
        <v>0.5</v>
      </c>
      <c r="ED457" t="n">
        <v>0</v>
      </c>
      <c r="EE457" t="n">
        <v>220</v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n">
        <v>4.5</v>
      </c>
      <c r="F458" t="b">
        <v>1</v>
      </c>
      <c r="G458" t="b">
        <v>0</v>
      </c>
      <c r="H458" t="n">
        <v>21.2</v>
      </c>
      <c r="I458" t="inlineStr">
        <is>
          <t>a</t>
        </is>
      </c>
      <c r="M458" t="n">
        <v>507</v>
      </c>
      <c r="Q458" t="n">
        <v>0</v>
      </c>
      <c r="S458" t="n">
        <v>0</v>
      </c>
      <c r="T458" t="n">
        <v>0</v>
      </c>
      <c r="V458" t="n">
        <v>0</v>
      </c>
      <c r="X458" t="n">
        <v>0</v>
      </c>
      <c r="Y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L458" t="n">
        <v>0</v>
      </c>
      <c r="AN458" t="n">
        <v>0</v>
      </c>
      <c r="AO458" t="n">
        <v>0</v>
      </c>
      <c r="AS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BA458" t="n">
        <v>0</v>
      </c>
      <c r="BL458" t="n">
        <v>0</v>
      </c>
      <c r="BW458" t="n">
        <v>0</v>
      </c>
      <c r="BY458" t="n">
        <v>0</v>
      </c>
      <c r="CA458" t="n">
        <v>0</v>
      </c>
      <c r="CK458" t="n">
        <v>0</v>
      </c>
      <c r="CL458" t="n">
        <v>0</v>
      </c>
      <c r="CM458" t="n">
        <v>0</v>
      </c>
      <c r="CW458" t="n">
        <v>0</v>
      </c>
      <c r="CY458" t="n">
        <v>0</v>
      </c>
      <c r="DB458" t="n">
        <v>0</v>
      </c>
      <c r="DF458" t="n">
        <v>0</v>
      </c>
      <c r="DG458" t="n">
        <v>0</v>
      </c>
      <c r="DO458" t="n">
        <v>0.1</v>
      </c>
      <c r="DP458" t="n">
        <v>0</v>
      </c>
      <c r="DQ458" t="n">
        <v>0</v>
      </c>
      <c r="DR458" t="n">
        <v>0</v>
      </c>
      <c r="DS458" t="n">
        <v>0</v>
      </c>
      <c r="DT458" t="n">
        <v>0</v>
      </c>
      <c r="DU458" t="n">
        <v>0</v>
      </c>
      <c r="DV458" t="inlineStr">
        <is>
          <t>flat</t>
        </is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n">
        <v>5</v>
      </c>
      <c r="F459" t="b">
        <v>1</v>
      </c>
      <c r="G459" t="b">
        <v>0</v>
      </c>
      <c r="H459" t="n">
        <v>23.9</v>
      </c>
      <c r="I459" t="inlineStr">
        <is>
          <t>a</t>
        </is>
      </c>
      <c r="M459" t="n">
        <v>219</v>
      </c>
      <c r="Q459" t="n">
        <v>0</v>
      </c>
      <c r="S459" t="n">
        <v>0</v>
      </c>
      <c r="T459" t="n">
        <v>0</v>
      </c>
      <c r="V459" t="n">
        <v>0</v>
      </c>
      <c r="X459" t="n">
        <v>0</v>
      </c>
      <c r="Y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L459" t="n">
        <v>0</v>
      </c>
      <c r="AN459" t="n">
        <v>0</v>
      </c>
      <c r="AO459" t="n">
        <v>0</v>
      </c>
      <c r="AS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BA459" t="n">
        <v>0</v>
      </c>
      <c r="BL459" t="n">
        <v>0</v>
      </c>
      <c r="BW459" t="n">
        <v>0</v>
      </c>
      <c r="BY459" t="n">
        <v>0</v>
      </c>
      <c r="CA459" t="n">
        <v>0</v>
      </c>
      <c r="CK459" t="n">
        <v>0</v>
      </c>
      <c r="CL459" t="n">
        <v>0</v>
      </c>
      <c r="CM459" t="n">
        <v>0</v>
      </c>
      <c r="CW459" t="n">
        <v>0</v>
      </c>
      <c r="CY459" t="n">
        <v>0</v>
      </c>
      <c r="DB459" t="n">
        <v>0</v>
      </c>
      <c r="DF459" t="n">
        <v>0</v>
      </c>
      <c r="DG459" t="n">
        <v>0</v>
      </c>
      <c r="DO459" t="n">
        <v>0</v>
      </c>
      <c r="DP459" t="n">
        <v>0</v>
      </c>
      <c r="DQ459" t="n">
        <v>0</v>
      </c>
      <c r="DR459" t="n">
        <v>0</v>
      </c>
      <c r="DS459" t="n">
        <v>0</v>
      </c>
      <c r="DT459" t="n">
        <v>0</v>
      </c>
      <c r="DU459" t="n">
        <v>0</v>
      </c>
      <c r="DV459" t="inlineStr">
        <is>
          <t>flat</t>
        </is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n">
        <v>5.5</v>
      </c>
      <c r="F460" t="b">
        <v>1</v>
      </c>
      <c r="G460" t="b">
        <v>0</v>
      </c>
      <c r="H460" t="n">
        <v>26.2</v>
      </c>
      <c r="I460" t="inlineStr">
        <is>
          <t>a</t>
        </is>
      </c>
      <c r="M460" t="n">
        <v>23</v>
      </c>
      <c r="Q460" t="n">
        <v>0</v>
      </c>
      <c r="S460" t="n">
        <v>0</v>
      </c>
      <c r="T460" t="n">
        <v>0</v>
      </c>
      <c r="V460" t="n">
        <v>0</v>
      </c>
      <c r="X460" t="n">
        <v>0</v>
      </c>
      <c r="Y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L460" t="n">
        <v>0</v>
      </c>
      <c r="AN460" t="n">
        <v>0</v>
      </c>
      <c r="AO460" t="n">
        <v>0</v>
      </c>
      <c r="AS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BA460" t="n">
        <v>0</v>
      </c>
      <c r="BL460" t="n">
        <v>0</v>
      </c>
      <c r="BW460" t="n">
        <v>0</v>
      </c>
      <c r="BY460" t="n">
        <v>0</v>
      </c>
      <c r="CA460" t="n">
        <v>0</v>
      </c>
      <c r="CK460" t="n">
        <v>0</v>
      </c>
      <c r="CL460" t="n">
        <v>0</v>
      </c>
      <c r="CM460" t="n">
        <v>0</v>
      </c>
      <c r="CW460" t="n">
        <v>0</v>
      </c>
      <c r="CY460" t="n">
        <v>0</v>
      </c>
      <c r="DB460" t="n">
        <v>0</v>
      </c>
      <c r="DF460" t="n">
        <v>0</v>
      </c>
      <c r="DG460" t="n">
        <v>0</v>
      </c>
      <c r="DO460" t="n">
        <v>0</v>
      </c>
      <c r="DP460" t="n">
        <v>0</v>
      </c>
      <c r="DQ460" t="n">
        <v>0</v>
      </c>
      <c r="DR460" t="n">
        <v>0</v>
      </c>
      <c r="DS460" t="n">
        <v>0</v>
      </c>
      <c r="DT460" t="n">
        <v>0</v>
      </c>
      <c r="DU460" t="n">
        <v>0</v>
      </c>
      <c r="DV460" t="inlineStr">
        <is>
          <t>flat</t>
        </is>
      </c>
    </row>
    <row r="461">
      <c r="A461" t="inlineStr">
        <is>
          <t>James Milner</t>
        </is>
      </c>
      <c r="D461" t="inlineStr">
        <is>
          <t>MID</t>
        </is>
      </c>
      <c r="F461" t="b">
        <v>0</v>
      </c>
      <c r="G461" t="b">
        <v>1</v>
      </c>
      <c r="L461" t="inlineStr">
        <is>
          <t>p15157</t>
        </is>
      </c>
      <c r="Q461" t="n">
        <v>778</v>
      </c>
      <c r="R461" t="n">
        <v>20</v>
      </c>
      <c r="T461" t="n">
        <v>8.644</v>
      </c>
      <c r="U461" t="n">
        <v>38.9</v>
      </c>
      <c r="Z461" t="n">
        <v>1</v>
      </c>
      <c r="AD461" t="n">
        <v>0</v>
      </c>
      <c r="AE461" t="n">
        <v>0</v>
      </c>
      <c r="AG461" t="n">
        <v>151</v>
      </c>
      <c r="AH461" t="n">
        <v>-7</v>
      </c>
      <c r="AI461" t="n">
        <v>35</v>
      </c>
      <c r="AN461" t="n">
        <v>0</v>
      </c>
      <c r="AO461" t="n">
        <v>0</v>
      </c>
      <c r="AP461" t="n">
        <v>0</v>
      </c>
      <c r="AQ461" t="n">
        <v>0.286</v>
      </c>
      <c r="AR461" t="n">
        <v>0</v>
      </c>
      <c r="AS461" t="n">
        <v>0.184</v>
      </c>
      <c r="AT461" t="n">
        <v>0.35</v>
      </c>
      <c r="AU461" t="n">
        <v>16</v>
      </c>
      <c r="AV461" t="n">
        <v>0</v>
      </c>
      <c r="AW461" t="n">
        <v>1.3</v>
      </c>
      <c r="AX461" t="n">
        <v>6</v>
      </c>
      <c r="AZ461" t="n">
        <v>0.979</v>
      </c>
      <c r="BA461" t="n">
        <v>0.979</v>
      </c>
      <c r="BB461" t="n">
        <v>0.218</v>
      </c>
      <c r="BD461" t="n">
        <v>0.113</v>
      </c>
      <c r="BE461" t="n">
        <v>0.113</v>
      </c>
      <c r="BF461" t="n">
        <v>0.9</v>
      </c>
      <c r="BG461" t="n">
        <v>0.104</v>
      </c>
      <c r="BH461" t="n">
        <v>0.931</v>
      </c>
      <c r="BI461" t="n">
        <v>1.88</v>
      </c>
      <c r="BJ461" t="n">
        <v>0.959</v>
      </c>
      <c r="BK461" t="n">
        <v>0.111</v>
      </c>
      <c r="BP461" t="n">
        <v>8</v>
      </c>
      <c r="BQ461" t="n">
        <v>2</v>
      </c>
      <c r="BS461" t="n">
        <v>8</v>
      </c>
      <c r="BT461" t="n">
        <v>0.925</v>
      </c>
      <c r="BU461" t="n">
        <v>1</v>
      </c>
      <c r="BX461" t="n">
        <v>0.655</v>
      </c>
      <c r="BY461" t="n">
        <v>0.655</v>
      </c>
      <c r="BZ461" t="n">
        <v>0.076</v>
      </c>
      <c r="CA461" t="n">
        <v>1.634</v>
      </c>
      <c r="CB461" t="n">
        <v>0.189</v>
      </c>
      <c r="CC461" t="n">
        <v>8</v>
      </c>
      <c r="CD461" t="n">
        <v>1</v>
      </c>
      <c r="CE461" t="n">
        <v>8</v>
      </c>
      <c r="CF461" t="n">
        <v>6</v>
      </c>
      <c r="CG461" t="n">
        <v>1</v>
      </c>
      <c r="CH461" t="n">
        <v>4</v>
      </c>
      <c r="CI461" t="n">
        <v>3.979</v>
      </c>
      <c r="CJ461" t="n">
        <v>3.793</v>
      </c>
      <c r="CN461" t="n">
        <v>9</v>
      </c>
      <c r="CO461" t="n">
        <v>6</v>
      </c>
      <c r="CP461" t="n">
        <v>19</v>
      </c>
      <c r="CQ461" t="n">
        <v>1</v>
      </c>
      <c r="CR461" t="n">
        <v>25</v>
      </c>
      <c r="CS461" t="n">
        <v>6</v>
      </c>
      <c r="CT461" t="n">
        <v>0.2</v>
      </c>
      <c r="CU461" t="n">
        <v>1</v>
      </c>
      <c r="DH461" t="n">
        <v>15</v>
      </c>
      <c r="DI461" t="n">
        <v>3</v>
      </c>
      <c r="DL461" t="n">
        <v>1</v>
      </c>
      <c r="DM461" t="n">
        <v>3</v>
      </c>
      <c r="DN461" t="n">
        <v>1</v>
      </c>
      <c r="EF461" t="n">
        <v>97.2</v>
      </c>
      <c r="EG461" t="n">
        <v>97.2</v>
      </c>
      <c r="EH461" t="n">
        <v>97.2</v>
      </c>
      <c r="EI461" t="n">
        <v>794.3</v>
      </c>
      <c r="EJ461" t="n">
        <v>1187.9</v>
      </c>
      <c r="EK461" t="n">
        <v>476</v>
      </c>
    </row>
    <row r="462">
      <c r="A462" t="inlineStr">
        <is>
          <t>Ashley Barnes</t>
        </is>
      </c>
      <c r="D462" t="inlineStr">
        <is>
          <t>FWD</t>
        </is>
      </c>
      <c r="F462" t="b">
        <v>0</v>
      </c>
      <c r="G462" t="b">
        <v>1</v>
      </c>
      <c r="L462" t="inlineStr">
        <is>
          <t>p44699</t>
        </is>
      </c>
      <c r="Q462" t="n">
        <v>40</v>
      </c>
      <c r="R462" t="n">
        <v>7</v>
      </c>
      <c r="T462" t="n">
        <v>0.444</v>
      </c>
      <c r="U462" t="n">
        <v>5.7</v>
      </c>
      <c r="AD462" t="n">
        <v>0</v>
      </c>
      <c r="AE462" t="n">
        <v>0</v>
      </c>
      <c r="AG462" t="n">
        <v>11</v>
      </c>
      <c r="AH462" t="n">
        <v>0</v>
      </c>
      <c r="AI462" t="n">
        <v>5</v>
      </c>
      <c r="AN462" t="n">
        <v>0</v>
      </c>
      <c r="AO462" t="n">
        <v>0</v>
      </c>
      <c r="AS462" t="n">
        <v>0</v>
      </c>
      <c r="AT462" t="n">
        <v>0</v>
      </c>
      <c r="AU462" t="n">
        <v>7</v>
      </c>
      <c r="AV462" t="n">
        <v>0</v>
      </c>
      <c r="AW462" t="n">
        <v>0.41</v>
      </c>
      <c r="AX462" t="n">
        <v>1</v>
      </c>
      <c r="AZ462" t="n">
        <v>0.421</v>
      </c>
      <c r="BA462" t="n">
        <v>0.421</v>
      </c>
      <c r="BB462" t="n">
        <v>0.421</v>
      </c>
      <c r="BD462" t="n">
        <v>0.948</v>
      </c>
      <c r="BE462" t="n">
        <v>0.948</v>
      </c>
      <c r="BF462" t="n">
        <v>0.4</v>
      </c>
      <c r="BG462" t="n">
        <v>0.9</v>
      </c>
      <c r="BH462" t="n">
        <v>1.018</v>
      </c>
      <c r="BI462" t="n">
        <v>0.25</v>
      </c>
      <c r="BJ462" t="n">
        <v>0.255</v>
      </c>
      <c r="BK462" t="n">
        <v>0.574</v>
      </c>
      <c r="BP462" t="n">
        <v>2</v>
      </c>
      <c r="BQ462" t="n">
        <v>1</v>
      </c>
      <c r="BR462" t="n">
        <v>1</v>
      </c>
      <c r="BS462" t="n">
        <v>5</v>
      </c>
      <c r="BT462" t="n">
        <v>11.25</v>
      </c>
      <c r="BX462" t="n">
        <v>0</v>
      </c>
      <c r="BY462" t="n">
        <v>0</v>
      </c>
      <c r="BZ462" t="n">
        <v>0</v>
      </c>
      <c r="CA462" t="n">
        <v>0.421</v>
      </c>
      <c r="CB462" t="n">
        <v>0.948</v>
      </c>
      <c r="CC462" t="n">
        <v>0</v>
      </c>
      <c r="CI462" t="n">
        <v>0.115</v>
      </c>
      <c r="CJ462" t="n">
        <v>0</v>
      </c>
      <c r="CR462" t="n">
        <v>10</v>
      </c>
      <c r="CS462" t="n">
        <v>8</v>
      </c>
      <c r="DH462" t="n">
        <v>2</v>
      </c>
      <c r="DI462" t="n">
        <v>2</v>
      </c>
      <c r="DL462" t="n">
        <v>1</v>
      </c>
      <c r="DM462" t="n">
        <v>2</v>
      </c>
      <c r="DN462" t="n">
        <v>2</v>
      </c>
      <c r="EF462" t="n">
        <v>20</v>
      </c>
      <c r="EG462" t="n">
        <v>8</v>
      </c>
      <c r="EI462" t="n">
        <v>95</v>
      </c>
      <c r="EK462" t="n">
        <v>95</v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n">
        <v>4</v>
      </c>
      <c r="F463" t="b">
        <v>1</v>
      </c>
      <c r="G463" t="b">
        <v>0</v>
      </c>
      <c r="H463" t="n">
        <v>37.5</v>
      </c>
      <c r="I463" t="inlineStr">
        <is>
          <t>a</t>
        </is>
      </c>
      <c r="M463" t="n">
        <v>302</v>
      </c>
      <c r="DO463" t="n">
        <v>0.5</v>
      </c>
      <c r="DP463" t="n">
        <v>0</v>
      </c>
      <c r="DQ463" t="n">
        <v>0</v>
      </c>
      <c r="DR463" t="n">
        <v>0</v>
      </c>
      <c r="DS463" t="n">
        <v>0</v>
      </c>
      <c r="DT463" t="n">
        <v>0</v>
      </c>
      <c r="DU463" t="n">
        <v>0</v>
      </c>
      <c r="DV463" t="inlineStr">
        <is>
          <t>flat</t>
        </is>
      </c>
    </row>
    <row r="464">
      <c r="A464" t="inlineStr">
        <is>
          <t>Nathaniel Clyne</t>
        </is>
      </c>
      <c r="D464" t="inlineStr">
        <is>
          <t>DEF</t>
        </is>
      </c>
      <c r="F464" t="b">
        <v>0</v>
      </c>
      <c r="G464" t="b">
        <v>1</v>
      </c>
      <c r="L464" t="inlineStr">
        <is>
          <t>p57328</t>
        </is>
      </c>
      <c r="Q464" t="n">
        <v>596</v>
      </c>
      <c r="R464" t="n">
        <v>10</v>
      </c>
      <c r="T464" t="n">
        <v>6.622</v>
      </c>
      <c r="U464" t="n">
        <v>59.6</v>
      </c>
      <c r="Z464" t="n">
        <v>1</v>
      </c>
      <c r="AD464" t="n">
        <v>2</v>
      </c>
      <c r="AE464" t="n">
        <v>0</v>
      </c>
      <c r="AG464" t="n">
        <v>45</v>
      </c>
      <c r="AH464" t="n">
        <v>-5</v>
      </c>
      <c r="AI464" t="n">
        <v>17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0.184</v>
      </c>
      <c r="AT464" t="n">
        <v>0.6</v>
      </c>
      <c r="AU464" t="n">
        <v>9</v>
      </c>
      <c r="AV464" t="n">
        <v>0</v>
      </c>
      <c r="AW464" t="n">
        <v>1.2</v>
      </c>
      <c r="AX464" t="n">
        <v>7</v>
      </c>
      <c r="AZ464" t="n">
        <v>0.27</v>
      </c>
      <c r="BA464" t="n">
        <v>0.27</v>
      </c>
      <c r="BB464" t="n">
        <v>0.27</v>
      </c>
      <c r="BD464" t="n">
        <v>0.041</v>
      </c>
      <c r="BE464" t="n">
        <v>0.041</v>
      </c>
      <c r="BH464" t="n">
        <v>0.924</v>
      </c>
      <c r="BI464" t="n">
        <v>0.66</v>
      </c>
      <c r="BJ464" t="n">
        <v>0.397</v>
      </c>
      <c r="BK464" t="n">
        <v>0.06</v>
      </c>
      <c r="BP464" t="n">
        <v>3</v>
      </c>
      <c r="BS464" t="n">
        <v>12</v>
      </c>
      <c r="BT464" t="n">
        <v>1.812</v>
      </c>
      <c r="BX464" t="n">
        <v>0.674</v>
      </c>
      <c r="BY464" t="n">
        <v>0.674</v>
      </c>
      <c r="BZ464" t="n">
        <v>0.102</v>
      </c>
      <c r="CA464" t="n">
        <v>0.945</v>
      </c>
      <c r="CB464" t="n">
        <v>0.143</v>
      </c>
      <c r="CC464" t="n">
        <v>3</v>
      </c>
      <c r="CD464" t="n">
        <v>2</v>
      </c>
      <c r="CE464" t="n">
        <v>3</v>
      </c>
      <c r="CF464" t="n">
        <v>2</v>
      </c>
      <c r="CI464" t="n">
        <v>1.497</v>
      </c>
      <c r="CJ464" t="n">
        <v>1.227</v>
      </c>
      <c r="CN464" t="n">
        <v>9</v>
      </c>
      <c r="CO464" t="n">
        <v>5</v>
      </c>
      <c r="CP464" t="n">
        <v>26</v>
      </c>
      <c r="CQ464" t="n">
        <v>2</v>
      </c>
      <c r="CR464" t="n">
        <v>23</v>
      </c>
      <c r="CS464" t="n">
        <v>2</v>
      </c>
      <c r="DH464" t="n">
        <v>4</v>
      </c>
      <c r="DI464" t="n">
        <v>1</v>
      </c>
      <c r="DL464" t="n">
        <v>4</v>
      </c>
      <c r="DM464" t="n">
        <v>1</v>
      </c>
      <c r="EF464" t="n">
        <v>198.7</v>
      </c>
      <c r="EG464" t="n">
        <v>49.7</v>
      </c>
      <c r="EH464" t="n">
        <v>198.7</v>
      </c>
      <c r="EI464" t="n">
        <v>2206.1</v>
      </c>
      <c r="EJ464" t="n">
        <v>883.6</v>
      </c>
      <c r="EK464" t="n">
        <v>630.9</v>
      </c>
    </row>
    <row r="465">
      <c r="A465" t="inlineStr">
        <is>
          <t>Kyle Walker</t>
        </is>
      </c>
      <c r="D465" t="inlineStr">
        <is>
          <t>DEF</t>
        </is>
      </c>
      <c r="F465" t="b">
        <v>0</v>
      </c>
      <c r="G465" t="b">
        <v>1</v>
      </c>
      <c r="L465" t="inlineStr">
        <is>
          <t>p58621</t>
        </is>
      </c>
      <c r="Q465" t="n">
        <v>3097</v>
      </c>
      <c r="R465" t="n">
        <v>36</v>
      </c>
      <c r="T465" t="n">
        <v>34.411</v>
      </c>
      <c r="U465" t="n">
        <v>86</v>
      </c>
      <c r="Z465" t="n">
        <v>2</v>
      </c>
      <c r="AD465" t="n">
        <v>3</v>
      </c>
      <c r="AE465" t="n">
        <v>0</v>
      </c>
      <c r="AG465" t="n">
        <v>212</v>
      </c>
      <c r="AH465" t="n">
        <v>-30</v>
      </c>
      <c r="AI465" t="n">
        <v>70</v>
      </c>
      <c r="AN465" t="n">
        <v>4</v>
      </c>
      <c r="AO465" t="n">
        <v>8</v>
      </c>
      <c r="AP465" t="n">
        <v>0.114</v>
      </c>
      <c r="AQ465" t="n">
        <v>0.114</v>
      </c>
      <c r="AR465" t="n">
        <v>0.114</v>
      </c>
      <c r="AS465" t="n">
        <v>0.921</v>
      </c>
      <c r="AT465" t="n">
        <v>0.944</v>
      </c>
      <c r="AU465" t="n">
        <v>28</v>
      </c>
      <c r="AV465" t="n">
        <v>1</v>
      </c>
      <c r="AW465" t="n">
        <v>2.67</v>
      </c>
      <c r="AX465" t="n">
        <v>14</v>
      </c>
      <c r="AZ465" t="n">
        <v>0.093</v>
      </c>
      <c r="BA465" t="n">
        <v>0.093</v>
      </c>
      <c r="BB465" t="n">
        <v>0.093</v>
      </c>
      <c r="BD465" t="n">
        <v>0.003</v>
      </c>
      <c r="BE465" t="n">
        <v>0.003</v>
      </c>
      <c r="BH465" t="n">
        <v>0.916</v>
      </c>
      <c r="BI465" t="n">
        <v>1.06</v>
      </c>
      <c r="BJ465" t="n">
        <v>0.137</v>
      </c>
      <c r="BK465" t="n">
        <v>0.004</v>
      </c>
      <c r="BP465" t="n">
        <v>4</v>
      </c>
      <c r="BS465" t="n">
        <v>10</v>
      </c>
      <c r="BT465" t="n">
        <v>0.291</v>
      </c>
      <c r="BX465" t="n">
        <v>1.665</v>
      </c>
      <c r="BY465" t="n">
        <v>1.665</v>
      </c>
      <c r="BZ465" t="n">
        <v>0.048</v>
      </c>
      <c r="CA465" t="n">
        <v>1.758</v>
      </c>
      <c r="CB465" t="n">
        <v>0.051</v>
      </c>
      <c r="CC465" t="n">
        <v>13</v>
      </c>
      <c r="CD465" t="n">
        <v>3</v>
      </c>
      <c r="CE465" t="n">
        <v>13</v>
      </c>
      <c r="CF465" t="n">
        <v>7</v>
      </c>
      <c r="CG465" t="n">
        <v>1</v>
      </c>
      <c r="CI465" t="n">
        <v>9.24</v>
      </c>
      <c r="CJ465" t="n">
        <v>9.071999999999999</v>
      </c>
      <c r="CN465" t="n">
        <v>33</v>
      </c>
      <c r="CO465" t="n">
        <v>45</v>
      </c>
      <c r="CP465" t="n">
        <v>102</v>
      </c>
      <c r="CQ465" t="n">
        <v>10</v>
      </c>
      <c r="CR465" t="n">
        <v>138</v>
      </c>
      <c r="CS465" t="n">
        <v>47</v>
      </c>
      <c r="CT465" t="n">
        <v>0.1</v>
      </c>
      <c r="CU465" t="n">
        <v>0</v>
      </c>
      <c r="CV465" t="n">
        <v>2</v>
      </c>
      <c r="DE465" t="n">
        <v>6.67</v>
      </c>
      <c r="DH465" t="n">
        <v>32</v>
      </c>
      <c r="DI465" t="n">
        <v>22</v>
      </c>
      <c r="DK465" t="n">
        <v>0</v>
      </c>
      <c r="DL465" t="n">
        <v>13</v>
      </c>
      <c r="DM465" t="n">
        <v>14</v>
      </c>
      <c r="DN465" t="n">
        <v>1</v>
      </c>
      <c r="EF465" t="n">
        <v>774.2</v>
      </c>
      <c r="EG465" t="n">
        <v>309.7</v>
      </c>
      <c r="EH465" t="n">
        <v>238.2</v>
      </c>
      <c r="EI465" t="n">
        <v>33286.3</v>
      </c>
      <c r="EJ465" t="n">
        <v>1859.6</v>
      </c>
      <c r="EK465" t="n">
        <v>1761.2</v>
      </c>
    </row>
    <row r="466">
      <c r="A466" t="inlineStr">
        <is>
          <t>Séamus Coleman</t>
        </is>
      </c>
      <c r="D466" t="inlineStr">
        <is>
          <t>DEF</t>
        </is>
      </c>
      <c r="F466" t="b">
        <v>0</v>
      </c>
      <c r="G466" t="b">
        <v>1</v>
      </c>
      <c r="L466" t="inlineStr">
        <is>
          <t>p59949</t>
        </is>
      </c>
      <c r="Q466" t="n">
        <v>20</v>
      </c>
      <c r="R466" t="n">
        <v>5</v>
      </c>
      <c r="T466" t="n">
        <v>0.222</v>
      </c>
      <c r="U466" t="n">
        <v>4</v>
      </c>
      <c r="AD466" t="n">
        <v>0</v>
      </c>
      <c r="AE466" t="n">
        <v>0</v>
      </c>
      <c r="AG466" t="n">
        <v>12</v>
      </c>
      <c r="AH466" t="n">
        <v>-1</v>
      </c>
      <c r="AI466" t="n">
        <v>5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0.026</v>
      </c>
      <c r="AT466" t="n">
        <v>0</v>
      </c>
      <c r="AU466" t="n">
        <v>5</v>
      </c>
      <c r="AV466" t="n">
        <v>0</v>
      </c>
      <c r="AW466" t="n">
        <v>0.34</v>
      </c>
      <c r="AX466" t="n">
        <v>1</v>
      </c>
      <c r="AZ466" t="n">
        <v>0</v>
      </c>
      <c r="BA466" t="n">
        <v>0</v>
      </c>
      <c r="BB466" t="n">
        <v>0</v>
      </c>
      <c r="BD466" t="n">
        <v>0</v>
      </c>
      <c r="BE466" t="n">
        <v>0</v>
      </c>
      <c r="BH466" t="n">
        <v>0.93</v>
      </c>
      <c r="BI466" t="n">
        <v>0.92</v>
      </c>
      <c r="BJ466" t="n">
        <v>0</v>
      </c>
      <c r="BK466" t="n">
        <v>0</v>
      </c>
      <c r="BX466" t="n">
        <v>0.038</v>
      </c>
      <c r="BY466" t="n">
        <v>0.038</v>
      </c>
      <c r="BZ466" t="n">
        <v>0.171</v>
      </c>
      <c r="CA466" t="n">
        <v>0.038</v>
      </c>
      <c r="CB466" t="n">
        <v>0.171</v>
      </c>
      <c r="CC466" t="n">
        <v>1</v>
      </c>
      <c r="CE466" t="n">
        <v>1</v>
      </c>
      <c r="CF466" t="n">
        <v>2</v>
      </c>
      <c r="CI466" t="n">
        <v>0.038</v>
      </c>
      <c r="CJ466" t="n">
        <v>0.038</v>
      </c>
      <c r="CP466" t="n">
        <v>2</v>
      </c>
      <c r="CR466" t="n">
        <v>2</v>
      </c>
      <c r="CS466" t="n">
        <v>1</v>
      </c>
      <c r="CU466" t="n">
        <v>1</v>
      </c>
      <c r="DI466" t="n">
        <v>1</v>
      </c>
      <c r="EH466" t="n">
        <v>20</v>
      </c>
      <c r="EJ466" t="n">
        <v>527.6</v>
      </c>
      <c r="EK466" t="n">
        <v>527.6</v>
      </c>
    </row>
    <row r="467">
      <c r="A467" t="inlineStr">
        <is>
          <t>Casemiro</t>
        </is>
      </c>
      <c r="D467" t="inlineStr">
        <is>
          <t>MID</t>
        </is>
      </c>
      <c r="F467" t="b">
        <v>0</v>
      </c>
      <c r="G467" t="b">
        <v>1</v>
      </c>
      <c r="L467" t="inlineStr">
        <is>
          <t>p61256</t>
        </is>
      </c>
      <c r="Q467" t="n">
        <v>2588</v>
      </c>
      <c r="R467" t="n">
        <v>34</v>
      </c>
      <c r="T467" t="n">
        <v>28.756</v>
      </c>
      <c r="U467" t="n">
        <v>76.09999999999999</v>
      </c>
      <c r="Z467" t="n">
        <v>2</v>
      </c>
      <c r="AD467" t="n">
        <v>20</v>
      </c>
      <c r="AE467" t="n">
        <v>0</v>
      </c>
      <c r="AG467" t="n">
        <v>615</v>
      </c>
      <c r="AH467" t="n">
        <v>-21</v>
      </c>
      <c r="AI467" t="n">
        <v>165</v>
      </c>
      <c r="AN467" t="n">
        <v>14</v>
      </c>
      <c r="AO467" t="n">
        <v>28</v>
      </c>
      <c r="AP467" t="n">
        <v>0.424</v>
      </c>
      <c r="AQ467" t="n">
        <v>0.545</v>
      </c>
      <c r="AR467" t="n">
        <v>0.424</v>
      </c>
      <c r="AS467" t="n">
        <v>0.868</v>
      </c>
      <c r="AT467" t="n">
        <v>0.853</v>
      </c>
      <c r="AU467" t="n">
        <v>10</v>
      </c>
      <c r="AV467" t="n">
        <v>4</v>
      </c>
      <c r="AW467" t="n">
        <v>3.91</v>
      </c>
      <c r="AX467" t="n">
        <v>15</v>
      </c>
      <c r="AZ467" t="n">
        <v>6.577</v>
      </c>
      <c r="BA467" t="n">
        <v>6.577</v>
      </c>
      <c r="BB467" t="n">
        <v>6.577</v>
      </c>
      <c r="BD467" t="n">
        <v>0.229</v>
      </c>
      <c r="BE467" t="n">
        <v>0.229</v>
      </c>
      <c r="BF467" t="n">
        <v>5.8</v>
      </c>
      <c r="BG467" t="n">
        <v>0.202</v>
      </c>
      <c r="BH467" t="n">
        <v>0.916</v>
      </c>
      <c r="BI467" t="n">
        <v>14.37</v>
      </c>
      <c r="BJ467" t="n">
        <v>4.985</v>
      </c>
      <c r="BK467" t="n">
        <v>0.173</v>
      </c>
      <c r="BP467" t="n">
        <v>52</v>
      </c>
      <c r="BQ467" t="n">
        <v>18</v>
      </c>
      <c r="BR467" t="n">
        <v>6</v>
      </c>
      <c r="BS467" t="n">
        <v>67</v>
      </c>
      <c r="BT467" t="n">
        <v>2.33</v>
      </c>
      <c r="BV467" t="n">
        <v>8</v>
      </c>
      <c r="BX467" t="n">
        <v>3.178</v>
      </c>
      <c r="BY467" t="n">
        <v>3.178</v>
      </c>
      <c r="BZ467" t="n">
        <v>0.111</v>
      </c>
      <c r="CA467" t="n">
        <v>9.755000000000001</v>
      </c>
      <c r="CB467" t="n">
        <v>0.339</v>
      </c>
      <c r="CC467" t="n">
        <v>36</v>
      </c>
      <c r="CD467" t="n">
        <v>4</v>
      </c>
      <c r="CE467" t="n">
        <v>36</v>
      </c>
      <c r="CF467" t="n">
        <v>4</v>
      </c>
      <c r="CG467" t="n">
        <v>5</v>
      </c>
      <c r="CI467" t="n">
        <v>16.169</v>
      </c>
      <c r="CJ467" t="n">
        <v>11.876</v>
      </c>
      <c r="CN467" t="n">
        <v>45</v>
      </c>
      <c r="CO467" t="n">
        <v>31</v>
      </c>
      <c r="CP467" t="n">
        <v>73</v>
      </c>
      <c r="CQ467" t="n">
        <v>27</v>
      </c>
      <c r="CR467" t="n">
        <v>188</v>
      </c>
      <c r="CS467" t="n">
        <v>57</v>
      </c>
      <c r="CT467" t="n">
        <v>0.3</v>
      </c>
      <c r="CV467" t="n">
        <v>5</v>
      </c>
      <c r="DE467" t="n">
        <v>7.33</v>
      </c>
      <c r="DH467" t="n">
        <v>46</v>
      </c>
      <c r="DI467" t="n">
        <v>36</v>
      </c>
      <c r="DL467" t="n">
        <v>6</v>
      </c>
      <c r="DM467" t="n">
        <v>13</v>
      </c>
      <c r="DN467" t="n">
        <v>5</v>
      </c>
      <c r="EF467" t="n">
        <v>49.8</v>
      </c>
      <c r="EG467" t="n">
        <v>38.6</v>
      </c>
      <c r="EH467" t="n">
        <v>71.90000000000001</v>
      </c>
      <c r="EI467" t="n">
        <v>393.5</v>
      </c>
      <c r="EJ467" t="n">
        <v>814.4</v>
      </c>
      <c r="EK467" t="n">
        <v>265.3</v>
      </c>
    </row>
    <row r="468">
      <c r="A468" t="inlineStr">
        <is>
          <t>Kieran Trippier</t>
        </is>
      </c>
      <c r="D468" t="inlineStr">
        <is>
          <t>DEF</t>
        </is>
      </c>
      <c r="F468" t="b">
        <v>0</v>
      </c>
      <c r="G468" t="b">
        <v>1</v>
      </c>
      <c r="L468" t="inlineStr">
        <is>
          <t>p77794</t>
        </is>
      </c>
      <c r="Q468" t="n">
        <v>1592</v>
      </c>
      <c r="R468" t="n">
        <v>21</v>
      </c>
      <c r="T468" t="n">
        <v>17.689</v>
      </c>
      <c r="U468" t="n">
        <v>75.8</v>
      </c>
      <c r="Z468" t="n">
        <v>1</v>
      </c>
      <c r="AD468" t="n">
        <v>2</v>
      </c>
      <c r="AE468" t="n">
        <v>0</v>
      </c>
      <c r="AG468" t="n">
        <v>212</v>
      </c>
      <c r="AH468" t="n">
        <v>-13</v>
      </c>
      <c r="AI468" t="n">
        <v>54</v>
      </c>
      <c r="AN468" t="n">
        <v>1</v>
      </c>
      <c r="AO468" t="n">
        <v>2</v>
      </c>
      <c r="AP468" t="n">
        <v>0.056</v>
      </c>
      <c r="AQ468" t="n">
        <v>0.056</v>
      </c>
      <c r="AR468" t="n">
        <v>0.056</v>
      </c>
      <c r="AS468" t="n">
        <v>0.474</v>
      </c>
      <c r="AT468" t="n">
        <v>0.857</v>
      </c>
      <c r="AU468" t="n">
        <v>15</v>
      </c>
      <c r="AV468" t="n">
        <v>0</v>
      </c>
      <c r="AW468" t="n">
        <v>2.27</v>
      </c>
      <c r="AX468" t="n">
        <v>8</v>
      </c>
      <c r="AZ468" t="n">
        <v>0.096</v>
      </c>
      <c r="BA468" t="n">
        <v>0.096</v>
      </c>
      <c r="BB468" t="n">
        <v>0.096</v>
      </c>
      <c r="BD468" t="n">
        <v>0.005</v>
      </c>
      <c r="BE468" t="n">
        <v>0.005</v>
      </c>
      <c r="BH468" t="n">
        <v>1.052</v>
      </c>
      <c r="BI468" t="n">
        <v>1.7</v>
      </c>
      <c r="BJ468" t="n">
        <v>0.08400000000000001</v>
      </c>
      <c r="BK468" t="n">
        <v>0.005</v>
      </c>
      <c r="BP468" t="n">
        <v>2</v>
      </c>
      <c r="BS468" t="n">
        <v>6</v>
      </c>
      <c r="BT468" t="n">
        <v>0.339</v>
      </c>
      <c r="BX468" t="n">
        <v>1.819</v>
      </c>
      <c r="BY468" t="n">
        <v>1.819</v>
      </c>
      <c r="BZ468" t="n">
        <v>0.103</v>
      </c>
      <c r="CA468" t="n">
        <v>1.915</v>
      </c>
      <c r="CB468" t="n">
        <v>0.108</v>
      </c>
      <c r="CC468" t="n">
        <v>28</v>
      </c>
      <c r="CD468" t="n">
        <v>1</v>
      </c>
      <c r="CE468" t="n">
        <v>28</v>
      </c>
      <c r="CF468" t="n">
        <v>34</v>
      </c>
      <c r="CH468" t="n">
        <v>48</v>
      </c>
      <c r="CI468" t="n">
        <v>5.13</v>
      </c>
      <c r="CJ468" t="n">
        <v>4.712</v>
      </c>
      <c r="CN468" t="n">
        <v>14</v>
      </c>
      <c r="CO468" t="n">
        <v>10</v>
      </c>
      <c r="CP468" t="n">
        <v>48</v>
      </c>
      <c r="CQ468" t="n">
        <v>1</v>
      </c>
      <c r="CR468" t="n">
        <v>72</v>
      </c>
      <c r="CS468" t="n">
        <v>24</v>
      </c>
      <c r="CT468" t="n">
        <v>0.1</v>
      </c>
      <c r="CV468" t="n">
        <v>1</v>
      </c>
      <c r="DE468" t="n">
        <v>6.81</v>
      </c>
      <c r="DH468" t="n">
        <v>22</v>
      </c>
      <c r="DI468" t="n">
        <v>19</v>
      </c>
      <c r="DL468" t="n">
        <v>4</v>
      </c>
      <c r="DM468" t="n">
        <v>6</v>
      </c>
      <c r="DN468" t="n">
        <v>1</v>
      </c>
      <c r="EF468" t="n">
        <v>796</v>
      </c>
      <c r="EG468" t="n">
        <v>265.3</v>
      </c>
      <c r="EH468" t="n">
        <v>56.9</v>
      </c>
      <c r="EI468" t="n">
        <v>16600.7</v>
      </c>
      <c r="EJ468" t="n">
        <v>875</v>
      </c>
      <c r="EK468" t="n">
        <v>831.2</v>
      </c>
    </row>
    <row r="469">
      <c r="A469" t="inlineStr">
        <is>
          <t>Dan Bentley</t>
        </is>
      </c>
      <c r="D469" t="inlineStr">
        <is>
          <t>GKP</t>
        </is>
      </c>
      <c r="F469" t="b">
        <v>0</v>
      </c>
      <c r="G469" t="b">
        <v>1</v>
      </c>
      <c r="L469" t="inlineStr">
        <is>
          <t>p79602</t>
        </is>
      </c>
      <c r="Q469" t="n">
        <v>270</v>
      </c>
      <c r="R469" t="n">
        <v>3</v>
      </c>
      <c r="T469" t="n">
        <v>3</v>
      </c>
      <c r="U469" t="n">
        <v>90</v>
      </c>
      <c r="AD469" t="n">
        <v>0</v>
      </c>
      <c r="AE469" t="n">
        <v>0</v>
      </c>
      <c r="AG469" t="n">
        <v>22</v>
      </c>
      <c r="AH469" t="n">
        <v>-2</v>
      </c>
      <c r="AI469" t="n">
        <v>6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0.079</v>
      </c>
      <c r="AT469" t="n">
        <v>1</v>
      </c>
      <c r="AU469" t="n">
        <v>3</v>
      </c>
      <c r="AV469" t="n">
        <v>0</v>
      </c>
      <c r="AW469" t="n">
        <v>0.55</v>
      </c>
      <c r="AX469" t="n">
        <v>2</v>
      </c>
      <c r="AZ469" t="n">
        <v>0</v>
      </c>
      <c r="BA469" t="n">
        <v>0</v>
      </c>
      <c r="BB469" t="n">
        <v>0</v>
      </c>
      <c r="BD469" t="n">
        <v>0</v>
      </c>
      <c r="BE469" t="n">
        <v>0</v>
      </c>
      <c r="BH469" t="n">
        <v>1</v>
      </c>
      <c r="BI469" t="n">
        <v>0</v>
      </c>
      <c r="BJ469" t="n">
        <v>0</v>
      </c>
      <c r="BK469" t="n">
        <v>0</v>
      </c>
      <c r="BX469" t="n">
        <v>0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I469" t="n">
        <v>0.223</v>
      </c>
      <c r="CJ469" t="n">
        <v>0.223</v>
      </c>
      <c r="CP469" t="n">
        <v>5</v>
      </c>
      <c r="CR469" t="n">
        <v>3</v>
      </c>
      <c r="CS469" t="n">
        <v>1</v>
      </c>
      <c r="DC469" t="n">
        <v>3</v>
      </c>
      <c r="DD469" t="n">
        <v>3</v>
      </c>
      <c r="DI469" t="n">
        <v>2</v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n">
        <v>4</v>
      </c>
      <c r="F470" t="b">
        <v>1</v>
      </c>
      <c r="G470" t="b">
        <v>0</v>
      </c>
      <c r="H470" t="n">
        <v>33.4</v>
      </c>
      <c r="I470" t="inlineStr">
        <is>
          <t>a</t>
        </is>
      </c>
      <c r="M470" t="n">
        <v>178</v>
      </c>
      <c r="DO470" t="n">
        <v>0.1</v>
      </c>
      <c r="DP470" t="n">
        <v>4.6</v>
      </c>
      <c r="DQ470" t="n">
        <v>2.3</v>
      </c>
      <c r="DR470" t="n">
        <v>4.6</v>
      </c>
      <c r="DS470" t="n">
        <v>0</v>
      </c>
      <c r="DT470" t="n">
        <v>65</v>
      </c>
      <c r="DU470" t="n">
        <v>1.71</v>
      </c>
      <c r="DV470" t="inlineStr">
        <is>
          <t>flat</t>
        </is>
      </c>
    </row>
    <row r="471">
      <c r="A471" t="inlineStr">
        <is>
          <t>Idrissa Gueye</t>
        </is>
      </c>
      <c r="D471" t="inlineStr">
        <is>
          <t>MID</t>
        </is>
      </c>
      <c r="F471" t="b">
        <v>0</v>
      </c>
      <c r="G471" t="b">
        <v>1</v>
      </c>
      <c r="L471" t="inlineStr">
        <is>
          <t>p80801</t>
        </is>
      </c>
      <c r="Q471" t="n">
        <v>2101</v>
      </c>
      <c r="R471" t="n">
        <v>25</v>
      </c>
      <c r="T471" t="n">
        <v>23.344</v>
      </c>
      <c r="U471" t="n">
        <v>84</v>
      </c>
      <c r="Z471" t="n">
        <v>3</v>
      </c>
      <c r="AD471" t="n">
        <v>4</v>
      </c>
      <c r="AE471" t="n">
        <v>0</v>
      </c>
      <c r="AG471" t="n">
        <v>404</v>
      </c>
      <c r="AH471" t="n">
        <v>-15</v>
      </c>
      <c r="AI471" t="n">
        <v>83</v>
      </c>
      <c r="AN471" t="n">
        <v>5</v>
      </c>
      <c r="AO471" t="n">
        <v>10</v>
      </c>
      <c r="AP471" t="n">
        <v>0.2</v>
      </c>
      <c r="AQ471" t="n">
        <v>0.36</v>
      </c>
      <c r="AR471" t="n">
        <v>0.2</v>
      </c>
      <c r="AS471" t="n">
        <v>0.658</v>
      </c>
      <c r="AT471" t="n">
        <v>0.96</v>
      </c>
      <c r="AU471" t="n">
        <v>14</v>
      </c>
      <c r="AV471" t="n">
        <v>2</v>
      </c>
      <c r="AW471" t="n">
        <v>2.71</v>
      </c>
      <c r="AX471" t="n">
        <v>10</v>
      </c>
      <c r="AZ471" t="n">
        <v>1.914</v>
      </c>
      <c r="BA471" t="n">
        <v>1.914</v>
      </c>
      <c r="BB471" t="n">
        <v>1.914</v>
      </c>
      <c r="BD471" t="n">
        <v>0.082</v>
      </c>
      <c r="BE471" t="n">
        <v>0.082</v>
      </c>
      <c r="BF471" t="n">
        <v>1.4</v>
      </c>
      <c r="BG471" t="n">
        <v>0.06</v>
      </c>
      <c r="BH471" t="n">
        <v>1.03</v>
      </c>
      <c r="BI471" t="n">
        <v>5.1</v>
      </c>
      <c r="BJ471" t="n">
        <v>2.051</v>
      </c>
      <c r="BK471" t="n">
        <v>0.08799999999999999</v>
      </c>
      <c r="BP471" t="n">
        <v>29</v>
      </c>
      <c r="BQ471" t="n">
        <v>7</v>
      </c>
      <c r="BS471" t="n">
        <v>34</v>
      </c>
      <c r="BT471" t="n">
        <v>1.456</v>
      </c>
      <c r="BX471" t="n">
        <v>1.694</v>
      </c>
      <c r="BY471" t="n">
        <v>1.694</v>
      </c>
      <c r="BZ471" t="n">
        <v>0.073</v>
      </c>
      <c r="CA471" t="n">
        <v>3.608</v>
      </c>
      <c r="CB471" t="n">
        <v>0.155</v>
      </c>
      <c r="CC471" t="n">
        <v>13</v>
      </c>
      <c r="CD471" t="n">
        <v>2</v>
      </c>
      <c r="CE471" t="n">
        <v>13</v>
      </c>
      <c r="CF471" t="n">
        <v>4</v>
      </c>
      <c r="CG471" t="n">
        <v>1</v>
      </c>
      <c r="CH471" t="n">
        <v>0</v>
      </c>
      <c r="CI471" t="n">
        <v>9.138999999999999</v>
      </c>
      <c r="CJ471" t="n">
        <v>6.896</v>
      </c>
      <c r="CN471" t="n">
        <v>20</v>
      </c>
      <c r="CO471" t="n">
        <v>28</v>
      </c>
      <c r="CP471" t="n">
        <v>24</v>
      </c>
      <c r="CQ471" t="n">
        <v>7</v>
      </c>
      <c r="CR471" t="n">
        <v>94</v>
      </c>
      <c r="CS471" t="n">
        <v>13</v>
      </c>
      <c r="CT471" t="n">
        <v>0.2</v>
      </c>
      <c r="CV471" t="n">
        <v>2</v>
      </c>
      <c r="DE471" t="n">
        <v>7.03</v>
      </c>
      <c r="DH471" t="n">
        <v>21</v>
      </c>
      <c r="DI471" t="n">
        <v>31</v>
      </c>
      <c r="DL471" t="n">
        <v>7</v>
      </c>
      <c r="DM471" t="n">
        <v>9</v>
      </c>
      <c r="EF471" t="n">
        <v>72.40000000000001</v>
      </c>
      <c r="EG471" t="n">
        <v>61.8</v>
      </c>
      <c r="EH471" t="n">
        <v>161.6</v>
      </c>
      <c r="EI471" t="n">
        <v>1097.6</v>
      </c>
      <c r="EJ471" t="n">
        <v>1240.5</v>
      </c>
      <c r="EK471" t="n">
        <v>582.3</v>
      </c>
    </row>
    <row r="472">
      <c r="A472" t="inlineStr">
        <is>
          <t>Alphonse Areola</t>
        </is>
      </c>
      <c r="D472" t="inlineStr">
        <is>
          <t>GKP</t>
        </is>
      </c>
      <c r="F472" t="b">
        <v>0</v>
      </c>
      <c r="G472" t="b">
        <v>1</v>
      </c>
      <c r="L472" t="inlineStr">
        <is>
          <t>p84182</t>
        </is>
      </c>
      <c r="Q472" t="n">
        <v>1800</v>
      </c>
      <c r="R472" t="n">
        <v>20</v>
      </c>
      <c r="T472" t="n">
        <v>20</v>
      </c>
      <c r="U472" t="n">
        <v>90</v>
      </c>
      <c r="Z472" t="n">
        <v>1</v>
      </c>
      <c r="AD472" t="n">
        <v>2</v>
      </c>
      <c r="AE472" t="n">
        <v>0</v>
      </c>
      <c r="AG472" t="n">
        <v>212</v>
      </c>
      <c r="AH472" t="n">
        <v>-8</v>
      </c>
      <c r="AI472" t="n">
        <v>51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0.526</v>
      </c>
      <c r="AT472" t="n">
        <v>1</v>
      </c>
      <c r="AU472" t="n">
        <v>13</v>
      </c>
      <c r="AV472" t="n">
        <v>0</v>
      </c>
      <c r="AW472" t="n">
        <v>1.74</v>
      </c>
      <c r="AX472" t="n">
        <v>9</v>
      </c>
      <c r="AZ472" t="n">
        <v>0</v>
      </c>
      <c r="BA472" t="n">
        <v>0</v>
      </c>
      <c r="BB472" t="n">
        <v>0</v>
      </c>
      <c r="BD472" t="n">
        <v>0</v>
      </c>
      <c r="BE472" t="n">
        <v>0</v>
      </c>
      <c r="BH472" t="n">
        <v>1</v>
      </c>
      <c r="BI472" t="n">
        <v>0</v>
      </c>
      <c r="BJ472" t="n">
        <v>0</v>
      </c>
      <c r="BK472" t="n">
        <v>0</v>
      </c>
      <c r="BX472" t="n">
        <v>0.022</v>
      </c>
      <c r="BY472" t="n">
        <v>0.022</v>
      </c>
      <c r="BZ472" t="n">
        <v>0.001</v>
      </c>
      <c r="CA472" t="n">
        <v>0.022</v>
      </c>
      <c r="CB472" t="n">
        <v>0.001</v>
      </c>
      <c r="CC472" t="n">
        <v>1</v>
      </c>
      <c r="CE472" t="n">
        <v>1</v>
      </c>
      <c r="CI472" t="n">
        <v>0.431</v>
      </c>
      <c r="CJ472" t="n">
        <v>0.431</v>
      </c>
      <c r="CO472" t="n">
        <v>1</v>
      </c>
      <c r="CP472" t="n">
        <v>29</v>
      </c>
      <c r="CR472" t="n">
        <v>6</v>
      </c>
      <c r="CS472" t="n">
        <v>5</v>
      </c>
      <c r="CU472" t="n">
        <v>2</v>
      </c>
      <c r="CV472" t="n">
        <v>1</v>
      </c>
      <c r="CZ472" t="n">
        <v>67.5</v>
      </c>
      <c r="DA472" t="n">
        <v>-1.3</v>
      </c>
      <c r="DC472" t="n">
        <v>15</v>
      </c>
      <c r="DD472" t="n">
        <v>21</v>
      </c>
      <c r="DE472" t="n">
        <v>6.57</v>
      </c>
      <c r="DH472" t="n">
        <v>1</v>
      </c>
      <c r="DI472" t="n">
        <v>1</v>
      </c>
      <c r="DK472" t="n">
        <v>1</v>
      </c>
      <c r="EH472" t="n">
        <v>1800</v>
      </c>
      <c r="EJ472" t="n">
        <v>81284</v>
      </c>
      <c r="EK472" t="n">
        <v>81284</v>
      </c>
    </row>
    <row r="473">
      <c r="A473" t="inlineStr">
        <is>
          <t>Matt Doherty</t>
        </is>
      </c>
      <c r="D473" t="inlineStr">
        <is>
          <t>DEF</t>
        </is>
      </c>
      <c r="F473" t="b">
        <v>0</v>
      </c>
      <c r="G473" t="b">
        <v>1</v>
      </c>
      <c r="L473" t="inlineStr">
        <is>
          <t>p87835</t>
        </is>
      </c>
      <c r="Q473" t="n">
        <v>791</v>
      </c>
      <c r="R473" t="n">
        <v>11</v>
      </c>
      <c r="T473" t="n">
        <v>8.789</v>
      </c>
      <c r="U473" t="n">
        <v>71.90000000000001</v>
      </c>
      <c r="AD473" t="n">
        <v>0</v>
      </c>
      <c r="AE473" t="n">
        <v>0</v>
      </c>
      <c r="AG473" t="n">
        <v>47</v>
      </c>
      <c r="AH473" t="n">
        <v>-12</v>
      </c>
      <c r="AI473" t="n">
        <v>14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0.289</v>
      </c>
      <c r="AT473" t="n">
        <v>0.727</v>
      </c>
      <c r="AU473" t="n">
        <v>10</v>
      </c>
      <c r="AV473" t="n">
        <v>0</v>
      </c>
      <c r="AW473" t="n">
        <v>1</v>
      </c>
      <c r="AX473" t="n">
        <v>5</v>
      </c>
      <c r="AZ473" t="n">
        <v>0.082</v>
      </c>
      <c r="BA473" t="n">
        <v>0.082</v>
      </c>
      <c r="BB473" t="n">
        <v>0.082</v>
      </c>
      <c r="BD473" t="n">
        <v>0.008999999999999999</v>
      </c>
      <c r="BE473" t="n">
        <v>0.008999999999999999</v>
      </c>
      <c r="BH473" t="n">
        <v>1.061</v>
      </c>
      <c r="BI473" t="n">
        <v>2.84</v>
      </c>
      <c r="BJ473" t="n">
        <v>0.095</v>
      </c>
      <c r="BK473" t="n">
        <v>0.011</v>
      </c>
      <c r="BP473" t="n">
        <v>3</v>
      </c>
      <c r="BS473" t="n">
        <v>7</v>
      </c>
      <c r="BT473" t="n">
        <v>0.796</v>
      </c>
      <c r="BX473" t="n">
        <v>0.173</v>
      </c>
      <c r="BY473" t="n">
        <v>0.173</v>
      </c>
      <c r="BZ473" t="n">
        <v>0.02</v>
      </c>
      <c r="CA473" t="n">
        <v>0.255</v>
      </c>
      <c r="CB473" t="n">
        <v>0.029</v>
      </c>
      <c r="CC473" t="n">
        <v>3</v>
      </c>
      <c r="CD473" t="n">
        <v>1</v>
      </c>
      <c r="CE473" t="n">
        <v>3</v>
      </c>
      <c r="CF473" t="n">
        <v>2</v>
      </c>
      <c r="CI473" t="n">
        <v>0.301</v>
      </c>
      <c r="CJ473" t="n">
        <v>0.128</v>
      </c>
      <c r="CN473" t="n">
        <v>8</v>
      </c>
      <c r="CO473" t="n">
        <v>7</v>
      </c>
      <c r="CP473" t="n">
        <v>37</v>
      </c>
      <c r="CQ473" t="n">
        <v>6</v>
      </c>
      <c r="CR473" t="n">
        <v>45</v>
      </c>
      <c r="CS473" t="n">
        <v>21</v>
      </c>
      <c r="DD473" t="n">
        <v>0</v>
      </c>
      <c r="DH473" t="n">
        <v>16</v>
      </c>
      <c r="DI473" t="n">
        <v>6</v>
      </c>
      <c r="DJ473" t="n">
        <v>1</v>
      </c>
      <c r="DK473" t="n">
        <v>1</v>
      </c>
      <c r="DL473" t="n">
        <v>2</v>
      </c>
      <c r="DM473" t="n">
        <v>3</v>
      </c>
      <c r="EF473" t="n">
        <v>263.7</v>
      </c>
      <c r="EG473" t="n">
        <v>113</v>
      </c>
      <c r="EH473" t="n">
        <v>263.7</v>
      </c>
      <c r="EI473" t="n">
        <v>9614.9</v>
      </c>
      <c r="EJ473" t="n">
        <v>4577.6</v>
      </c>
      <c r="EK473" t="n">
        <v>3101.2</v>
      </c>
    </row>
    <row r="474">
      <c r="A474" t="inlineStr">
        <is>
          <t>Stefan Ortega</t>
        </is>
      </c>
      <c r="D474" t="inlineStr">
        <is>
          <t>GKP</t>
        </is>
      </c>
      <c r="F474" t="b">
        <v>0</v>
      </c>
      <c r="G474" t="b">
        <v>1</v>
      </c>
      <c r="L474" t="inlineStr">
        <is>
          <t>p88248</t>
        </is>
      </c>
      <c r="Q474" t="n">
        <v>270</v>
      </c>
      <c r="R474" t="n">
        <v>3</v>
      </c>
      <c r="T474" t="n">
        <v>3</v>
      </c>
      <c r="U474" t="n">
        <v>90</v>
      </c>
      <c r="AD474" t="n">
        <v>0</v>
      </c>
      <c r="AE474" t="n">
        <v>0</v>
      </c>
      <c r="AG474" t="n">
        <v>38</v>
      </c>
      <c r="AH474" t="n">
        <v>0</v>
      </c>
      <c r="AI474" t="n">
        <v>11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0.079</v>
      </c>
      <c r="AT474" t="n">
        <v>1</v>
      </c>
      <c r="AU474" t="n">
        <v>1</v>
      </c>
      <c r="AV474" t="n">
        <v>0</v>
      </c>
      <c r="AW474" t="n">
        <v>1.23</v>
      </c>
      <c r="AX474" t="n">
        <v>7</v>
      </c>
      <c r="AZ474" t="n">
        <v>0</v>
      </c>
      <c r="BA474" t="n">
        <v>0</v>
      </c>
      <c r="BB474" t="n">
        <v>0</v>
      </c>
      <c r="BD474" t="n">
        <v>0</v>
      </c>
      <c r="BE474" t="n">
        <v>0</v>
      </c>
      <c r="BH474" t="n">
        <v>1</v>
      </c>
      <c r="BI474" t="n">
        <v>0</v>
      </c>
      <c r="BJ474" t="n">
        <v>0</v>
      </c>
      <c r="BK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I474" t="n">
        <v>0.129</v>
      </c>
      <c r="CJ474" t="n">
        <v>0.129</v>
      </c>
      <c r="CP474" t="n">
        <v>1</v>
      </c>
      <c r="CR474" t="n">
        <v>1</v>
      </c>
      <c r="CS474" t="n">
        <v>1</v>
      </c>
      <c r="DD474" t="n">
        <v>1</v>
      </c>
    </row>
    <row r="475">
      <c r="A475" t="inlineStr">
        <is>
          <t>Niclas Füllkrug</t>
        </is>
      </c>
      <c r="D475" t="inlineStr">
        <is>
          <t>FWD</t>
        </is>
      </c>
      <c r="F475" t="b">
        <v>0</v>
      </c>
      <c r="G475" t="b">
        <v>1</v>
      </c>
      <c r="L475" t="inlineStr">
        <is>
          <t>p91889</t>
        </is>
      </c>
      <c r="Q475" t="n">
        <v>408</v>
      </c>
      <c r="R475" t="n">
        <v>8</v>
      </c>
      <c r="T475" t="n">
        <v>4.533</v>
      </c>
      <c r="U475" t="n">
        <v>51</v>
      </c>
      <c r="AD475" t="n">
        <v>0</v>
      </c>
      <c r="AE475" t="n">
        <v>0</v>
      </c>
      <c r="AG475" t="n">
        <v>27</v>
      </c>
      <c r="AH475" t="n">
        <v>-1</v>
      </c>
      <c r="AI475" t="n">
        <v>12</v>
      </c>
      <c r="AN475" t="n">
        <v>0</v>
      </c>
      <c r="AO475" t="n">
        <v>0</v>
      </c>
      <c r="AP475" t="n">
        <v>0</v>
      </c>
      <c r="AQ475" t="n">
        <v>0.2</v>
      </c>
      <c r="AR475" t="n">
        <v>0</v>
      </c>
      <c r="AS475" t="n">
        <v>0.132</v>
      </c>
      <c r="AT475" t="n">
        <v>0.5</v>
      </c>
      <c r="AU475" t="n">
        <v>8</v>
      </c>
      <c r="AV475" t="n">
        <v>0</v>
      </c>
      <c r="AW475" t="n">
        <v>0.66</v>
      </c>
      <c r="AX475" t="n">
        <v>2</v>
      </c>
      <c r="AZ475" t="n">
        <v>0.983</v>
      </c>
      <c r="BA475" t="n">
        <v>0.983</v>
      </c>
      <c r="BB475" t="n">
        <v>0.983</v>
      </c>
      <c r="BD475" t="n">
        <v>0.217</v>
      </c>
      <c r="BE475" t="n">
        <v>0.217</v>
      </c>
      <c r="BF475" t="n">
        <v>0.4</v>
      </c>
      <c r="BG475" t="n">
        <v>0.08799999999999999</v>
      </c>
      <c r="BH475" t="n">
        <v>1.111</v>
      </c>
      <c r="BI475" t="n">
        <v>3.07</v>
      </c>
      <c r="BJ475" t="n">
        <v>1.033</v>
      </c>
      <c r="BK475" t="n">
        <v>0.228</v>
      </c>
      <c r="BP475" t="n">
        <v>9</v>
      </c>
      <c r="BQ475" t="n">
        <v>3</v>
      </c>
      <c r="BR475" t="n">
        <v>1</v>
      </c>
      <c r="BS475" t="n">
        <v>23</v>
      </c>
      <c r="BT475" t="n">
        <v>5.074</v>
      </c>
      <c r="BX475" t="n">
        <v>0.449</v>
      </c>
      <c r="BY475" t="n">
        <v>0.449</v>
      </c>
      <c r="BZ475" t="n">
        <v>0.099</v>
      </c>
      <c r="CA475" t="n">
        <v>1.432</v>
      </c>
      <c r="CB475" t="n">
        <v>0.316</v>
      </c>
      <c r="CC475" t="n">
        <v>7</v>
      </c>
      <c r="CE475" t="n">
        <v>7</v>
      </c>
      <c r="CI475" t="n">
        <v>0.909</v>
      </c>
      <c r="CJ475" t="n">
        <v>0.123</v>
      </c>
      <c r="CN475" t="n">
        <v>1</v>
      </c>
      <c r="CO475" t="n">
        <v>2</v>
      </c>
      <c r="CP475" t="n">
        <v>4</v>
      </c>
      <c r="CQ475" t="n">
        <v>1</v>
      </c>
      <c r="CR475" t="n">
        <v>21</v>
      </c>
      <c r="CS475" t="n">
        <v>18</v>
      </c>
      <c r="DH475" t="n">
        <v>11</v>
      </c>
      <c r="DI475" t="n">
        <v>1</v>
      </c>
      <c r="DM475" t="n">
        <v>6</v>
      </c>
      <c r="DN475" t="n">
        <v>3</v>
      </c>
      <c r="EF475" t="n">
        <v>45.3</v>
      </c>
      <c r="EG475" t="n">
        <v>17.7</v>
      </c>
      <c r="EH475" t="n">
        <v>58.3</v>
      </c>
      <c r="EI475" t="n">
        <v>415.1</v>
      </c>
      <c r="EJ475" t="n">
        <v>908.5</v>
      </c>
      <c r="EK475" t="n">
        <v>284.9</v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n">
        <v>4.5</v>
      </c>
      <c r="F476" t="b">
        <v>1</v>
      </c>
      <c r="G476" t="b">
        <v>0</v>
      </c>
      <c r="H476" t="n">
        <v>34.9</v>
      </c>
      <c r="I476" t="inlineStr">
        <is>
          <t>a</t>
        </is>
      </c>
      <c r="M476" t="n">
        <v>541</v>
      </c>
      <c r="DO476" t="n">
        <v>0.5</v>
      </c>
      <c r="DP476" t="n">
        <v>38.06</v>
      </c>
      <c r="DQ476" t="n">
        <v>19.05</v>
      </c>
      <c r="DR476" t="n">
        <v>38.1</v>
      </c>
      <c r="DS476" t="n">
        <v>-0.04</v>
      </c>
      <c r="DT476" t="n">
        <v>804</v>
      </c>
      <c r="DU476" t="n">
        <v>21.16</v>
      </c>
      <c r="DV476" t="inlineStr">
        <is>
          <t>flat</t>
        </is>
      </c>
      <c r="DW476" t="n">
        <v>91.93000000000001</v>
      </c>
      <c r="DY476" t="n">
        <v>10.56</v>
      </c>
      <c r="DZ476" t="n">
        <v>84.36</v>
      </c>
      <c r="EA476" t="n">
        <v>104</v>
      </c>
      <c r="EB476" t="n">
        <v>3</v>
      </c>
      <c r="EC476" t="n">
        <v>1.4</v>
      </c>
      <c r="ED476" t="n">
        <v>25</v>
      </c>
      <c r="EE476" t="n">
        <v>515</v>
      </c>
    </row>
    <row r="477">
      <c r="A477" t="inlineStr">
        <is>
          <t>John Stones</t>
        </is>
      </c>
      <c r="D477" t="inlineStr">
        <is>
          <t>DEF</t>
        </is>
      </c>
      <c r="F477" t="b">
        <v>0</v>
      </c>
      <c r="G477" t="b">
        <v>1</v>
      </c>
      <c r="L477" t="inlineStr">
        <is>
          <t>p97299</t>
        </is>
      </c>
      <c r="Q477" t="n">
        <v>439</v>
      </c>
      <c r="R477" t="n">
        <v>9</v>
      </c>
      <c r="T477" t="n">
        <v>4.878</v>
      </c>
      <c r="U477" t="n">
        <v>48.8</v>
      </c>
      <c r="AD477" t="n">
        <v>0</v>
      </c>
      <c r="AE477" t="n">
        <v>0</v>
      </c>
      <c r="AG477" t="n">
        <v>49</v>
      </c>
      <c r="AH477" t="n">
        <v>-6</v>
      </c>
      <c r="AI477" t="n">
        <v>16</v>
      </c>
      <c r="AN477" t="n">
        <v>1</v>
      </c>
      <c r="AO477" t="n">
        <v>2</v>
      </c>
      <c r="AP477" t="n">
        <v>0.2</v>
      </c>
      <c r="AQ477" t="n">
        <v>0.2</v>
      </c>
      <c r="AR477" t="n">
        <v>0</v>
      </c>
      <c r="AS477" t="n">
        <v>0.132</v>
      </c>
      <c r="AT477" t="n">
        <v>0.556</v>
      </c>
      <c r="AU477" t="n">
        <v>7</v>
      </c>
      <c r="AV477" t="n">
        <v>0</v>
      </c>
      <c r="AW477" t="n">
        <v>1.13</v>
      </c>
      <c r="AX477" t="n">
        <v>6</v>
      </c>
      <c r="AZ477" t="n">
        <v>0</v>
      </c>
      <c r="BA477" t="n">
        <v>0</v>
      </c>
      <c r="BB477" t="n">
        <v>0</v>
      </c>
      <c r="BD477" t="n">
        <v>0</v>
      </c>
      <c r="BE477" t="n">
        <v>0</v>
      </c>
      <c r="BH477" t="n">
        <v>1.001</v>
      </c>
      <c r="BI477" t="n">
        <v>2.69</v>
      </c>
      <c r="BJ477" t="n">
        <v>0</v>
      </c>
      <c r="BK477" t="n">
        <v>0</v>
      </c>
      <c r="BS477" t="n">
        <v>2</v>
      </c>
      <c r="BT477" t="n">
        <v>0.41</v>
      </c>
      <c r="BX477" t="n">
        <v>0.063</v>
      </c>
      <c r="BY477" t="n">
        <v>0.063</v>
      </c>
      <c r="BZ477" t="n">
        <v>0.013</v>
      </c>
      <c r="CA477" t="n">
        <v>0.063</v>
      </c>
      <c r="CB477" t="n">
        <v>0.013</v>
      </c>
      <c r="CC477" t="n">
        <v>1</v>
      </c>
      <c r="CE477" t="n">
        <v>1</v>
      </c>
      <c r="CI477" t="n">
        <v>2.191</v>
      </c>
      <c r="CJ477" t="n">
        <v>2.129</v>
      </c>
      <c r="CN477" t="n">
        <v>1</v>
      </c>
      <c r="CO477" t="n">
        <v>3</v>
      </c>
      <c r="CP477" t="n">
        <v>21</v>
      </c>
      <c r="CQ477" t="n">
        <v>6</v>
      </c>
      <c r="CR477" t="n">
        <v>14</v>
      </c>
      <c r="CS477" t="n">
        <v>11</v>
      </c>
      <c r="CU477" t="n">
        <v>1</v>
      </c>
      <c r="DL477" t="n">
        <v>2</v>
      </c>
      <c r="DM477" t="n">
        <v>1</v>
      </c>
      <c r="EG477" t="n">
        <v>219.5</v>
      </c>
      <c r="EH477" t="n">
        <v>439</v>
      </c>
      <c r="EJ477" t="n">
        <v>6994.6</v>
      </c>
      <c r="EK477" t="n">
        <v>6994.6</v>
      </c>
    </row>
    <row r="478">
      <c r="A478" t="inlineStr">
        <is>
          <t>Jamaal Lascelles</t>
        </is>
      </c>
      <c r="D478" t="inlineStr">
        <is>
          <t>DEF</t>
        </is>
      </c>
      <c r="F478" t="b">
        <v>0</v>
      </c>
      <c r="G478" t="b">
        <v>1</v>
      </c>
      <c r="L478" t="inlineStr">
        <is>
          <t>p101148</t>
        </is>
      </c>
      <c r="Q478" t="n">
        <v>19</v>
      </c>
      <c r="R478" t="n">
        <v>2</v>
      </c>
      <c r="T478" t="n">
        <v>0.211</v>
      </c>
      <c r="U478" t="n">
        <v>9.5</v>
      </c>
      <c r="AD478" t="n">
        <v>0</v>
      </c>
      <c r="AE478" t="n">
        <v>0</v>
      </c>
      <c r="AG478" t="n">
        <v>-1</v>
      </c>
      <c r="AH478" t="n">
        <v>-1</v>
      </c>
      <c r="AI478" t="n">
        <v>1</v>
      </c>
      <c r="AN478" t="n">
        <v>0</v>
      </c>
      <c r="AO478" t="n">
        <v>0</v>
      </c>
      <c r="AS478" t="n">
        <v>0</v>
      </c>
      <c r="AT478" t="n">
        <v>0</v>
      </c>
      <c r="AU478" t="n">
        <v>2</v>
      </c>
      <c r="AV478" t="n">
        <v>0</v>
      </c>
      <c r="AW478" t="n">
        <v>0.16</v>
      </c>
      <c r="AX478" t="n">
        <v>1</v>
      </c>
      <c r="BH478" t="n">
        <v>0.945</v>
      </c>
      <c r="BI478" t="n">
        <v>0.89</v>
      </c>
      <c r="BJ478" t="n">
        <v>0.038</v>
      </c>
      <c r="BK478" t="n">
        <v>0.18</v>
      </c>
      <c r="BP478" t="n">
        <v>1</v>
      </c>
      <c r="BS478" t="n">
        <v>2</v>
      </c>
      <c r="BT478" t="n">
        <v>9.474</v>
      </c>
      <c r="CP478" t="n">
        <v>4</v>
      </c>
      <c r="CQ478" t="n">
        <v>1</v>
      </c>
      <c r="CR478" t="n">
        <v>1</v>
      </c>
      <c r="CS478" t="n">
        <v>1</v>
      </c>
      <c r="EF478" t="n">
        <v>19</v>
      </c>
      <c r="EG478" t="n">
        <v>9.5</v>
      </c>
    </row>
    <row r="479">
      <c r="A479" t="inlineStr">
        <is>
          <t>James Ward-Prowse</t>
        </is>
      </c>
      <c r="D479" t="inlineStr">
        <is>
          <t>MID</t>
        </is>
      </c>
      <c r="F479" t="b">
        <v>0</v>
      </c>
      <c r="G479" t="b">
        <v>1</v>
      </c>
      <c r="L479" t="inlineStr">
        <is>
          <t>p101178</t>
        </is>
      </c>
      <c r="Q479" t="n">
        <v>1096</v>
      </c>
      <c r="R479" t="n">
        <v>18</v>
      </c>
      <c r="T479" t="n">
        <v>12.178</v>
      </c>
      <c r="U479" t="n">
        <v>60.9</v>
      </c>
      <c r="Z479" t="n">
        <v>1</v>
      </c>
      <c r="AD479" t="n">
        <v>0</v>
      </c>
      <c r="AE479" t="n">
        <v>0</v>
      </c>
      <c r="AG479" t="n">
        <v>239</v>
      </c>
      <c r="AH479" t="n">
        <v>-9</v>
      </c>
      <c r="AI479" t="n">
        <v>40</v>
      </c>
      <c r="AN479" t="n">
        <v>3</v>
      </c>
      <c r="AO479" t="n">
        <v>6</v>
      </c>
      <c r="AP479" t="n">
        <v>0.25</v>
      </c>
      <c r="AQ479" t="n">
        <v>0.25</v>
      </c>
      <c r="AR479" t="n">
        <v>0.25</v>
      </c>
      <c r="AS479" t="n">
        <v>0.316</v>
      </c>
      <c r="AT479" t="n">
        <v>0.667</v>
      </c>
      <c r="AU479" t="n">
        <v>13</v>
      </c>
      <c r="AV479" t="n">
        <v>0</v>
      </c>
      <c r="AW479" t="n">
        <v>1.41</v>
      </c>
      <c r="AX479" t="n">
        <v>5</v>
      </c>
      <c r="AZ479" t="n">
        <v>0.181</v>
      </c>
      <c r="BA479" t="n">
        <v>0.181</v>
      </c>
      <c r="BB479" t="n">
        <v>0.181</v>
      </c>
      <c r="BD479" t="n">
        <v>0.015</v>
      </c>
      <c r="BE479" t="n">
        <v>0.015</v>
      </c>
      <c r="BF479" t="n">
        <v>0.3</v>
      </c>
      <c r="BG479" t="n">
        <v>0.025</v>
      </c>
      <c r="BH479" t="n">
        <v>1.177</v>
      </c>
      <c r="BI479" t="n">
        <v>13.92</v>
      </c>
      <c r="BJ479" t="n">
        <v>0.282</v>
      </c>
      <c r="BK479" t="n">
        <v>0.023</v>
      </c>
      <c r="BP479" t="n">
        <v>5</v>
      </c>
      <c r="BQ479" t="n">
        <v>2</v>
      </c>
      <c r="BS479" t="n">
        <v>1</v>
      </c>
      <c r="BT479" t="n">
        <v>0.082</v>
      </c>
      <c r="BX479" t="n">
        <v>3.429</v>
      </c>
      <c r="BY479" t="n">
        <v>3.429</v>
      </c>
      <c r="BZ479" t="n">
        <v>0.282</v>
      </c>
      <c r="CA479" t="n">
        <v>3.611</v>
      </c>
      <c r="CB479" t="n">
        <v>0.296</v>
      </c>
      <c r="CC479" t="n">
        <v>23</v>
      </c>
      <c r="CD479" t="n">
        <v>8</v>
      </c>
      <c r="CE479" t="n">
        <v>23</v>
      </c>
      <c r="CF479" t="n">
        <v>28</v>
      </c>
      <c r="CH479" t="n">
        <v>52</v>
      </c>
      <c r="CI479" t="n">
        <v>3.572</v>
      </c>
      <c r="CJ479" t="n">
        <v>3.076</v>
      </c>
      <c r="CN479" t="n">
        <v>7</v>
      </c>
      <c r="CO479" t="n">
        <v>20</v>
      </c>
      <c r="CP479" t="n">
        <v>17</v>
      </c>
      <c r="CQ479" t="n">
        <v>7</v>
      </c>
      <c r="CR479" t="n">
        <v>41</v>
      </c>
      <c r="CS479" t="n">
        <v>10</v>
      </c>
      <c r="CU479" t="n">
        <v>2</v>
      </c>
      <c r="DH479" t="n">
        <v>8</v>
      </c>
      <c r="DI479" t="n">
        <v>13</v>
      </c>
      <c r="DL479" t="n">
        <v>2</v>
      </c>
      <c r="DM479" t="n">
        <v>4</v>
      </c>
      <c r="EF479" t="n">
        <v>219.2</v>
      </c>
      <c r="EG479" t="n">
        <v>1096</v>
      </c>
      <c r="EH479" t="n">
        <v>47.7</v>
      </c>
      <c r="EI479" t="n">
        <v>6053.8</v>
      </c>
      <c r="EJ479" t="n">
        <v>319.6</v>
      </c>
      <c r="EK479" t="n">
        <v>303.6</v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n">
        <v>4.5</v>
      </c>
      <c r="F480" t="b">
        <v>1</v>
      </c>
      <c r="G480" t="b">
        <v>0</v>
      </c>
      <c r="H480" t="n">
        <v>32.6</v>
      </c>
      <c r="I480" t="inlineStr">
        <is>
          <t>a</t>
        </is>
      </c>
      <c r="M480" t="n">
        <v>289</v>
      </c>
      <c r="DO480" t="n">
        <v>0.7</v>
      </c>
      <c r="DP480" t="n">
        <v>59.5</v>
      </c>
      <c r="DQ480" t="n">
        <v>30.66</v>
      </c>
      <c r="DR480" t="n">
        <v>61.32</v>
      </c>
      <c r="DS480" t="n">
        <v>-1.82</v>
      </c>
      <c r="DT480" t="n">
        <v>1545</v>
      </c>
      <c r="DU480" t="n">
        <v>40.65</v>
      </c>
      <c r="DV480" t="inlineStr">
        <is>
          <t>fade (losing his place)</t>
        </is>
      </c>
    </row>
    <row r="481">
      <c r="A481" t="inlineStr">
        <is>
          <t>Sam Johnstone</t>
        </is>
      </c>
      <c r="D481" t="inlineStr">
        <is>
          <t>GKP</t>
        </is>
      </c>
      <c r="F481" t="b">
        <v>0</v>
      </c>
      <c r="G481" t="b">
        <v>1</v>
      </c>
      <c r="L481" t="inlineStr">
        <is>
          <t>p101982</t>
        </is>
      </c>
      <c r="Q481" t="n">
        <v>1080</v>
      </c>
      <c r="R481" t="n">
        <v>12</v>
      </c>
      <c r="T481" t="n">
        <v>12</v>
      </c>
      <c r="U481" t="n">
        <v>90</v>
      </c>
      <c r="AD481" t="n">
        <v>0</v>
      </c>
      <c r="AE481" t="n">
        <v>0</v>
      </c>
      <c r="AG481" t="n">
        <v>112</v>
      </c>
      <c r="AH481" t="n">
        <v>-5</v>
      </c>
      <c r="AI481" t="n">
        <v>21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0.316</v>
      </c>
      <c r="AT481" t="n">
        <v>1</v>
      </c>
      <c r="AU481" t="n">
        <v>9</v>
      </c>
      <c r="AV481" t="n">
        <v>0</v>
      </c>
      <c r="AW481" t="n">
        <v>1.03</v>
      </c>
      <c r="AX481" t="n">
        <v>3</v>
      </c>
      <c r="AZ481" t="n">
        <v>0</v>
      </c>
      <c r="BA481" t="n">
        <v>0</v>
      </c>
      <c r="BB481" t="n">
        <v>0</v>
      </c>
      <c r="BD481" t="n">
        <v>0</v>
      </c>
      <c r="BE481" t="n">
        <v>0</v>
      </c>
      <c r="BH481" t="n">
        <v>1</v>
      </c>
      <c r="BI481" t="n">
        <v>0</v>
      </c>
      <c r="BJ481" t="n">
        <v>0</v>
      </c>
      <c r="BK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I481" t="n">
        <v>0.319</v>
      </c>
      <c r="CJ481" t="n">
        <v>0.319</v>
      </c>
      <c r="CN481" t="n">
        <v>1</v>
      </c>
      <c r="CP481" t="n">
        <v>24</v>
      </c>
      <c r="CR481" t="n">
        <v>5</v>
      </c>
      <c r="CS481" t="n">
        <v>3</v>
      </c>
      <c r="CU481" t="n">
        <v>1</v>
      </c>
      <c r="DC481" t="n">
        <v>10</v>
      </c>
      <c r="DD481" t="n">
        <v>14</v>
      </c>
      <c r="DI481" t="n">
        <v>0</v>
      </c>
    </row>
    <row r="482">
      <c r="A482" t="inlineStr">
        <is>
          <t>Raúl Jiménez</t>
        </is>
      </c>
      <c r="D482" t="inlineStr">
        <is>
          <t>FWD</t>
        </is>
      </c>
      <c r="F482" t="b">
        <v>0</v>
      </c>
      <c r="G482" t="b">
        <v>1</v>
      </c>
      <c r="L482" t="inlineStr">
        <is>
          <t>p102057</t>
        </is>
      </c>
      <c r="Q482" t="n">
        <v>2199</v>
      </c>
      <c r="R482" t="n">
        <v>36</v>
      </c>
      <c r="T482" t="n">
        <v>24.433</v>
      </c>
      <c r="U482" t="n">
        <v>61.1</v>
      </c>
      <c r="Z482" t="n">
        <v>3</v>
      </c>
      <c r="AD482" t="n">
        <v>8</v>
      </c>
      <c r="AE482" t="n">
        <v>1</v>
      </c>
      <c r="AG482" t="n">
        <v>398</v>
      </c>
      <c r="AH482" t="n">
        <v>-12</v>
      </c>
      <c r="AI482" t="n">
        <v>113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0.711</v>
      </c>
      <c r="AT482" t="n">
        <v>0.639</v>
      </c>
      <c r="AU482" t="n">
        <v>23</v>
      </c>
      <c r="AV482" t="n">
        <v>1</v>
      </c>
      <c r="AW482" t="n">
        <v>2.52</v>
      </c>
      <c r="AX482" t="n">
        <v>11</v>
      </c>
      <c r="AZ482" t="n">
        <v>12.017</v>
      </c>
      <c r="BA482" t="n">
        <v>12.017</v>
      </c>
      <c r="BB482" t="n">
        <v>8.972</v>
      </c>
      <c r="BD482" t="n">
        <v>0.492</v>
      </c>
      <c r="BE482" t="n">
        <v>0.492</v>
      </c>
      <c r="BF482" t="n">
        <v>10.6</v>
      </c>
      <c r="BG482" t="n">
        <v>0.434</v>
      </c>
      <c r="BH482" t="n">
        <v>0.93</v>
      </c>
      <c r="BI482" t="n">
        <v>31.47</v>
      </c>
      <c r="BJ482" t="n">
        <v>10.767</v>
      </c>
      <c r="BK482" t="n">
        <v>0.441</v>
      </c>
      <c r="BP482" t="n">
        <v>74</v>
      </c>
      <c r="BQ482" t="n">
        <v>19</v>
      </c>
      <c r="BR482" t="n">
        <v>9</v>
      </c>
      <c r="BS482" t="n">
        <v>106</v>
      </c>
      <c r="BT482" t="n">
        <v>4.338</v>
      </c>
      <c r="BU482" t="n">
        <v>4</v>
      </c>
      <c r="BV482" t="n">
        <v>4</v>
      </c>
      <c r="BX482" t="n">
        <v>1.944</v>
      </c>
      <c r="BY482" t="n">
        <v>1.944</v>
      </c>
      <c r="BZ482" t="n">
        <v>0.08</v>
      </c>
      <c r="CA482" t="n">
        <v>13.961</v>
      </c>
      <c r="CB482" t="n">
        <v>0.571</v>
      </c>
      <c r="CC482" t="n">
        <v>25</v>
      </c>
      <c r="CD482" t="n">
        <v>2</v>
      </c>
      <c r="CE482" t="n">
        <v>25</v>
      </c>
      <c r="CF482" t="n">
        <v>2</v>
      </c>
      <c r="CG482" t="n">
        <v>1</v>
      </c>
      <c r="CI482" t="n">
        <v>10.551</v>
      </c>
      <c r="CJ482" t="n">
        <v>1.558</v>
      </c>
      <c r="CN482" t="n">
        <v>21</v>
      </c>
      <c r="CO482" t="n">
        <v>8</v>
      </c>
      <c r="CP482" t="n">
        <v>30</v>
      </c>
      <c r="CQ482" t="n">
        <v>3</v>
      </c>
      <c r="CR482" t="n">
        <v>163</v>
      </c>
      <c r="CS482" t="n">
        <v>85</v>
      </c>
      <c r="CT482" t="n">
        <v>0.4</v>
      </c>
      <c r="CU482" t="n">
        <v>1</v>
      </c>
      <c r="DE482" t="n">
        <v>6.74</v>
      </c>
      <c r="DH482" t="n">
        <v>46</v>
      </c>
      <c r="DI482" t="n">
        <v>34</v>
      </c>
      <c r="DJ482" t="n">
        <v>2</v>
      </c>
      <c r="DL482" t="n">
        <v>10</v>
      </c>
      <c r="DM482" t="n">
        <v>28</v>
      </c>
      <c r="DN482" t="n">
        <v>19</v>
      </c>
      <c r="EF482" t="n">
        <v>29.7</v>
      </c>
      <c r="EG482" t="n">
        <v>20.7</v>
      </c>
      <c r="EH482" t="n">
        <v>88</v>
      </c>
      <c r="EI482" t="n">
        <v>183</v>
      </c>
      <c r="EJ482" t="n">
        <v>1131.1</v>
      </c>
      <c r="EK482" t="n">
        <v>157.5</v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n">
        <v>4.5</v>
      </c>
      <c r="F483" t="b">
        <v>1</v>
      </c>
      <c r="G483" t="b">
        <v>0</v>
      </c>
      <c r="H483" t="n">
        <v>33.4</v>
      </c>
      <c r="I483" t="inlineStr">
        <is>
          <t>i</t>
        </is>
      </c>
      <c r="J483" t="inlineStr">
        <is>
          <t>Arm injury - Unknown return date</t>
        </is>
      </c>
      <c r="K483" t="n">
        <v>0</v>
      </c>
      <c r="M483" t="n">
        <v>274</v>
      </c>
      <c r="DO483" t="n">
        <v>0.5</v>
      </c>
      <c r="DP483" t="n">
        <v>1.14</v>
      </c>
      <c r="DQ483" t="n">
        <v>0.44</v>
      </c>
      <c r="DR483" t="n">
        <v>0.88</v>
      </c>
      <c r="DS483" t="n">
        <v>0.26</v>
      </c>
      <c r="DT483" t="n">
        <v>35</v>
      </c>
      <c r="DU483" t="n">
        <v>0.91</v>
      </c>
      <c r="DV483" t="inlineStr">
        <is>
          <t>flat</t>
        </is>
      </c>
      <c r="DW483" t="n">
        <v>116.86</v>
      </c>
      <c r="DY483" t="n">
        <v>3.07</v>
      </c>
      <c r="DZ483" t="n">
        <v>108.36</v>
      </c>
      <c r="EA483" t="n">
        <v>120</v>
      </c>
      <c r="EB483" t="n">
        <v>13</v>
      </c>
      <c r="EC483" t="n">
        <v>6.2</v>
      </c>
      <c r="ED483" t="n">
        <v>13.3</v>
      </c>
      <c r="EE483" t="n">
        <v>489</v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n">
        <v>5</v>
      </c>
      <c r="F484" t="b">
        <v>1</v>
      </c>
      <c r="G484" t="b">
        <v>0</v>
      </c>
      <c r="H484" t="n">
        <v>34.3</v>
      </c>
      <c r="I484" t="inlineStr">
        <is>
          <t>a</t>
        </is>
      </c>
      <c r="M484" t="n">
        <v>587</v>
      </c>
      <c r="DO484" t="n">
        <v>0</v>
      </c>
      <c r="DP484" t="n">
        <v>0</v>
      </c>
      <c r="DQ484" t="n">
        <v>0</v>
      </c>
      <c r="DR484" t="n">
        <v>0</v>
      </c>
      <c r="DS484" t="n">
        <v>0</v>
      </c>
      <c r="DT484" t="n">
        <v>0</v>
      </c>
      <c r="DU484" t="n">
        <v>0</v>
      </c>
      <c r="DV484" t="inlineStr">
        <is>
          <t>flat</t>
        </is>
      </c>
    </row>
    <row r="485">
      <c r="A485" t="inlineStr">
        <is>
          <t>Angus Gunn</t>
        </is>
      </c>
      <c r="D485" t="inlineStr">
        <is>
          <t>GKP</t>
        </is>
      </c>
      <c r="F485" t="b">
        <v>0</v>
      </c>
      <c r="G485" t="b">
        <v>1</v>
      </c>
      <c r="L485" t="inlineStr">
        <is>
          <t>p107265</t>
        </is>
      </c>
      <c r="Q485" t="n">
        <v>45</v>
      </c>
      <c r="R485" t="n">
        <v>1</v>
      </c>
      <c r="T485" t="n">
        <v>0.5</v>
      </c>
      <c r="U485" t="n">
        <v>45</v>
      </c>
      <c r="AD485" t="n">
        <v>0</v>
      </c>
      <c r="AE485" t="n">
        <v>0</v>
      </c>
      <c r="AG485" t="n">
        <v>4</v>
      </c>
      <c r="AH485" t="n">
        <v>0</v>
      </c>
      <c r="AI485" t="n">
        <v>1</v>
      </c>
      <c r="AN485" t="n">
        <v>0</v>
      </c>
      <c r="AO485" t="n">
        <v>0</v>
      </c>
      <c r="AS485" t="n">
        <v>0</v>
      </c>
      <c r="AT485" t="n">
        <v>0</v>
      </c>
      <c r="AU485" t="n">
        <v>1</v>
      </c>
      <c r="AV485" t="n">
        <v>0</v>
      </c>
      <c r="AW485" t="n">
        <v>0.16</v>
      </c>
      <c r="AX485" t="n">
        <v>1</v>
      </c>
      <c r="AZ485" t="n">
        <v>0</v>
      </c>
      <c r="BA485" t="n">
        <v>0</v>
      </c>
      <c r="BB485" t="n">
        <v>0</v>
      </c>
      <c r="BD485" t="n">
        <v>0</v>
      </c>
      <c r="BE485" t="n">
        <v>0</v>
      </c>
      <c r="BH485" t="n">
        <v>1</v>
      </c>
      <c r="BI485" t="n">
        <v>0</v>
      </c>
      <c r="BJ485" t="n">
        <v>0</v>
      </c>
      <c r="BK485" t="n">
        <v>0</v>
      </c>
      <c r="BX485" t="n">
        <v>0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I485" t="n">
        <v>0.013</v>
      </c>
      <c r="CJ485" t="n">
        <v>0.013</v>
      </c>
      <c r="CP485" t="n">
        <v>1</v>
      </c>
      <c r="DC485" t="n">
        <v>1</v>
      </c>
      <c r="DD485" t="n">
        <v>1</v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n">
        <v>4</v>
      </c>
      <c r="F486" t="b">
        <v>1</v>
      </c>
      <c r="G486" t="b">
        <v>0</v>
      </c>
      <c r="H486" t="n">
        <v>33.8</v>
      </c>
      <c r="I486" t="inlineStr">
        <is>
          <t>a</t>
        </is>
      </c>
      <c r="M486" t="n">
        <v>277</v>
      </c>
      <c r="DO486" t="n">
        <v>1.7</v>
      </c>
      <c r="DP486" t="n">
        <v>111.19</v>
      </c>
      <c r="DQ486" t="n">
        <v>56.36</v>
      </c>
      <c r="DR486" t="n">
        <v>112.72</v>
      </c>
      <c r="DS486" t="n">
        <v>-1.53</v>
      </c>
      <c r="DT486" t="n">
        <v>3015</v>
      </c>
      <c r="DU486" t="n">
        <v>79.34999999999999</v>
      </c>
      <c r="DV486" t="inlineStr">
        <is>
          <t>flat</t>
        </is>
      </c>
      <c r="DW486" t="n">
        <v>96.18000000000001</v>
      </c>
      <c r="DY486" t="n">
        <v>20.76</v>
      </c>
      <c r="DZ486" t="n">
        <v>81.5</v>
      </c>
      <c r="EA486" t="n">
        <v>110.86</v>
      </c>
      <c r="EB486" t="n">
        <v>2</v>
      </c>
      <c r="EC486" t="n">
        <v>1</v>
      </c>
      <c r="ED486" t="n">
        <v>33.3</v>
      </c>
      <c r="EE486" t="n">
        <v>554</v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n">
        <v>4.5</v>
      </c>
      <c r="F487" t="b">
        <v>1</v>
      </c>
      <c r="G487" t="b">
        <v>0</v>
      </c>
      <c r="H487" t="n">
        <v>30.8</v>
      </c>
      <c r="I487" t="inlineStr">
        <is>
          <t>a</t>
        </is>
      </c>
      <c r="M487" t="n">
        <v>300</v>
      </c>
      <c r="DO487" t="n">
        <v>0.6</v>
      </c>
      <c r="DP487" t="n">
        <v>1.38</v>
      </c>
      <c r="DQ487" t="n">
        <v>0.6899999999999999</v>
      </c>
      <c r="DR487" t="n">
        <v>1.38</v>
      </c>
      <c r="DS487" t="n">
        <v>0</v>
      </c>
      <c r="DT487" t="n">
        <v>35</v>
      </c>
      <c r="DU487" t="n">
        <v>0.92</v>
      </c>
      <c r="DV487" t="inlineStr">
        <is>
          <t>flat</t>
        </is>
      </c>
      <c r="DW487" t="n">
        <v>116</v>
      </c>
      <c r="DX487" t="n">
        <v>115.5</v>
      </c>
      <c r="DY487" t="n">
        <v>2.58</v>
      </c>
      <c r="DZ487" t="n">
        <v>112.5</v>
      </c>
      <c r="EA487" t="n">
        <v>120</v>
      </c>
      <c r="EB487" t="n">
        <v>12</v>
      </c>
      <c r="EC487" t="n">
        <v>5.8</v>
      </c>
      <c r="ED487" t="n">
        <v>0</v>
      </c>
      <c r="EE487" t="n">
        <v>498</v>
      </c>
    </row>
    <row r="488">
      <c r="A488" t="inlineStr">
        <is>
          <t>Solly March</t>
        </is>
      </c>
      <c r="D488" t="inlineStr">
        <is>
          <t>MID</t>
        </is>
      </c>
      <c r="F488" t="b">
        <v>0</v>
      </c>
      <c r="G488" t="b">
        <v>1</v>
      </c>
      <c r="L488" t="inlineStr">
        <is>
          <t>p109345</t>
        </is>
      </c>
      <c r="Q488" t="n">
        <v>38</v>
      </c>
      <c r="R488" t="n">
        <v>4</v>
      </c>
      <c r="T488" t="n">
        <v>0.422</v>
      </c>
      <c r="U488" t="n">
        <v>9.5</v>
      </c>
      <c r="AD488" t="n">
        <v>0</v>
      </c>
      <c r="AE488" t="n">
        <v>0</v>
      </c>
      <c r="AG488" t="n">
        <v>18</v>
      </c>
      <c r="AH488" t="n">
        <v>0</v>
      </c>
      <c r="AI488" t="n">
        <v>4</v>
      </c>
      <c r="AN488" t="n">
        <v>0</v>
      </c>
      <c r="AO488" t="n">
        <v>0</v>
      </c>
      <c r="AS488" t="n">
        <v>0</v>
      </c>
      <c r="AT488" t="n">
        <v>0</v>
      </c>
      <c r="AU488" t="n">
        <v>4</v>
      </c>
      <c r="AV488" t="n">
        <v>0</v>
      </c>
      <c r="AW488" t="n">
        <v>0.31</v>
      </c>
      <c r="AX488" t="n">
        <v>1</v>
      </c>
      <c r="AZ488" t="n">
        <v>0.056</v>
      </c>
      <c r="BA488" t="n">
        <v>0.056</v>
      </c>
      <c r="BB488" t="n">
        <v>0.056</v>
      </c>
      <c r="BD488" t="n">
        <v>0.134</v>
      </c>
      <c r="BE488" t="n">
        <v>0.134</v>
      </c>
      <c r="BF488" t="n">
        <v>0</v>
      </c>
      <c r="BG488" t="n">
        <v>0</v>
      </c>
      <c r="BH488" t="n">
        <v>1.131</v>
      </c>
      <c r="BI488" t="n">
        <v>9.24</v>
      </c>
      <c r="BJ488" t="n">
        <v>0.045</v>
      </c>
      <c r="BK488" t="n">
        <v>0.107</v>
      </c>
      <c r="BP488" t="n">
        <v>1</v>
      </c>
      <c r="BQ488" t="n">
        <v>1</v>
      </c>
      <c r="BS488" t="n">
        <v>4</v>
      </c>
      <c r="BT488" t="n">
        <v>9.474</v>
      </c>
      <c r="BX488" t="n">
        <v>0</v>
      </c>
      <c r="BY488" t="n">
        <v>0</v>
      </c>
      <c r="BZ488" t="n">
        <v>0</v>
      </c>
      <c r="CA488" t="n">
        <v>0.056</v>
      </c>
      <c r="CB488" t="n">
        <v>0.134</v>
      </c>
      <c r="CC488" t="n">
        <v>0</v>
      </c>
      <c r="CI488" t="n">
        <v>0.144</v>
      </c>
      <c r="CJ488" t="n">
        <v>0.08699999999999999</v>
      </c>
      <c r="CN488" t="n">
        <v>2</v>
      </c>
      <c r="CR488" t="n">
        <v>3</v>
      </c>
      <c r="DI488" t="n">
        <v>1</v>
      </c>
      <c r="DM488" t="n">
        <v>2</v>
      </c>
      <c r="EF488" t="n">
        <v>38</v>
      </c>
      <c r="EG488" t="n">
        <v>9.5</v>
      </c>
      <c r="EI488" t="n">
        <v>672.6</v>
      </c>
      <c r="EK488" t="n">
        <v>672.6</v>
      </c>
    </row>
    <row r="489">
      <c r="A489" t="inlineStr">
        <is>
          <t>Bertrand Traoré</t>
        </is>
      </c>
      <c r="D489" t="inlineStr">
        <is>
          <t>MID</t>
        </is>
      </c>
      <c r="F489" t="b">
        <v>0</v>
      </c>
      <c r="G489" t="b">
        <v>1</v>
      </c>
      <c r="L489" t="inlineStr">
        <is>
          <t>p110504</t>
        </is>
      </c>
      <c r="Q489" t="n">
        <v>638</v>
      </c>
      <c r="R489" t="n">
        <v>12</v>
      </c>
      <c r="T489" t="n">
        <v>7.089</v>
      </c>
      <c r="U489" t="n">
        <v>53.2</v>
      </c>
      <c r="AD489" t="n">
        <v>1</v>
      </c>
      <c r="AE489" t="n">
        <v>0</v>
      </c>
      <c r="AG489" t="n">
        <v>116</v>
      </c>
      <c r="AH489" t="n">
        <v>-2</v>
      </c>
      <c r="AI489" t="n">
        <v>30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0.237</v>
      </c>
      <c r="AT489" t="n">
        <v>0.583</v>
      </c>
      <c r="AU489" t="n">
        <v>7</v>
      </c>
      <c r="AV489" t="n">
        <v>0</v>
      </c>
      <c r="AW489" t="n">
        <v>1.73</v>
      </c>
      <c r="AX489" t="n">
        <v>8</v>
      </c>
      <c r="AZ489" t="n">
        <v>0.625</v>
      </c>
      <c r="BA489" t="n">
        <v>0.625</v>
      </c>
      <c r="BB489" t="n">
        <v>0.625</v>
      </c>
      <c r="BD489" t="n">
        <v>0.08799999999999999</v>
      </c>
      <c r="BE489" t="n">
        <v>0.08799999999999999</v>
      </c>
      <c r="BF489" t="n">
        <v>1.5</v>
      </c>
      <c r="BG489" t="n">
        <v>0.212</v>
      </c>
      <c r="BH489" t="n">
        <v>1.203</v>
      </c>
      <c r="BI489" t="n">
        <v>1.23</v>
      </c>
      <c r="BJ489" t="n">
        <v>0.577</v>
      </c>
      <c r="BK489" t="n">
        <v>0.081</v>
      </c>
      <c r="BP489" t="n">
        <v>13</v>
      </c>
      <c r="BQ489" t="n">
        <v>6</v>
      </c>
      <c r="BS489" t="n">
        <v>23</v>
      </c>
      <c r="BT489" t="n">
        <v>3.245</v>
      </c>
      <c r="BX489" t="n">
        <v>0.989</v>
      </c>
      <c r="BY489" t="n">
        <v>0.989</v>
      </c>
      <c r="BZ489" t="n">
        <v>0.139</v>
      </c>
      <c r="CA489" t="n">
        <v>1.614</v>
      </c>
      <c r="CB489" t="n">
        <v>0.228</v>
      </c>
      <c r="CC489" t="n">
        <v>8</v>
      </c>
      <c r="CD489" t="n">
        <v>2</v>
      </c>
      <c r="CE489" t="n">
        <v>8</v>
      </c>
      <c r="CF489" t="n">
        <v>1</v>
      </c>
      <c r="CH489" t="n">
        <v>0</v>
      </c>
      <c r="CI489" t="n">
        <v>2.017</v>
      </c>
      <c r="CJ489" t="n">
        <v>1.23</v>
      </c>
      <c r="CN489" t="n">
        <v>4</v>
      </c>
      <c r="CO489" t="n">
        <v>2</v>
      </c>
      <c r="CP489" t="n">
        <v>6</v>
      </c>
      <c r="CQ489" t="n">
        <v>3</v>
      </c>
      <c r="CR489" t="n">
        <v>42</v>
      </c>
      <c r="CS489" t="n">
        <v>6</v>
      </c>
      <c r="DH489" t="n">
        <v>11</v>
      </c>
      <c r="DI489" t="n">
        <v>11</v>
      </c>
      <c r="DL489" t="n">
        <v>14</v>
      </c>
      <c r="DM489" t="n">
        <v>9</v>
      </c>
      <c r="DN489" t="n">
        <v>1</v>
      </c>
      <c r="EF489" t="n">
        <v>49.1</v>
      </c>
      <c r="EG489" t="n">
        <v>27.7</v>
      </c>
      <c r="EH489" t="n">
        <v>79.8</v>
      </c>
      <c r="EI489" t="n">
        <v>1021.1</v>
      </c>
      <c r="EJ489" t="n">
        <v>645.2</v>
      </c>
      <c r="EK489" t="n">
        <v>395.4</v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n">
        <v>4.5</v>
      </c>
      <c r="F490" t="b">
        <v>1</v>
      </c>
      <c r="G490" t="b">
        <v>0</v>
      </c>
      <c r="H490" t="n">
        <v>34</v>
      </c>
      <c r="I490" t="inlineStr">
        <is>
          <t>a</t>
        </is>
      </c>
      <c r="M490" t="n">
        <v>172</v>
      </c>
      <c r="DO490" t="n">
        <v>0.6</v>
      </c>
      <c r="DP490" t="n">
        <v>1.38</v>
      </c>
      <c r="DQ490" t="n">
        <v>0.6899999999999999</v>
      </c>
      <c r="DR490" t="n">
        <v>1.38</v>
      </c>
      <c r="DS490" t="n">
        <v>0</v>
      </c>
      <c r="DT490" t="n">
        <v>35</v>
      </c>
      <c r="DU490" t="n">
        <v>0.91</v>
      </c>
      <c r="DV490" t="inlineStr">
        <is>
          <t>flat</t>
        </is>
      </c>
      <c r="DW490" t="n">
        <v>113.81</v>
      </c>
      <c r="DY490" t="n">
        <v>6.22</v>
      </c>
      <c r="DZ490" t="n">
        <v>104.67</v>
      </c>
      <c r="EA490" t="n">
        <v>118.5</v>
      </c>
      <c r="EB490" t="n">
        <v>4</v>
      </c>
      <c r="EC490" t="n">
        <v>1.9</v>
      </c>
      <c r="ED490" t="n">
        <v>20</v>
      </c>
      <c r="EE490" t="n">
        <v>482</v>
      </c>
    </row>
    <row r="491">
      <c r="A491" t="inlineStr">
        <is>
          <t>Joël Veltman</t>
        </is>
      </c>
      <c r="D491" t="inlineStr">
        <is>
          <t>DEF</t>
        </is>
      </c>
      <c r="F491" t="b">
        <v>0</v>
      </c>
      <c r="G491" t="b">
        <v>1</v>
      </c>
      <c r="L491" t="inlineStr">
        <is>
          <t>p111478</t>
        </is>
      </c>
      <c r="Q491" t="n">
        <v>1050</v>
      </c>
      <c r="R491" t="n">
        <v>24</v>
      </c>
      <c r="T491" t="n">
        <v>11.667</v>
      </c>
      <c r="U491" t="n">
        <v>43.8</v>
      </c>
      <c r="AD491" t="n">
        <v>0</v>
      </c>
      <c r="AE491" t="n">
        <v>-1</v>
      </c>
      <c r="AG491" t="n">
        <v>162</v>
      </c>
      <c r="AH491" t="n">
        <v>-14</v>
      </c>
      <c r="AI491" t="n">
        <v>45</v>
      </c>
      <c r="AN491" t="n">
        <v>3</v>
      </c>
      <c r="AO491" t="n">
        <v>6</v>
      </c>
      <c r="AP491" t="n">
        <v>0.333</v>
      </c>
      <c r="AQ491" t="n">
        <v>0.333</v>
      </c>
      <c r="AR491" t="n">
        <v>0.111</v>
      </c>
      <c r="AS491" t="n">
        <v>0.237</v>
      </c>
      <c r="AT491" t="n">
        <v>0.375</v>
      </c>
      <c r="AU491" t="n">
        <v>19</v>
      </c>
      <c r="AV491" t="n">
        <v>1</v>
      </c>
      <c r="AW491" t="n">
        <v>2.04</v>
      </c>
      <c r="AX491" t="n">
        <v>10</v>
      </c>
      <c r="AZ491" t="n">
        <v>1.064</v>
      </c>
      <c r="BA491" t="n">
        <v>1.064</v>
      </c>
      <c r="BB491" t="n">
        <v>1.064</v>
      </c>
      <c r="BD491" t="n">
        <v>0.091</v>
      </c>
      <c r="BE491" t="n">
        <v>0.091</v>
      </c>
      <c r="BF491" t="n">
        <v>1</v>
      </c>
      <c r="BG491" t="n">
        <v>0.08599999999999999</v>
      </c>
      <c r="BH491" t="n">
        <v>0.975</v>
      </c>
      <c r="BI491" t="n">
        <v>3.8</v>
      </c>
      <c r="BJ491" t="n">
        <v>1.121</v>
      </c>
      <c r="BK491" t="n">
        <v>0.096</v>
      </c>
      <c r="BP491" t="n">
        <v>4</v>
      </c>
      <c r="BQ491" t="n">
        <v>1</v>
      </c>
      <c r="BS491" t="n">
        <v>13</v>
      </c>
      <c r="BT491" t="n">
        <v>1.114</v>
      </c>
      <c r="BX491" t="n">
        <v>0.252</v>
      </c>
      <c r="BY491" t="n">
        <v>0.252</v>
      </c>
      <c r="BZ491" t="n">
        <v>0.022</v>
      </c>
      <c r="CA491" t="n">
        <v>1.316</v>
      </c>
      <c r="CB491" t="n">
        <v>0.113</v>
      </c>
      <c r="CC491" t="n">
        <v>4</v>
      </c>
      <c r="CE491" t="n">
        <v>4</v>
      </c>
      <c r="CF491" t="n">
        <v>2</v>
      </c>
      <c r="CI491" t="n">
        <v>2.464</v>
      </c>
      <c r="CJ491" t="n">
        <v>2.322</v>
      </c>
      <c r="CN491" t="n">
        <v>17</v>
      </c>
      <c r="CO491" t="n">
        <v>18</v>
      </c>
      <c r="CP491" t="n">
        <v>44</v>
      </c>
      <c r="CQ491" t="n">
        <v>6</v>
      </c>
      <c r="CR491" t="n">
        <v>75</v>
      </c>
      <c r="CS491" t="n">
        <v>20</v>
      </c>
      <c r="CT491" t="n">
        <v>0.3</v>
      </c>
      <c r="DE491" t="n">
        <v>6.81</v>
      </c>
      <c r="DH491" t="n">
        <v>10</v>
      </c>
      <c r="DI491" t="n">
        <v>22</v>
      </c>
      <c r="DL491" t="n">
        <v>2</v>
      </c>
      <c r="DM491" t="n">
        <v>2</v>
      </c>
      <c r="DN491" t="n">
        <v>2</v>
      </c>
      <c r="EF491" t="n">
        <v>262.5</v>
      </c>
      <c r="EG491" t="n">
        <v>80.8</v>
      </c>
      <c r="EH491" t="n">
        <v>262.5</v>
      </c>
      <c r="EI491" t="n">
        <v>986.6</v>
      </c>
      <c r="EJ491" t="n">
        <v>4166.4</v>
      </c>
      <c r="EK491" t="n">
        <v>797.7</v>
      </c>
    </row>
    <row r="492">
      <c r="A492" t="inlineStr">
        <is>
          <t>Emil Krafth</t>
        </is>
      </c>
      <c r="D492" t="inlineStr">
        <is>
          <t>DEF</t>
        </is>
      </c>
      <c r="F492" t="b">
        <v>0</v>
      </c>
      <c r="G492" t="b">
        <v>1</v>
      </c>
      <c r="L492" t="inlineStr">
        <is>
          <t>p111773</t>
        </is>
      </c>
      <c r="Q492" t="n">
        <v>45</v>
      </c>
      <c r="R492" t="n">
        <v>1</v>
      </c>
      <c r="T492" t="n">
        <v>0.5</v>
      </c>
      <c r="U492" t="n">
        <v>45</v>
      </c>
      <c r="AD492" t="n">
        <v>0</v>
      </c>
      <c r="AE492" t="n">
        <v>0</v>
      </c>
      <c r="AG492" t="n">
        <v>-8</v>
      </c>
      <c r="AH492" t="n">
        <v>0</v>
      </c>
      <c r="AI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0.026</v>
      </c>
      <c r="AT492" t="n">
        <v>0</v>
      </c>
      <c r="AU492" t="n">
        <v>1</v>
      </c>
      <c r="AV492" t="n">
        <v>0</v>
      </c>
      <c r="AW492" t="n">
        <v>0</v>
      </c>
      <c r="AX492" t="n">
        <v>0</v>
      </c>
      <c r="AZ492" t="n">
        <v>0</v>
      </c>
      <c r="BA492" t="n">
        <v>0</v>
      </c>
      <c r="BB492" t="n">
        <v>0</v>
      </c>
      <c r="BD492" t="n">
        <v>0</v>
      </c>
      <c r="BE492" t="n">
        <v>0</v>
      </c>
      <c r="BH492" t="n">
        <v>0.971</v>
      </c>
      <c r="BI492" t="n">
        <v>0.24</v>
      </c>
      <c r="BJ492" t="n">
        <v>0</v>
      </c>
      <c r="BK492" t="n">
        <v>0</v>
      </c>
      <c r="BX492" t="n">
        <v>0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I492" t="n">
        <v>0.021</v>
      </c>
      <c r="CJ492" t="n">
        <v>0.021</v>
      </c>
      <c r="CP492" t="n">
        <v>1</v>
      </c>
      <c r="DH492" t="n">
        <v>1</v>
      </c>
      <c r="DM492" t="n">
        <v>1</v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n">
        <v>4</v>
      </c>
      <c r="F493" t="b">
        <v>1</v>
      </c>
      <c r="G493" t="b">
        <v>0</v>
      </c>
      <c r="H493" t="n">
        <v>30</v>
      </c>
      <c r="I493" t="inlineStr">
        <is>
          <t>a</t>
        </is>
      </c>
      <c r="M493" t="n">
        <v>301</v>
      </c>
      <c r="DO493" t="n">
        <v>5.7</v>
      </c>
      <c r="DP493" t="n">
        <v>1</v>
      </c>
      <c r="DQ493" t="n">
        <v>0.5</v>
      </c>
      <c r="DR493" t="n">
        <v>1</v>
      </c>
      <c r="DS493" t="n">
        <v>0</v>
      </c>
      <c r="DT493" t="n">
        <v>34</v>
      </c>
      <c r="DU493" t="n">
        <v>0.9</v>
      </c>
      <c r="DV493" t="inlineStr">
        <is>
          <t>flat</t>
        </is>
      </c>
      <c r="DW493" t="n">
        <v>116.3</v>
      </c>
      <c r="DY493" t="n">
        <v>3.9</v>
      </c>
      <c r="DZ493" t="n">
        <v>112.73</v>
      </c>
      <c r="EA493" t="n">
        <v>120</v>
      </c>
      <c r="EB493" t="n">
        <v>4</v>
      </c>
      <c r="EC493" t="n">
        <v>1.9</v>
      </c>
      <c r="ED493" t="n">
        <v>33.3</v>
      </c>
      <c r="EE493" t="n">
        <v>563</v>
      </c>
    </row>
    <row r="494">
      <c r="A494" t="inlineStr">
        <is>
          <t>Sam Byram</t>
        </is>
      </c>
      <c r="D494" t="inlineStr">
        <is>
          <t>DEF</t>
        </is>
      </c>
      <c r="F494" t="b">
        <v>0</v>
      </c>
      <c r="G494" t="b">
        <v>1</v>
      </c>
      <c r="L494" t="inlineStr">
        <is>
          <t>p113564</t>
        </is>
      </c>
      <c r="Q494" t="n">
        <v>8</v>
      </c>
      <c r="R494" t="n">
        <v>2</v>
      </c>
      <c r="T494" t="n">
        <v>0.089</v>
      </c>
      <c r="U494" t="n">
        <v>4</v>
      </c>
      <c r="AD494" t="n">
        <v>0</v>
      </c>
      <c r="AE494" t="n">
        <v>0</v>
      </c>
      <c r="AG494" t="n">
        <v>0</v>
      </c>
      <c r="AH494" t="n">
        <v>-1</v>
      </c>
      <c r="AI494" t="n">
        <v>2</v>
      </c>
      <c r="AN494" t="n">
        <v>0</v>
      </c>
      <c r="AO494" t="n">
        <v>0</v>
      </c>
      <c r="AS494" t="n">
        <v>0</v>
      </c>
      <c r="AT494" t="n">
        <v>0</v>
      </c>
      <c r="AU494" t="n">
        <v>2</v>
      </c>
      <c r="AV494" t="n">
        <v>0</v>
      </c>
      <c r="AW494" t="n">
        <v>0.23</v>
      </c>
      <c r="AX494" t="n">
        <v>1</v>
      </c>
      <c r="AZ494" t="n">
        <v>0</v>
      </c>
      <c r="BA494" t="n">
        <v>0</v>
      </c>
      <c r="BB494" t="n">
        <v>0</v>
      </c>
      <c r="BD494" t="n">
        <v>0</v>
      </c>
      <c r="BE494" t="n">
        <v>0</v>
      </c>
      <c r="BH494" t="n">
        <v>1</v>
      </c>
      <c r="BI494" t="n">
        <v>0</v>
      </c>
      <c r="BJ494" t="n">
        <v>0</v>
      </c>
      <c r="BK494" t="n">
        <v>0</v>
      </c>
      <c r="BX494" t="n">
        <v>0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I494" t="n">
        <v>0</v>
      </c>
      <c r="CJ494" t="n">
        <v>0</v>
      </c>
      <c r="CN494" t="n">
        <v>0</v>
      </c>
      <c r="CP494" t="n">
        <v>2</v>
      </c>
      <c r="CR494" t="n">
        <v>1</v>
      </c>
      <c r="DH494" t="n">
        <v>1</v>
      </c>
      <c r="DN494" t="n">
        <v>1</v>
      </c>
    </row>
    <row r="495">
      <c r="A495" t="inlineStr">
        <is>
          <t>Leandro Trossard</t>
        </is>
      </c>
      <c r="D495" t="inlineStr">
        <is>
          <t>MID</t>
        </is>
      </c>
      <c r="F495" t="b">
        <v>0</v>
      </c>
      <c r="G495" t="b">
        <v>1</v>
      </c>
      <c r="L495" t="inlineStr">
        <is>
          <t>p116216</t>
        </is>
      </c>
      <c r="Q495" t="n">
        <v>2006</v>
      </c>
      <c r="R495" t="n">
        <v>31</v>
      </c>
      <c r="T495" t="n">
        <v>22.289</v>
      </c>
      <c r="U495" t="n">
        <v>64.7</v>
      </c>
      <c r="Z495" t="n">
        <v>6</v>
      </c>
      <c r="AD495" t="n">
        <v>11</v>
      </c>
      <c r="AE495" t="n">
        <v>0</v>
      </c>
      <c r="AG495" t="n">
        <v>439</v>
      </c>
      <c r="AH495" t="n">
        <v>-6</v>
      </c>
      <c r="AI495" t="n">
        <v>119</v>
      </c>
      <c r="AN495" t="n">
        <v>0</v>
      </c>
      <c r="AO495" t="n">
        <v>0</v>
      </c>
      <c r="AP495" t="n">
        <v>0</v>
      </c>
      <c r="AQ495" t="n">
        <v>0</v>
      </c>
      <c r="AR495" t="n">
        <v>0</v>
      </c>
      <c r="AS495" t="n">
        <v>0.553</v>
      </c>
      <c r="AT495" t="n">
        <v>0.645</v>
      </c>
      <c r="AU495" t="n">
        <v>16</v>
      </c>
      <c r="AV495" t="n">
        <v>3</v>
      </c>
      <c r="AW495" t="n">
        <v>3.45</v>
      </c>
      <c r="AX495" t="n">
        <v>13</v>
      </c>
      <c r="AZ495" t="n">
        <v>6.753</v>
      </c>
      <c r="BA495" t="n">
        <v>6.753</v>
      </c>
      <c r="BB495" t="n">
        <v>6.753</v>
      </c>
      <c r="BD495" t="n">
        <v>0.303</v>
      </c>
      <c r="BE495" t="n">
        <v>0.303</v>
      </c>
      <c r="BF495" t="n">
        <v>5.2</v>
      </c>
      <c r="BG495" t="n">
        <v>0.233</v>
      </c>
      <c r="BH495" t="n">
        <v>1.017</v>
      </c>
      <c r="BI495" t="n">
        <v>27</v>
      </c>
      <c r="BJ495" t="n">
        <v>5.696</v>
      </c>
      <c r="BK495" t="n">
        <v>0.256</v>
      </c>
      <c r="BP495" t="n">
        <v>53</v>
      </c>
      <c r="BQ495" t="n">
        <v>15</v>
      </c>
      <c r="BR495" t="n">
        <v>8</v>
      </c>
      <c r="BS495" t="n">
        <v>114</v>
      </c>
      <c r="BT495" t="n">
        <v>5.115</v>
      </c>
      <c r="BX495" t="n">
        <v>4.988</v>
      </c>
      <c r="BY495" t="n">
        <v>4.988</v>
      </c>
      <c r="BZ495" t="n">
        <v>0.224</v>
      </c>
      <c r="CA495" t="n">
        <v>11.741</v>
      </c>
      <c r="CB495" t="n">
        <v>0.527</v>
      </c>
      <c r="CC495" t="n">
        <v>36</v>
      </c>
      <c r="CD495" t="n">
        <v>8</v>
      </c>
      <c r="CE495" t="n">
        <v>36</v>
      </c>
      <c r="CF495" t="n">
        <v>14</v>
      </c>
      <c r="CG495" t="n">
        <v>6</v>
      </c>
      <c r="CH495" t="n">
        <v>4</v>
      </c>
      <c r="CI495" t="n">
        <v>13.573</v>
      </c>
      <c r="CJ495" t="n">
        <v>4.961</v>
      </c>
      <c r="CN495" t="n">
        <v>17</v>
      </c>
      <c r="CO495" t="n">
        <v>9</v>
      </c>
      <c r="CP495" t="n">
        <v>14</v>
      </c>
      <c r="CQ495" t="n">
        <v>3</v>
      </c>
      <c r="CR495" t="n">
        <v>96</v>
      </c>
      <c r="CS495" t="n">
        <v>6</v>
      </c>
      <c r="CT495" t="n">
        <v>0.4</v>
      </c>
      <c r="CV495" t="n">
        <v>1</v>
      </c>
      <c r="DE495" t="n">
        <v>7.12</v>
      </c>
      <c r="DH495" t="n">
        <v>13</v>
      </c>
      <c r="DI495" t="n">
        <v>39</v>
      </c>
      <c r="DL495" t="n">
        <v>25</v>
      </c>
      <c r="DM495" t="n">
        <v>39</v>
      </c>
      <c r="DN495" t="n">
        <v>5</v>
      </c>
      <c r="EF495" t="n">
        <v>37.8</v>
      </c>
      <c r="EG495" t="n">
        <v>17.6</v>
      </c>
      <c r="EH495" t="n">
        <v>55.7</v>
      </c>
      <c r="EI495" t="n">
        <v>297</v>
      </c>
      <c r="EJ495" t="n">
        <v>402.2</v>
      </c>
      <c r="EK495" t="n">
        <v>170.9</v>
      </c>
    </row>
    <row r="496">
      <c r="A496" t="inlineStr">
        <is>
          <t>Mohamed Salah</t>
        </is>
      </c>
      <c r="D496" t="inlineStr">
        <is>
          <t>MID</t>
        </is>
      </c>
      <c r="F496" t="b">
        <v>0</v>
      </c>
      <c r="G496" t="b">
        <v>1</v>
      </c>
      <c r="L496" t="inlineStr">
        <is>
          <t>p118748</t>
        </is>
      </c>
      <c r="Q496" t="n">
        <v>2148</v>
      </c>
      <c r="R496" t="n">
        <v>27</v>
      </c>
      <c r="T496" t="n">
        <v>23.867</v>
      </c>
      <c r="U496" t="n">
        <v>79.59999999999999</v>
      </c>
      <c r="Z496" t="n">
        <v>7</v>
      </c>
      <c r="AD496" t="n">
        <v>13</v>
      </c>
      <c r="AE496" t="n">
        <v>2</v>
      </c>
      <c r="AG496" t="n">
        <v>390</v>
      </c>
      <c r="AH496" t="n">
        <v>-2</v>
      </c>
      <c r="AI496" t="n">
        <v>125</v>
      </c>
      <c r="AN496" t="n">
        <v>0</v>
      </c>
      <c r="AO496" t="n">
        <v>0</v>
      </c>
      <c r="AP496" t="n">
        <v>0</v>
      </c>
      <c r="AQ496" t="n">
        <v>0.043</v>
      </c>
      <c r="AR496" t="n">
        <v>0</v>
      </c>
      <c r="AS496" t="n">
        <v>0.605</v>
      </c>
      <c r="AT496" t="n">
        <v>0.852</v>
      </c>
      <c r="AU496" t="n">
        <v>11</v>
      </c>
      <c r="AV496" t="n">
        <v>2</v>
      </c>
      <c r="AW496" t="n">
        <v>3.28</v>
      </c>
      <c r="AX496" t="n">
        <v>10</v>
      </c>
      <c r="AZ496" t="n">
        <v>8.837999999999999</v>
      </c>
      <c r="BA496" t="n">
        <v>8.837999999999999</v>
      </c>
      <c r="BB496" t="n">
        <v>8.077</v>
      </c>
      <c r="BD496" t="n">
        <v>0.37</v>
      </c>
      <c r="BE496" t="n">
        <v>0.37</v>
      </c>
      <c r="BF496" t="n">
        <v>7.2</v>
      </c>
      <c r="BG496" t="n">
        <v>0.302</v>
      </c>
      <c r="BH496" t="n">
        <v>0.968</v>
      </c>
      <c r="BI496" t="n">
        <v>74.83</v>
      </c>
      <c r="BJ496" t="n">
        <v>7.969</v>
      </c>
      <c r="BK496" t="n">
        <v>0.334</v>
      </c>
      <c r="BP496" t="n">
        <v>68</v>
      </c>
      <c r="BQ496" t="n">
        <v>19</v>
      </c>
      <c r="BR496" t="n">
        <v>11</v>
      </c>
      <c r="BS496" t="n">
        <v>187</v>
      </c>
      <c r="BT496" t="n">
        <v>7.835</v>
      </c>
      <c r="BU496" t="n">
        <v>1</v>
      </c>
      <c r="BX496" t="n">
        <v>6.428</v>
      </c>
      <c r="BY496" t="n">
        <v>6.428</v>
      </c>
      <c r="BZ496" t="n">
        <v>0.269</v>
      </c>
      <c r="CA496" t="n">
        <v>15.266</v>
      </c>
      <c r="CB496" t="n">
        <v>0.64</v>
      </c>
      <c r="CC496" t="n">
        <v>49</v>
      </c>
      <c r="CD496" t="n">
        <v>11</v>
      </c>
      <c r="CE496" t="n">
        <v>49</v>
      </c>
      <c r="CF496" t="n">
        <v>20</v>
      </c>
      <c r="CG496" t="n">
        <v>2</v>
      </c>
      <c r="CH496" t="n">
        <v>58</v>
      </c>
      <c r="CI496" t="n">
        <v>17.373</v>
      </c>
      <c r="CJ496" t="n">
        <v>6.298</v>
      </c>
      <c r="CN496" t="n">
        <v>12</v>
      </c>
      <c r="CO496" t="n">
        <v>4</v>
      </c>
      <c r="CP496" t="n">
        <v>7</v>
      </c>
      <c r="CQ496" t="n">
        <v>1</v>
      </c>
      <c r="CR496" t="n">
        <v>60</v>
      </c>
      <c r="CS496" t="n">
        <v>8</v>
      </c>
      <c r="CT496" t="n">
        <v>0.9</v>
      </c>
      <c r="CV496" t="n">
        <v>0</v>
      </c>
      <c r="DE496" t="n">
        <v>7.07</v>
      </c>
      <c r="DH496" t="n">
        <v>10</v>
      </c>
      <c r="DI496" t="n">
        <v>16</v>
      </c>
      <c r="DJ496" t="n">
        <v>0</v>
      </c>
      <c r="DL496" t="n">
        <v>19</v>
      </c>
      <c r="DM496" t="n">
        <v>50</v>
      </c>
      <c r="DN496" t="n">
        <v>14</v>
      </c>
      <c r="EF496" t="n">
        <v>31.6</v>
      </c>
      <c r="EG496" t="n">
        <v>11.5</v>
      </c>
      <c r="EH496" t="n">
        <v>43.8</v>
      </c>
      <c r="EI496" t="n">
        <v>243.1</v>
      </c>
      <c r="EJ496" t="n">
        <v>334.2</v>
      </c>
      <c r="EK496" t="n">
        <v>140.7</v>
      </c>
    </row>
    <row r="497">
      <c r="A497" t="inlineStr">
        <is>
          <t>Patrick Roberts</t>
        </is>
      </c>
      <c r="D497" t="inlineStr">
        <is>
          <t>MID</t>
        </is>
      </c>
      <c r="F497" t="b">
        <v>0</v>
      </c>
      <c r="G497" t="b">
        <v>1</v>
      </c>
      <c r="L497" t="inlineStr">
        <is>
          <t>p124165</t>
        </is>
      </c>
      <c r="Q497" t="n">
        <v>27</v>
      </c>
      <c r="R497" t="n">
        <v>1</v>
      </c>
      <c r="T497" t="n">
        <v>0.3</v>
      </c>
      <c r="U497" t="n">
        <v>27</v>
      </c>
      <c r="AD497" t="n">
        <v>0</v>
      </c>
      <c r="AE497" t="n">
        <v>0</v>
      </c>
      <c r="AG497" t="n">
        <v>4</v>
      </c>
      <c r="AH497" t="n">
        <v>0</v>
      </c>
      <c r="AI497" t="n">
        <v>1</v>
      </c>
      <c r="AN497" t="n">
        <v>0</v>
      </c>
      <c r="AO497" t="n">
        <v>0</v>
      </c>
      <c r="AS497" t="n">
        <v>0</v>
      </c>
      <c r="AT497" t="n">
        <v>0</v>
      </c>
      <c r="AU497" t="n">
        <v>1</v>
      </c>
      <c r="AV497" t="n">
        <v>0</v>
      </c>
      <c r="AW497" t="n">
        <v>0.16</v>
      </c>
      <c r="AX497" t="n">
        <v>1</v>
      </c>
      <c r="AZ497" t="n">
        <v>0.068</v>
      </c>
      <c r="BA497" t="n">
        <v>0.068</v>
      </c>
      <c r="BB497" t="n">
        <v>0.068</v>
      </c>
      <c r="BD497" t="n">
        <v>0.227</v>
      </c>
      <c r="BE497" t="n">
        <v>0.227</v>
      </c>
      <c r="BH497" t="n">
        <v>0.996</v>
      </c>
      <c r="BI497" t="n">
        <v>0.03</v>
      </c>
      <c r="BJ497" t="n">
        <v>0.03</v>
      </c>
      <c r="BK497" t="n">
        <v>0.1</v>
      </c>
      <c r="BP497" t="n">
        <v>1</v>
      </c>
      <c r="BS497" t="n">
        <v>1</v>
      </c>
      <c r="BT497" t="n">
        <v>3.333</v>
      </c>
      <c r="BX497" t="n">
        <v>0</v>
      </c>
      <c r="BY497" t="n">
        <v>0</v>
      </c>
      <c r="BZ497" t="n">
        <v>0</v>
      </c>
      <c r="CA497" t="n">
        <v>0.068</v>
      </c>
      <c r="CB497" t="n">
        <v>0.227</v>
      </c>
      <c r="CC497" t="n">
        <v>0</v>
      </c>
      <c r="CI497" t="n">
        <v>0.109</v>
      </c>
      <c r="CJ497" t="n">
        <v>0.041</v>
      </c>
      <c r="CR497" t="n">
        <v>1</v>
      </c>
      <c r="DL497" t="n">
        <v>1</v>
      </c>
      <c r="EF497" t="n">
        <v>27</v>
      </c>
      <c r="EG497" t="n">
        <v>27</v>
      </c>
      <c r="EI497" t="n">
        <v>397</v>
      </c>
      <c r="EK497" t="n">
        <v>397</v>
      </c>
    </row>
    <row r="498">
      <c r="A498" t="inlineStr">
        <is>
          <t>Nathan Aké</t>
        </is>
      </c>
      <c r="D498" t="inlineStr">
        <is>
          <t>DEF</t>
        </is>
      </c>
      <c r="F498" t="b">
        <v>0</v>
      </c>
      <c r="G498" t="b">
        <v>1</v>
      </c>
      <c r="L498" t="inlineStr">
        <is>
          <t>p126184</t>
        </is>
      </c>
      <c r="Q498" t="n">
        <v>688</v>
      </c>
      <c r="R498" t="n">
        <v>18</v>
      </c>
      <c r="T498" t="n">
        <v>7.644</v>
      </c>
      <c r="U498" t="n">
        <v>38.2</v>
      </c>
      <c r="AD498" t="n">
        <v>0</v>
      </c>
      <c r="AE498" t="n">
        <v>-1</v>
      </c>
      <c r="AG498" t="n">
        <v>141</v>
      </c>
      <c r="AH498" t="n">
        <v>-10</v>
      </c>
      <c r="AI498" t="n">
        <v>35</v>
      </c>
      <c r="AN498" t="n">
        <v>1</v>
      </c>
      <c r="AO498" t="n">
        <v>2</v>
      </c>
      <c r="AP498" t="n">
        <v>0.167</v>
      </c>
      <c r="AQ498" t="n">
        <v>0.167</v>
      </c>
      <c r="AR498" t="n">
        <v>0.167</v>
      </c>
      <c r="AS498" t="n">
        <v>0.158</v>
      </c>
      <c r="AT498" t="n">
        <v>0.389</v>
      </c>
      <c r="AU498" t="n">
        <v>15</v>
      </c>
      <c r="AV498" t="n">
        <v>0</v>
      </c>
      <c r="AW498" t="n">
        <v>1.8</v>
      </c>
      <c r="AX498" t="n">
        <v>8</v>
      </c>
      <c r="AZ498" t="n">
        <v>1.096</v>
      </c>
      <c r="BA498" t="n">
        <v>1.096</v>
      </c>
      <c r="BB498" t="n">
        <v>1.096</v>
      </c>
      <c r="BD498" t="n">
        <v>0.143</v>
      </c>
      <c r="BE498" t="n">
        <v>0.143</v>
      </c>
      <c r="BF498" t="n">
        <v>0.3</v>
      </c>
      <c r="BG498" t="n">
        <v>0.039</v>
      </c>
      <c r="BH498" t="n">
        <v>0.841</v>
      </c>
      <c r="BI498" t="n">
        <v>4.96</v>
      </c>
      <c r="BJ498" t="n">
        <v>0.606</v>
      </c>
      <c r="BK498" t="n">
        <v>0.079</v>
      </c>
      <c r="BP498" t="n">
        <v>6</v>
      </c>
      <c r="BQ498" t="n">
        <v>1</v>
      </c>
      <c r="BR498" t="n">
        <v>1</v>
      </c>
      <c r="BS498" t="n">
        <v>16</v>
      </c>
      <c r="BT498" t="n">
        <v>2.093</v>
      </c>
      <c r="BX498" t="n">
        <v>0.711</v>
      </c>
      <c r="BY498" t="n">
        <v>0.711</v>
      </c>
      <c r="BZ498" t="n">
        <v>0.093</v>
      </c>
      <c r="CA498" t="n">
        <v>1.808</v>
      </c>
      <c r="CB498" t="n">
        <v>0.236</v>
      </c>
      <c r="CC498" t="n">
        <v>6</v>
      </c>
      <c r="CD498" t="n">
        <v>2</v>
      </c>
      <c r="CE498" t="n">
        <v>7</v>
      </c>
      <c r="CF498" t="n">
        <v>3</v>
      </c>
      <c r="CI498" t="n">
        <v>4.448</v>
      </c>
      <c r="CJ498" t="n">
        <v>3.937</v>
      </c>
      <c r="CN498" t="n">
        <v>5</v>
      </c>
      <c r="CO498" t="n">
        <v>5</v>
      </c>
      <c r="CP498" t="n">
        <v>31</v>
      </c>
      <c r="CQ498" t="n">
        <v>1</v>
      </c>
      <c r="CR498" t="n">
        <v>34</v>
      </c>
      <c r="CS498" t="n">
        <v>18</v>
      </c>
      <c r="CV498" t="n">
        <v>1</v>
      </c>
      <c r="DH498" t="n">
        <v>3</v>
      </c>
      <c r="DI498" t="n">
        <v>8</v>
      </c>
      <c r="DN498" t="n">
        <v>1</v>
      </c>
      <c r="EF498" t="n">
        <v>114.7</v>
      </c>
      <c r="EG498" t="n">
        <v>43</v>
      </c>
      <c r="EH498" t="n">
        <v>98.3</v>
      </c>
      <c r="EI498" t="n">
        <v>627.6</v>
      </c>
      <c r="EJ498" t="n">
        <v>967</v>
      </c>
      <c r="EK498" t="n">
        <v>380.6</v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n">
        <v>4</v>
      </c>
      <c r="F499" t="b">
        <v>1</v>
      </c>
      <c r="G499" t="b">
        <v>0</v>
      </c>
      <c r="H499" t="n">
        <v>32.8</v>
      </c>
      <c r="I499" t="inlineStr">
        <is>
          <t>a</t>
        </is>
      </c>
      <c r="M499" t="n">
        <v>279</v>
      </c>
      <c r="DO499" t="n">
        <v>0.8</v>
      </c>
      <c r="DP499" t="n">
        <v>70.48999999999999</v>
      </c>
      <c r="DQ499" t="n">
        <v>38.21</v>
      </c>
      <c r="DR499" t="n">
        <v>76.42</v>
      </c>
      <c r="DS499" t="n">
        <v>-5.93</v>
      </c>
      <c r="DT499" t="n">
        <v>1824</v>
      </c>
      <c r="DU499" t="n">
        <v>48</v>
      </c>
      <c r="DV499" t="inlineStr">
        <is>
          <t>fade (losing his place)</t>
        </is>
      </c>
      <c r="DW499" t="n">
        <v>117</v>
      </c>
      <c r="DX499" t="n">
        <v>117</v>
      </c>
      <c r="DZ499" t="n">
        <v>117</v>
      </c>
      <c r="EA499" t="n">
        <v>117</v>
      </c>
      <c r="EB499" t="n">
        <v>1</v>
      </c>
      <c r="EC499" t="n">
        <v>0.5</v>
      </c>
      <c r="ED499" t="n">
        <v>0</v>
      </c>
      <c r="EE499" t="n">
        <v>556</v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n">
        <v>5</v>
      </c>
      <c r="F500" t="b">
        <v>1</v>
      </c>
      <c r="G500" t="b">
        <v>0</v>
      </c>
      <c r="H500" t="n">
        <v>30.9</v>
      </c>
      <c r="I500" t="inlineStr">
        <is>
          <t>a</t>
        </is>
      </c>
      <c r="M500" t="n">
        <v>320</v>
      </c>
      <c r="DO500" t="n">
        <v>0.5</v>
      </c>
      <c r="DP500" t="n">
        <v>28.94</v>
      </c>
      <c r="DQ500" t="n">
        <v>14.47</v>
      </c>
      <c r="DR500" t="n">
        <v>28.94</v>
      </c>
      <c r="DS500" t="n">
        <v>0</v>
      </c>
      <c r="DT500" t="n">
        <v>220</v>
      </c>
      <c r="DU500" t="n">
        <v>5.78</v>
      </c>
      <c r="DV500" t="inlineStr">
        <is>
          <t>flat</t>
        </is>
      </c>
      <c r="DW500" t="n">
        <v>100.78</v>
      </c>
      <c r="DX500" t="n">
        <v>100</v>
      </c>
      <c r="DY500" t="n">
        <v>11.73</v>
      </c>
      <c r="DZ500" t="n">
        <v>80.8</v>
      </c>
      <c r="EA500" t="n">
        <v>110.5</v>
      </c>
      <c r="EB500" t="n">
        <v>6</v>
      </c>
      <c r="EC500" t="n">
        <v>2.9</v>
      </c>
      <c r="ED500" t="n">
        <v>14.3</v>
      </c>
      <c r="EE500" t="n">
        <v>362</v>
      </c>
    </row>
    <row r="501">
      <c r="A501" t="inlineStr">
        <is>
          <t>José Sá</t>
        </is>
      </c>
      <c r="D501" t="inlineStr">
        <is>
          <t>GKP</t>
        </is>
      </c>
      <c r="F501" t="b">
        <v>0</v>
      </c>
      <c r="G501" t="b">
        <v>1</v>
      </c>
      <c r="L501" t="inlineStr">
        <is>
          <t>p149065</t>
        </is>
      </c>
      <c r="Q501" t="n">
        <v>2070</v>
      </c>
      <c r="R501" t="n">
        <v>23</v>
      </c>
      <c r="T501" t="n">
        <v>23</v>
      </c>
      <c r="U501" t="n">
        <v>90</v>
      </c>
      <c r="AD501" t="n">
        <v>8</v>
      </c>
      <c r="AE501" t="n">
        <v>0</v>
      </c>
      <c r="AG501" t="n">
        <v>292</v>
      </c>
      <c r="AH501" t="n">
        <v>-11</v>
      </c>
      <c r="AI501" t="n">
        <v>68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0.605</v>
      </c>
      <c r="AT501" t="n">
        <v>1</v>
      </c>
      <c r="AU501" t="n">
        <v>14</v>
      </c>
      <c r="AV501" t="n">
        <v>1</v>
      </c>
      <c r="AW501" t="n">
        <v>2.72</v>
      </c>
      <c r="AX501" t="n">
        <v>12</v>
      </c>
      <c r="AZ501" t="n">
        <v>0</v>
      </c>
      <c r="BA501" t="n">
        <v>0</v>
      </c>
      <c r="BB501" t="n">
        <v>0</v>
      </c>
      <c r="BD501" t="n">
        <v>0</v>
      </c>
      <c r="BE501" t="n">
        <v>0</v>
      </c>
      <c r="BH501" t="n">
        <v>1</v>
      </c>
      <c r="BI501" t="n">
        <v>0</v>
      </c>
      <c r="BJ501" t="n">
        <v>0</v>
      </c>
      <c r="BK501" t="n">
        <v>0</v>
      </c>
      <c r="BS501" t="n">
        <v>0</v>
      </c>
      <c r="BT501" t="n">
        <v>0</v>
      </c>
      <c r="BX501" t="n">
        <v>0.083</v>
      </c>
      <c r="BY501" t="n">
        <v>0.083</v>
      </c>
      <c r="BZ501" t="n">
        <v>0.004</v>
      </c>
      <c r="CA501" t="n">
        <v>0.083</v>
      </c>
      <c r="CB501" t="n">
        <v>0.004</v>
      </c>
      <c r="CC501" t="n">
        <v>1</v>
      </c>
      <c r="CE501" t="n">
        <v>1</v>
      </c>
      <c r="CI501" t="n">
        <v>1.549</v>
      </c>
      <c r="CJ501" t="n">
        <v>1.466</v>
      </c>
      <c r="CP501" t="n">
        <v>47</v>
      </c>
      <c r="CR501" t="n">
        <v>22</v>
      </c>
      <c r="CS501" t="n">
        <v>17</v>
      </c>
      <c r="CU501" t="n">
        <v>1</v>
      </c>
      <c r="CV501" t="n">
        <v>2</v>
      </c>
      <c r="CZ501" t="n">
        <v>63.7</v>
      </c>
      <c r="DA501" t="n">
        <v>-2.9</v>
      </c>
      <c r="DC501" t="n">
        <v>35</v>
      </c>
      <c r="DD501" t="n">
        <v>29</v>
      </c>
      <c r="DE501" t="n">
        <v>6.76</v>
      </c>
      <c r="DH501" t="n">
        <v>0</v>
      </c>
      <c r="DI501" t="n">
        <v>6</v>
      </c>
      <c r="EH501" t="n">
        <v>2070</v>
      </c>
      <c r="EJ501" t="n">
        <v>24902.2</v>
      </c>
      <c r="EK501" t="n">
        <v>24902.2</v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n">
        <v>5</v>
      </c>
      <c r="F502" t="b">
        <v>1</v>
      </c>
      <c r="G502" t="b">
        <v>0</v>
      </c>
      <c r="H502" t="n">
        <v>31.7</v>
      </c>
      <c r="I502" t="inlineStr">
        <is>
          <t>u</t>
        </is>
      </c>
      <c r="J502" t="inlineStr">
        <is>
          <t>Has joined Leicester City permanently</t>
        </is>
      </c>
      <c r="K502" t="n">
        <v>0</v>
      </c>
      <c r="M502" t="n">
        <v>311</v>
      </c>
      <c r="DO502" t="n">
        <v>0</v>
      </c>
    </row>
    <row r="503">
      <c r="A503" t="inlineStr">
        <is>
          <t>João Palhinha</t>
        </is>
      </c>
      <c r="D503" t="inlineStr">
        <is>
          <t>MID</t>
        </is>
      </c>
      <c r="F503" t="b">
        <v>0</v>
      </c>
      <c r="G503" t="b">
        <v>1</v>
      </c>
      <c r="L503" t="inlineStr">
        <is>
          <t>p154296</t>
        </is>
      </c>
      <c r="Q503" t="n">
        <v>2197</v>
      </c>
      <c r="R503" t="n">
        <v>33</v>
      </c>
      <c r="T503" t="n">
        <v>24.411</v>
      </c>
      <c r="U503" t="n">
        <v>66.59999999999999</v>
      </c>
      <c r="Z503" t="n">
        <v>2</v>
      </c>
      <c r="AD503" t="n">
        <v>18</v>
      </c>
      <c r="AE503" t="n">
        <v>1</v>
      </c>
      <c r="AG503" t="n">
        <v>500</v>
      </c>
      <c r="AH503" t="n">
        <v>-18</v>
      </c>
      <c r="AI503" t="n">
        <v>127</v>
      </c>
      <c r="AN503" t="n">
        <v>12</v>
      </c>
      <c r="AO503" t="n">
        <v>24</v>
      </c>
      <c r="AP503" t="n">
        <v>0.522</v>
      </c>
      <c r="AQ503" t="n">
        <v>0.696</v>
      </c>
      <c r="AR503" t="n">
        <v>0.522</v>
      </c>
      <c r="AS503" t="n">
        <v>0.605</v>
      </c>
      <c r="AT503" t="n">
        <v>0.636</v>
      </c>
      <c r="AU503" t="n">
        <v>15</v>
      </c>
      <c r="AV503" t="n">
        <v>2</v>
      </c>
      <c r="AW503" t="n">
        <v>3.38</v>
      </c>
      <c r="AX503" t="n">
        <v>12</v>
      </c>
      <c r="AZ503" t="n">
        <v>3.407</v>
      </c>
      <c r="BA503" t="n">
        <v>3.407</v>
      </c>
      <c r="BB503" t="n">
        <v>3.407</v>
      </c>
      <c r="BD503" t="n">
        <v>0.14</v>
      </c>
      <c r="BE503" t="n">
        <v>0.14</v>
      </c>
      <c r="BF503" t="n">
        <v>5</v>
      </c>
      <c r="BG503" t="n">
        <v>0.205</v>
      </c>
      <c r="BH503" t="n">
        <v>1.086</v>
      </c>
      <c r="BI503" t="n">
        <v>9.039999999999999</v>
      </c>
      <c r="BJ503" t="n">
        <v>2.953</v>
      </c>
      <c r="BK503" t="n">
        <v>0.121</v>
      </c>
      <c r="BP503" t="n">
        <v>33</v>
      </c>
      <c r="BQ503" t="n">
        <v>9</v>
      </c>
      <c r="BR503" t="n">
        <v>1</v>
      </c>
      <c r="BS503" t="n">
        <v>45</v>
      </c>
      <c r="BT503" t="n">
        <v>1.843</v>
      </c>
      <c r="BX503" t="n">
        <v>0.769</v>
      </c>
      <c r="BY503" t="n">
        <v>0.769</v>
      </c>
      <c r="BZ503" t="n">
        <v>0.032</v>
      </c>
      <c r="CA503" t="n">
        <v>4.176</v>
      </c>
      <c r="CB503" t="n">
        <v>0.171</v>
      </c>
      <c r="CC503" t="n">
        <v>8</v>
      </c>
      <c r="CD503" t="n">
        <v>1</v>
      </c>
      <c r="CE503" t="n">
        <v>8</v>
      </c>
      <c r="CI503" t="n">
        <v>4.78</v>
      </c>
      <c r="CJ503" t="n">
        <v>3.305</v>
      </c>
      <c r="CN503" t="n">
        <v>66</v>
      </c>
      <c r="CO503" t="n">
        <v>30</v>
      </c>
      <c r="CP503" t="n">
        <v>58</v>
      </c>
      <c r="CQ503" t="n">
        <v>12</v>
      </c>
      <c r="CR503" t="n">
        <v>193</v>
      </c>
      <c r="CS503" t="n">
        <v>36</v>
      </c>
      <c r="CT503" t="n">
        <v>0.2</v>
      </c>
      <c r="CV503" t="n">
        <v>2</v>
      </c>
      <c r="DE503" t="n">
        <v>6.95</v>
      </c>
      <c r="DH503" t="n">
        <v>28</v>
      </c>
      <c r="DI503" t="n">
        <v>37</v>
      </c>
      <c r="DL503" t="n">
        <v>10</v>
      </c>
      <c r="DM503" t="n">
        <v>30</v>
      </c>
      <c r="EF503" t="n">
        <v>66.59999999999999</v>
      </c>
      <c r="EG503" t="n">
        <v>48.8</v>
      </c>
      <c r="EH503" t="n">
        <v>274.6</v>
      </c>
      <c r="EI503" t="n">
        <v>644.8</v>
      </c>
      <c r="EJ503" t="n">
        <v>2856.8</v>
      </c>
      <c r="EK503" t="n">
        <v>526.1</v>
      </c>
    </row>
    <row r="504">
      <c r="A504" t="inlineStr">
        <is>
          <t>Adam Armstrong</t>
        </is>
      </c>
      <c r="D504" t="inlineStr">
        <is>
          <t>FWD</t>
        </is>
      </c>
      <c r="F504" t="b">
        <v>0</v>
      </c>
      <c r="G504" t="b">
        <v>1</v>
      </c>
      <c r="L504" t="inlineStr">
        <is>
          <t>p155511</t>
        </is>
      </c>
      <c r="Q504" t="n">
        <v>1146</v>
      </c>
      <c r="R504" t="n">
        <v>14</v>
      </c>
      <c r="T504" t="n">
        <v>12.733</v>
      </c>
      <c r="U504" t="n">
        <v>81.90000000000001</v>
      </c>
      <c r="Z504" t="n">
        <v>2</v>
      </c>
      <c r="AD504" t="n">
        <v>1</v>
      </c>
      <c r="AE504" t="n">
        <v>0</v>
      </c>
      <c r="AG504" t="n">
        <v>127</v>
      </c>
      <c r="AH504" t="n">
        <v>-2</v>
      </c>
      <c r="AI504" t="n">
        <v>39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0.368</v>
      </c>
      <c r="AT504" t="n">
        <v>0.929</v>
      </c>
      <c r="AU504" t="n">
        <v>10</v>
      </c>
      <c r="AV504" t="n">
        <v>0</v>
      </c>
      <c r="AW504" t="n">
        <v>1.63</v>
      </c>
      <c r="AX504" t="n">
        <v>7</v>
      </c>
      <c r="AZ504" t="n">
        <v>2.809</v>
      </c>
      <c r="BA504" t="n">
        <v>2.809</v>
      </c>
      <c r="BB504" t="n">
        <v>2.047</v>
      </c>
      <c r="BD504" t="n">
        <v>0.221</v>
      </c>
      <c r="BE504" t="n">
        <v>0.221</v>
      </c>
      <c r="BF504" t="n">
        <v>1.6</v>
      </c>
      <c r="BG504" t="n">
        <v>0.126</v>
      </c>
      <c r="BH504" t="n">
        <v>0.884</v>
      </c>
      <c r="BI504" t="n">
        <v>8.279999999999999</v>
      </c>
      <c r="BJ504" t="n">
        <v>2.45</v>
      </c>
      <c r="BK504" t="n">
        <v>0.192</v>
      </c>
      <c r="BP504" t="n">
        <v>18</v>
      </c>
      <c r="BQ504" t="n">
        <v>6</v>
      </c>
      <c r="BR504" t="n">
        <v>3</v>
      </c>
      <c r="BS504" t="n">
        <v>42</v>
      </c>
      <c r="BT504" t="n">
        <v>3.298</v>
      </c>
      <c r="BU504" t="n">
        <v>1</v>
      </c>
      <c r="BX504" t="n">
        <v>1.501</v>
      </c>
      <c r="BY504" t="n">
        <v>1.501</v>
      </c>
      <c r="BZ504" t="n">
        <v>0.118</v>
      </c>
      <c r="CA504" t="n">
        <v>4.31</v>
      </c>
      <c r="CB504" t="n">
        <v>0.338</v>
      </c>
      <c r="CC504" t="n">
        <v>6</v>
      </c>
      <c r="CD504" t="n">
        <v>3</v>
      </c>
      <c r="CE504" t="n">
        <v>6</v>
      </c>
      <c r="CF504" t="n">
        <v>1</v>
      </c>
      <c r="CG504" t="n">
        <v>1</v>
      </c>
      <c r="CI504" t="n">
        <v>2.854</v>
      </c>
      <c r="CJ504" t="n">
        <v>0.716</v>
      </c>
      <c r="CN504" t="n">
        <v>4</v>
      </c>
      <c r="CO504" t="n">
        <v>2</v>
      </c>
      <c r="CP504" t="n">
        <v>12</v>
      </c>
      <c r="CQ504" t="n">
        <v>1</v>
      </c>
      <c r="CR504" t="n">
        <v>30</v>
      </c>
      <c r="CS504" t="n">
        <v>9</v>
      </c>
      <c r="DH504" t="n">
        <v>13</v>
      </c>
      <c r="DI504" t="n">
        <v>3</v>
      </c>
      <c r="DL504" t="n">
        <v>10</v>
      </c>
      <c r="DM504" t="n">
        <v>9</v>
      </c>
      <c r="DN504" t="n">
        <v>6</v>
      </c>
      <c r="EF504" t="n">
        <v>63.7</v>
      </c>
      <c r="EG504" t="n">
        <v>27.3</v>
      </c>
      <c r="EH504" t="n">
        <v>191</v>
      </c>
      <c r="EI504" t="n">
        <v>408</v>
      </c>
      <c r="EJ504" t="n">
        <v>763.3</v>
      </c>
      <c r="EK504" t="n">
        <v>265.9</v>
      </c>
    </row>
    <row r="505">
      <c r="A505" t="inlineStr">
        <is>
          <t>Kyle Walker-Peters</t>
        </is>
      </c>
      <c r="D505" t="inlineStr">
        <is>
          <t>DEF</t>
        </is>
      </c>
      <c r="F505" t="b">
        <v>0</v>
      </c>
      <c r="G505" t="b">
        <v>1</v>
      </c>
      <c r="L505" t="inlineStr">
        <is>
          <t>p158534</t>
        </is>
      </c>
      <c r="Q505" t="n">
        <v>1380</v>
      </c>
      <c r="R505" t="n">
        <v>23</v>
      </c>
      <c r="T505" t="n">
        <v>15.333</v>
      </c>
      <c r="U505" t="n">
        <v>60</v>
      </c>
      <c r="AD505" t="n">
        <v>0</v>
      </c>
      <c r="AE505" t="n">
        <v>0</v>
      </c>
      <c r="AG505" t="n">
        <v>212</v>
      </c>
      <c r="AH505" t="n">
        <v>-7</v>
      </c>
      <c r="AI505" t="n">
        <v>53</v>
      </c>
      <c r="AN505" t="n">
        <v>2</v>
      </c>
      <c r="AO505" t="n">
        <v>4</v>
      </c>
      <c r="AP505" t="n">
        <v>0.133</v>
      </c>
      <c r="AQ505" t="n">
        <v>0.133</v>
      </c>
      <c r="AR505" t="n">
        <v>0</v>
      </c>
      <c r="AS505" t="n">
        <v>0.395</v>
      </c>
      <c r="AT505" t="n">
        <v>0.609</v>
      </c>
      <c r="AU505" t="n">
        <v>16</v>
      </c>
      <c r="AV505" t="n">
        <v>0</v>
      </c>
      <c r="AW505" t="n">
        <v>2.06</v>
      </c>
      <c r="AX505" t="n">
        <v>7</v>
      </c>
      <c r="AZ505" t="n">
        <v>1.188</v>
      </c>
      <c r="BA505" t="n">
        <v>1.188</v>
      </c>
      <c r="BB505" t="n">
        <v>1.188</v>
      </c>
      <c r="BD505" t="n">
        <v>0.077</v>
      </c>
      <c r="BE505" t="n">
        <v>0.077</v>
      </c>
      <c r="BF505" t="n">
        <v>1</v>
      </c>
      <c r="BG505" t="n">
        <v>0.065</v>
      </c>
      <c r="BH505" t="n">
        <v>1.022</v>
      </c>
      <c r="BI505" t="n">
        <v>3.06</v>
      </c>
      <c r="BJ505" t="n">
        <v>1.155</v>
      </c>
      <c r="BK505" t="n">
        <v>0.075</v>
      </c>
      <c r="BP505" t="n">
        <v>5</v>
      </c>
      <c r="BQ505" t="n">
        <v>3</v>
      </c>
      <c r="BS505" t="n">
        <v>19</v>
      </c>
      <c r="BT505" t="n">
        <v>1.239</v>
      </c>
      <c r="BX505" t="n">
        <v>0.357</v>
      </c>
      <c r="BY505" t="n">
        <v>0.357</v>
      </c>
      <c r="BZ505" t="n">
        <v>0.023</v>
      </c>
      <c r="CA505" t="n">
        <v>1.545</v>
      </c>
      <c r="CB505" t="n">
        <v>0.101</v>
      </c>
      <c r="CC505" t="n">
        <v>6</v>
      </c>
      <c r="CD505" t="n">
        <v>1</v>
      </c>
      <c r="CE505" t="n">
        <v>7</v>
      </c>
      <c r="CF505" t="n">
        <v>1</v>
      </c>
      <c r="CI505" t="n">
        <v>4.905</v>
      </c>
      <c r="CJ505" t="n">
        <v>3.598</v>
      </c>
      <c r="CN505" t="n">
        <v>30</v>
      </c>
      <c r="CO505" t="n">
        <v>9</v>
      </c>
      <c r="CP505" t="n">
        <v>34</v>
      </c>
      <c r="CQ505" t="n">
        <v>4</v>
      </c>
      <c r="CR505" t="n">
        <v>97</v>
      </c>
      <c r="CS505" t="n">
        <v>12</v>
      </c>
      <c r="CT505" t="n">
        <v>0.5</v>
      </c>
      <c r="CU505" t="n">
        <v>1</v>
      </c>
      <c r="DE505" t="n">
        <v>6.7</v>
      </c>
      <c r="DH505" t="n">
        <v>12</v>
      </c>
      <c r="DI505" t="n">
        <v>25</v>
      </c>
      <c r="DL505" t="n">
        <v>16</v>
      </c>
      <c r="DM505" t="n">
        <v>17</v>
      </c>
      <c r="DN505" t="n">
        <v>1</v>
      </c>
      <c r="EF505" t="n">
        <v>276</v>
      </c>
      <c r="EG505" t="n">
        <v>72.59999999999999</v>
      </c>
      <c r="EH505" t="n">
        <v>197.1</v>
      </c>
      <c r="EI505" t="n">
        <v>1161.4</v>
      </c>
      <c r="EJ505" t="n">
        <v>3865.6</v>
      </c>
      <c r="EK505" t="n">
        <v>893.1</v>
      </c>
    </row>
    <row r="506">
      <c r="A506" t="inlineStr">
        <is>
          <t>Adama Traoré</t>
        </is>
      </c>
      <c r="D506" t="inlineStr">
        <is>
          <t>MID</t>
        </is>
      </c>
      <c r="F506" t="b">
        <v>0</v>
      </c>
      <c r="G506" t="b">
        <v>1</v>
      </c>
      <c r="L506" t="inlineStr">
        <is>
          <t>p159533</t>
        </is>
      </c>
      <c r="Q506" t="n">
        <v>377</v>
      </c>
      <c r="R506" t="n">
        <v>24</v>
      </c>
      <c r="T506" t="n">
        <v>4.189</v>
      </c>
      <c r="U506" t="n">
        <v>15.7</v>
      </c>
      <c r="AD506" t="n">
        <v>0</v>
      </c>
      <c r="AE506" t="n">
        <v>0</v>
      </c>
      <c r="AG506" t="n">
        <v>74</v>
      </c>
      <c r="AH506" t="n">
        <v>0</v>
      </c>
      <c r="AI506" t="n">
        <v>25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0.026</v>
      </c>
      <c r="AT506" t="n">
        <v>0.083</v>
      </c>
      <c r="AU506" t="n">
        <v>24</v>
      </c>
      <c r="AV506" t="n">
        <v>0</v>
      </c>
      <c r="AW506" t="n">
        <v>0.58</v>
      </c>
      <c r="AX506" t="n">
        <v>2</v>
      </c>
      <c r="AZ506" t="n">
        <v>0.6879999999999999</v>
      </c>
      <c r="BA506" t="n">
        <v>0.6879999999999999</v>
      </c>
      <c r="BB506" t="n">
        <v>0.6879999999999999</v>
      </c>
      <c r="BD506" t="n">
        <v>0.164</v>
      </c>
      <c r="BE506" t="n">
        <v>0.164</v>
      </c>
      <c r="BF506" t="n">
        <v>0.2</v>
      </c>
      <c r="BG506" t="n">
        <v>0.048</v>
      </c>
      <c r="BH506" t="n">
        <v>1.015</v>
      </c>
      <c r="BI506" t="n">
        <v>7.67</v>
      </c>
      <c r="BJ506" t="n">
        <v>0.7</v>
      </c>
      <c r="BK506" t="n">
        <v>0.167</v>
      </c>
      <c r="BP506" t="n">
        <v>7</v>
      </c>
      <c r="BQ506" t="n">
        <v>1</v>
      </c>
      <c r="BR506" t="n">
        <v>1</v>
      </c>
      <c r="BS506" t="n">
        <v>20</v>
      </c>
      <c r="BT506" t="n">
        <v>4.775</v>
      </c>
      <c r="BX506" t="n">
        <v>0.415</v>
      </c>
      <c r="BY506" t="n">
        <v>0.415</v>
      </c>
      <c r="BZ506" t="n">
        <v>0.099</v>
      </c>
      <c r="CA506" t="n">
        <v>1.103</v>
      </c>
      <c r="CB506" t="n">
        <v>0.263</v>
      </c>
      <c r="CC506" t="n">
        <v>3</v>
      </c>
      <c r="CD506" t="n">
        <v>1</v>
      </c>
      <c r="CE506" t="n">
        <v>3</v>
      </c>
      <c r="CF506" t="n">
        <v>5</v>
      </c>
      <c r="CG506" t="n">
        <v>1</v>
      </c>
      <c r="CI506" t="n">
        <v>1.77</v>
      </c>
      <c r="CJ506" t="n">
        <v>0.704</v>
      </c>
      <c r="CN506" t="n">
        <v>2</v>
      </c>
      <c r="CP506" t="n">
        <v>2</v>
      </c>
      <c r="CQ506" t="n">
        <v>0</v>
      </c>
      <c r="CR506" t="n">
        <v>23</v>
      </c>
      <c r="CS506" t="n">
        <v>1</v>
      </c>
      <c r="CT506" t="n">
        <v>0.5</v>
      </c>
      <c r="DH506" t="n">
        <v>7</v>
      </c>
      <c r="DI506" t="n">
        <v>8</v>
      </c>
      <c r="DL506" t="n">
        <v>12</v>
      </c>
      <c r="DM506" t="n">
        <v>14</v>
      </c>
      <c r="DN506" t="n">
        <v>5</v>
      </c>
      <c r="EF506" t="n">
        <v>53.9</v>
      </c>
      <c r="EG506" t="n">
        <v>18.8</v>
      </c>
      <c r="EH506" t="n">
        <v>125.7</v>
      </c>
      <c r="EI506" t="n">
        <v>547.7</v>
      </c>
      <c r="EJ506" t="n">
        <v>909.1</v>
      </c>
      <c r="EK506" t="n">
        <v>341.8</v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n">
        <v>4</v>
      </c>
      <c r="F507" t="b">
        <v>1</v>
      </c>
      <c r="G507" t="b">
        <v>0</v>
      </c>
      <c r="H507" t="n">
        <v>31.3</v>
      </c>
      <c r="I507" t="inlineStr">
        <is>
          <t>a</t>
        </is>
      </c>
      <c r="M507" t="n">
        <v>285</v>
      </c>
      <c r="DO507" t="n">
        <v>0.1</v>
      </c>
      <c r="DP507" t="n">
        <v>9.65</v>
      </c>
      <c r="DQ507" t="n">
        <v>6.36</v>
      </c>
      <c r="DR507" t="n">
        <v>12.72</v>
      </c>
      <c r="DS507" t="n">
        <v>-3.07</v>
      </c>
      <c r="DT507" t="n">
        <v>103</v>
      </c>
      <c r="DU507" t="n">
        <v>2.7</v>
      </c>
      <c r="DV507" t="inlineStr">
        <is>
          <t>flat</t>
        </is>
      </c>
    </row>
    <row r="508">
      <c r="A508" t="inlineStr">
        <is>
          <t>Bernardo Silva</t>
        </is>
      </c>
      <c r="D508" t="inlineStr">
        <is>
          <t>MID</t>
        </is>
      </c>
      <c r="F508" t="b">
        <v>0</v>
      </c>
      <c r="G508" t="b">
        <v>1</v>
      </c>
      <c r="L508" t="inlineStr">
        <is>
          <t>p165809</t>
        </is>
      </c>
      <c r="Q508" t="n">
        <v>2886</v>
      </c>
      <c r="R508" t="n">
        <v>38</v>
      </c>
      <c r="T508" t="n">
        <v>32.067</v>
      </c>
      <c r="U508" t="n">
        <v>75.90000000000001</v>
      </c>
      <c r="Z508" t="n">
        <v>4</v>
      </c>
      <c r="AD508" t="n">
        <v>4</v>
      </c>
      <c r="AE508" t="n">
        <v>0</v>
      </c>
      <c r="AG508" t="n">
        <v>519</v>
      </c>
      <c r="AH508" t="n">
        <v>-15</v>
      </c>
      <c r="AI508" t="n">
        <v>102</v>
      </c>
      <c r="AN508" t="n">
        <v>2</v>
      </c>
      <c r="AO508" t="n">
        <v>4</v>
      </c>
      <c r="AP508" t="n">
        <v>0.059</v>
      </c>
      <c r="AQ508" t="n">
        <v>0.265</v>
      </c>
      <c r="AR508" t="n">
        <v>0.059</v>
      </c>
      <c r="AS508" t="n">
        <v>0.895</v>
      </c>
      <c r="AT508" t="n">
        <v>0.8159999999999999</v>
      </c>
      <c r="AU508" t="n">
        <v>22</v>
      </c>
      <c r="AV508" t="n">
        <v>0</v>
      </c>
      <c r="AW508" t="n">
        <v>1.96</v>
      </c>
      <c r="AX508" t="n">
        <v>9</v>
      </c>
      <c r="AZ508" t="n">
        <v>2.9</v>
      </c>
      <c r="BA508" t="n">
        <v>2.9</v>
      </c>
      <c r="BB508" t="n">
        <v>2.9</v>
      </c>
      <c r="BD508" t="n">
        <v>0.09</v>
      </c>
      <c r="BE508" t="n">
        <v>0.09</v>
      </c>
      <c r="BF508" t="n">
        <v>1.9</v>
      </c>
      <c r="BG508" t="n">
        <v>0.059</v>
      </c>
      <c r="BH508" t="n">
        <v>1.105</v>
      </c>
      <c r="BI508" t="n">
        <v>12.18</v>
      </c>
      <c r="BJ508" t="n">
        <v>2.995</v>
      </c>
      <c r="BK508" t="n">
        <v>0.093</v>
      </c>
      <c r="BP508" t="n">
        <v>30</v>
      </c>
      <c r="BQ508" t="n">
        <v>7</v>
      </c>
      <c r="BR508" t="n">
        <v>1</v>
      </c>
      <c r="BS508" t="n">
        <v>94</v>
      </c>
      <c r="BT508" t="n">
        <v>2.931</v>
      </c>
      <c r="BX508" t="n">
        <v>5.283</v>
      </c>
      <c r="BY508" t="n">
        <v>5.283</v>
      </c>
      <c r="BZ508" t="n">
        <v>0.165</v>
      </c>
      <c r="CA508" t="n">
        <v>8.182</v>
      </c>
      <c r="CB508" t="n">
        <v>0.255</v>
      </c>
      <c r="CC508" t="n">
        <v>47</v>
      </c>
      <c r="CD508" t="n">
        <v>7</v>
      </c>
      <c r="CE508" t="n">
        <v>47</v>
      </c>
      <c r="CF508" t="n">
        <v>19</v>
      </c>
      <c r="CG508" t="n">
        <v>6</v>
      </c>
      <c r="CH508" t="n">
        <v>47</v>
      </c>
      <c r="CI508" t="n">
        <v>25.189</v>
      </c>
      <c r="CJ508" t="n">
        <v>19.403</v>
      </c>
      <c r="CN508" t="n">
        <v>28</v>
      </c>
      <c r="CO508" t="n">
        <v>22</v>
      </c>
      <c r="CP508" t="n">
        <v>34</v>
      </c>
      <c r="CQ508" t="n">
        <v>6</v>
      </c>
      <c r="CR508" t="n">
        <v>101</v>
      </c>
      <c r="CS508" t="n">
        <v>4</v>
      </c>
      <c r="CT508" t="n">
        <v>0.6</v>
      </c>
      <c r="CV508" t="n">
        <v>3</v>
      </c>
      <c r="DE508" t="n">
        <v>7.15</v>
      </c>
      <c r="DH508" t="n">
        <v>37</v>
      </c>
      <c r="DI508" t="n">
        <v>22</v>
      </c>
      <c r="DL508" t="n">
        <v>21</v>
      </c>
      <c r="DM508" t="n">
        <v>34</v>
      </c>
      <c r="DN508" t="n">
        <v>5</v>
      </c>
      <c r="EF508" t="n">
        <v>96.2</v>
      </c>
      <c r="EG508" t="n">
        <v>30.7</v>
      </c>
      <c r="EH508" t="n">
        <v>61.4</v>
      </c>
      <c r="EI508" t="n">
        <v>995.3</v>
      </c>
      <c r="EJ508" t="n">
        <v>546.3</v>
      </c>
      <c r="EK508" t="n">
        <v>352.7</v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n">
        <v>4</v>
      </c>
      <c r="F509" t="b">
        <v>1</v>
      </c>
      <c r="G509" t="b">
        <v>0</v>
      </c>
      <c r="H509" t="n">
        <v>31.2</v>
      </c>
      <c r="I509" t="inlineStr">
        <is>
          <t>a</t>
        </is>
      </c>
      <c r="M509" t="n">
        <v>273</v>
      </c>
      <c r="DO509" t="n">
        <v>2</v>
      </c>
      <c r="DP509" t="n">
        <v>0</v>
      </c>
      <c r="DQ509" t="n">
        <v>0</v>
      </c>
      <c r="DR509" t="n">
        <v>0</v>
      </c>
      <c r="DS509" t="n">
        <v>0</v>
      </c>
      <c r="DT509" t="n">
        <v>0</v>
      </c>
      <c r="DU509" t="n">
        <v>0</v>
      </c>
      <c r="DV509" t="inlineStr">
        <is>
          <t>flat</t>
        </is>
      </c>
    </row>
    <row r="510">
      <c r="A510" t="inlineStr">
        <is>
          <t>Josh Laurent</t>
        </is>
      </c>
      <c r="D510" t="inlineStr">
        <is>
          <t>MID</t>
        </is>
      </c>
      <c r="F510" t="b">
        <v>0</v>
      </c>
      <c r="G510" t="b">
        <v>1</v>
      </c>
      <c r="L510" t="inlineStr">
        <is>
          <t>p167887</t>
        </is>
      </c>
      <c r="Q510" t="n">
        <v>1759</v>
      </c>
      <c r="R510" t="n">
        <v>33</v>
      </c>
      <c r="T510" t="n">
        <v>19.544</v>
      </c>
      <c r="U510" t="n">
        <v>53.3</v>
      </c>
      <c r="AD510" t="n">
        <v>1</v>
      </c>
      <c r="AE510" t="n">
        <v>0</v>
      </c>
      <c r="AG510" t="n">
        <v>217</v>
      </c>
      <c r="AH510" t="n">
        <v>-15</v>
      </c>
      <c r="AI510" t="n">
        <v>56</v>
      </c>
      <c r="AN510" t="n">
        <v>4</v>
      </c>
      <c r="AO510" t="n">
        <v>8</v>
      </c>
      <c r="AP510" t="n">
        <v>0.222</v>
      </c>
      <c r="AQ510" t="n">
        <v>0.278</v>
      </c>
      <c r="AR510" t="n">
        <v>0.222</v>
      </c>
      <c r="AS510" t="n">
        <v>0.474</v>
      </c>
      <c r="AT510" t="n">
        <v>0.485</v>
      </c>
      <c r="AU510" t="n">
        <v>28</v>
      </c>
      <c r="AV510" t="n">
        <v>1</v>
      </c>
      <c r="AW510" t="n">
        <v>1.89</v>
      </c>
      <c r="AX510" t="n">
        <v>10</v>
      </c>
      <c r="AZ510" t="n">
        <v>1.044</v>
      </c>
      <c r="BA510" t="n">
        <v>1.044</v>
      </c>
      <c r="BB510" t="n">
        <v>1.044</v>
      </c>
      <c r="BD510" t="n">
        <v>0.053</v>
      </c>
      <c r="BE510" t="n">
        <v>0.053</v>
      </c>
      <c r="BF510" t="n">
        <v>1.1</v>
      </c>
      <c r="BG510" t="n">
        <v>0.056</v>
      </c>
      <c r="BH510" t="n">
        <v>1.026</v>
      </c>
      <c r="BI510" t="n">
        <v>0.87</v>
      </c>
      <c r="BJ510" t="n">
        <v>0.893</v>
      </c>
      <c r="BK510" t="n">
        <v>0.046</v>
      </c>
      <c r="BP510" t="n">
        <v>14</v>
      </c>
      <c r="BQ510" t="n">
        <v>4</v>
      </c>
      <c r="BR510" t="n">
        <v>1</v>
      </c>
      <c r="BS510" t="n">
        <v>23</v>
      </c>
      <c r="BT510" t="n">
        <v>1.177</v>
      </c>
      <c r="BX510" t="n">
        <v>0.736</v>
      </c>
      <c r="BY510" t="n">
        <v>0.736</v>
      </c>
      <c r="BZ510" t="n">
        <v>0.038</v>
      </c>
      <c r="CA510" t="n">
        <v>1.779</v>
      </c>
      <c r="CB510" t="n">
        <v>0.091</v>
      </c>
      <c r="CC510" t="n">
        <v>12</v>
      </c>
      <c r="CE510" t="n">
        <v>12</v>
      </c>
      <c r="CF510" t="n">
        <v>4</v>
      </c>
      <c r="CI510" t="n">
        <v>3.166</v>
      </c>
      <c r="CJ510" t="n">
        <v>1.684</v>
      </c>
      <c r="CN510" t="n">
        <v>25</v>
      </c>
      <c r="CO510" t="n">
        <v>27</v>
      </c>
      <c r="CP510" t="n">
        <v>39</v>
      </c>
      <c r="CQ510" t="n">
        <v>8</v>
      </c>
      <c r="CR510" t="n">
        <v>94</v>
      </c>
      <c r="CS510" t="n">
        <v>26</v>
      </c>
      <c r="CT510" t="n">
        <v>0.1</v>
      </c>
      <c r="CU510" t="n">
        <v>1</v>
      </c>
      <c r="DE510" t="n">
        <v>6.31</v>
      </c>
      <c r="DH510" t="n">
        <v>31</v>
      </c>
      <c r="DI510" t="n">
        <v>11</v>
      </c>
      <c r="DK510" t="n">
        <v>1</v>
      </c>
      <c r="DL510" t="n">
        <v>9</v>
      </c>
      <c r="DM510" t="n">
        <v>15</v>
      </c>
      <c r="DN510" t="n">
        <v>2</v>
      </c>
      <c r="EF510" t="n">
        <v>125.6</v>
      </c>
      <c r="EG510" t="n">
        <v>76.5</v>
      </c>
      <c r="EH510" t="n">
        <v>146.6</v>
      </c>
      <c r="EI510" t="n">
        <v>1685.4</v>
      </c>
      <c r="EJ510" t="n">
        <v>2391.5</v>
      </c>
      <c r="EK510" t="n">
        <v>988.7</v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n">
        <v>5</v>
      </c>
      <c r="F511" t="b">
        <v>1</v>
      </c>
      <c r="G511" t="b">
        <v>0</v>
      </c>
      <c r="H511" t="n">
        <v>31.1</v>
      </c>
      <c r="I511" t="inlineStr">
        <is>
          <t>a</t>
        </is>
      </c>
      <c r="M511" t="n">
        <v>184</v>
      </c>
      <c r="N511" t="n">
        <v>3</v>
      </c>
      <c r="O511" t="n">
        <v>1</v>
      </c>
      <c r="DO511" t="n">
        <v>0.2</v>
      </c>
      <c r="DP511" t="n">
        <v>96.28</v>
      </c>
      <c r="DQ511" t="n">
        <v>48.17</v>
      </c>
      <c r="DR511" t="n">
        <v>96.34</v>
      </c>
      <c r="DS511" t="n">
        <v>-0.06</v>
      </c>
      <c r="DT511" t="n">
        <v>2668</v>
      </c>
      <c r="DU511" t="n">
        <v>70.2</v>
      </c>
      <c r="DV511" t="inlineStr">
        <is>
          <t>flat</t>
        </is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n">
        <v>5.5</v>
      </c>
      <c r="F512" t="b">
        <v>1</v>
      </c>
      <c r="G512" t="b">
        <v>0</v>
      </c>
      <c r="H512" t="n">
        <v>30.2</v>
      </c>
      <c r="I512" t="inlineStr">
        <is>
          <t>a</t>
        </is>
      </c>
      <c r="M512" t="n">
        <v>295</v>
      </c>
      <c r="N512" t="n">
        <v>1</v>
      </c>
      <c r="DO512" t="n">
        <v>1.5</v>
      </c>
      <c r="DP512" t="n">
        <v>140.91</v>
      </c>
      <c r="DQ512" t="n">
        <v>70.48999999999999</v>
      </c>
      <c r="DR512" t="n">
        <v>140.98</v>
      </c>
      <c r="DS512" t="n">
        <v>-0.07000000000000001</v>
      </c>
      <c r="DT512" t="n">
        <v>3260</v>
      </c>
      <c r="DU512" t="n">
        <v>85.8</v>
      </c>
      <c r="DV512" t="inlineStr">
        <is>
          <t>flat</t>
        </is>
      </c>
      <c r="DW512" t="n">
        <v>83.7</v>
      </c>
      <c r="DX512" t="n">
        <v>92.27</v>
      </c>
      <c r="DY512" t="n">
        <v>20.55</v>
      </c>
      <c r="DZ512" t="n">
        <v>26.5</v>
      </c>
      <c r="EA512" t="n">
        <v>114.91</v>
      </c>
      <c r="EB512" t="n">
        <v>77</v>
      </c>
      <c r="EC512" t="n">
        <v>37</v>
      </c>
      <c r="ED512" t="n">
        <v>8.300000000000001</v>
      </c>
      <c r="EE512" t="n">
        <v>209</v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n">
        <v>4.5</v>
      </c>
      <c r="F513" t="b">
        <v>1</v>
      </c>
      <c r="G513" t="b">
        <v>0</v>
      </c>
      <c r="H513" t="n">
        <v>28.9</v>
      </c>
      <c r="I513" t="inlineStr">
        <is>
          <t>a</t>
        </is>
      </c>
      <c r="M513" t="n">
        <v>288</v>
      </c>
      <c r="DO513" t="n">
        <v>0.5</v>
      </c>
      <c r="DP513" t="n">
        <v>11.47</v>
      </c>
      <c r="DQ513" t="n">
        <v>5.88</v>
      </c>
      <c r="DR513" t="n">
        <v>11.76</v>
      </c>
      <c r="DS513" t="n">
        <v>-0.29</v>
      </c>
      <c r="DT513" t="n">
        <v>51</v>
      </c>
      <c r="DU513" t="n">
        <v>1.35</v>
      </c>
      <c r="DV513" t="inlineStr">
        <is>
          <t>flat</t>
        </is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n">
        <v>5</v>
      </c>
      <c r="F514" t="b">
        <v>1</v>
      </c>
      <c r="G514" t="b">
        <v>0</v>
      </c>
      <c r="H514" t="n">
        <v>30.9</v>
      </c>
      <c r="I514" t="inlineStr">
        <is>
          <t>a</t>
        </is>
      </c>
      <c r="M514" t="n">
        <v>319</v>
      </c>
      <c r="DO514" t="n">
        <v>0.1</v>
      </c>
      <c r="DP514" t="n">
        <v>0</v>
      </c>
      <c r="DQ514" t="n">
        <v>0</v>
      </c>
      <c r="DR514" t="n">
        <v>0</v>
      </c>
      <c r="DS514" t="n">
        <v>0</v>
      </c>
      <c r="DT514" t="n">
        <v>0</v>
      </c>
      <c r="DU514" t="n">
        <v>0</v>
      </c>
      <c r="DV514" t="inlineStr">
        <is>
          <t>flat</t>
        </is>
      </c>
    </row>
    <row r="515">
      <c r="A515" t="inlineStr">
        <is>
          <t>Josh Cullen</t>
        </is>
      </c>
      <c r="D515" t="inlineStr">
        <is>
          <t>MID</t>
        </is>
      </c>
      <c r="F515" t="b">
        <v>0</v>
      </c>
      <c r="G515" t="b">
        <v>1</v>
      </c>
      <c r="L515" t="inlineStr">
        <is>
          <t>p172567</t>
        </is>
      </c>
      <c r="Q515" t="n">
        <v>1519</v>
      </c>
      <c r="R515" t="n">
        <v>18</v>
      </c>
      <c r="T515" t="n">
        <v>16.878</v>
      </c>
      <c r="U515" t="n">
        <v>84.40000000000001</v>
      </c>
      <c r="Z515" t="n">
        <v>2</v>
      </c>
      <c r="AD515" t="n">
        <v>7</v>
      </c>
      <c r="AE515" t="n">
        <v>-1</v>
      </c>
      <c r="AG515" t="n">
        <v>307</v>
      </c>
      <c r="AH515" t="n">
        <v>-14</v>
      </c>
      <c r="AI515" t="n">
        <v>69</v>
      </c>
      <c r="AN515" t="n">
        <v>6</v>
      </c>
      <c r="AO515" t="n">
        <v>12</v>
      </c>
      <c r="AP515" t="n">
        <v>0.333</v>
      </c>
      <c r="AQ515" t="n">
        <v>0.333</v>
      </c>
      <c r="AR515" t="n">
        <v>0.333</v>
      </c>
      <c r="AS515" t="n">
        <v>0.474</v>
      </c>
      <c r="AT515" t="n">
        <v>0.944</v>
      </c>
      <c r="AU515" t="n">
        <v>8</v>
      </c>
      <c r="AV515" t="n">
        <v>2</v>
      </c>
      <c r="AW515" t="n">
        <v>2.97</v>
      </c>
      <c r="AX515" t="n">
        <v>14</v>
      </c>
      <c r="AZ515" t="n">
        <v>1.014</v>
      </c>
      <c r="BA515" t="n">
        <v>1.014</v>
      </c>
      <c r="BB515" t="n">
        <v>1.014</v>
      </c>
      <c r="BD515" t="n">
        <v>0.06</v>
      </c>
      <c r="BE515" t="n">
        <v>0.06</v>
      </c>
      <c r="BF515" t="n">
        <v>2.1</v>
      </c>
      <c r="BG515" t="n">
        <v>0.124</v>
      </c>
      <c r="BH515" t="n">
        <v>1.154</v>
      </c>
      <c r="BI515" t="n">
        <v>1.53</v>
      </c>
      <c r="BJ515" t="n">
        <v>1.085</v>
      </c>
      <c r="BK515" t="n">
        <v>0.064</v>
      </c>
      <c r="BP515" t="n">
        <v>11</v>
      </c>
      <c r="BQ515" t="n">
        <v>6</v>
      </c>
      <c r="BS515" t="n">
        <v>7</v>
      </c>
      <c r="BT515" t="n">
        <v>0.415</v>
      </c>
      <c r="BX515" t="n">
        <v>1.817</v>
      </c>
      <c r="BY515" t="n">
        <v>1.817</v>
      </c>
      <c r="BZ515" t="n">
        <v>0.108</v>
      </c>
      <c r="CA515" t="n">
        <v>2.831</v>
      </c>
      <c r="CB515" t="n">
        <v>0.168</v>
      </c>
      <c r="CC515" t="n">
        <v>13</v>
      </c>
      <c r="CD515" t="n">
        <v>4</v>
      </c>
      <c r="CE515" t="n">
        <v>13</v>
      </c>
      <c r="CF515" t="n">
        <v>1</v>
      </c>
      <c r="CG515" t="n">
        <v>4</v>
      </c>
      <c r="CH515" t="n">
        <v>5</v>
      </c>
      <c r="CI515" t="n">
        <v>6.163</v>
      </c>
      <c r="CJ515" t="n">
        <v>4.626</v>
      </c>
      <c r="CN515" t="n">
        <v>18</v>
      </c>
      <c r="CO515" t="n">
        <v>22</v>
      </c>
      <c r="CP515" t="n">
        <v>35</v>
      </c>
      <c r="CQ515" t="n">
        <v>11</v>
      </c>
      <c r="CR515" t="n">
        <v>66</v>
      </c>
      <c r="CS515" t="n">
        <v>17</v>
      </c>
      <c r="CV515" t="n">
        <v>2</v>
      </c>
      <c r="DH515" t="n">
        <v>16</v>
      </c>
      <c r="DI515" t="n">
        <v>18</v>
      </c>
      <c r="DK515" t="n">
        <v>1</v>
      </c>
      <c r="DL515" t="n">
        <v>2</v>
      </c>
      <c r="DM515" t="n">
        <v>10</v>
      </c>
      <c r="EF515" t="n">
        <v>138.1</v>
      </c>
      <c r="EG515" t="n">
        <v>217</v>
      </c>
      <c r="EH515" t="n">
        <v>116.8</v>
      </c>
      <c r="EI515" t="n">
        <v>1497.7</v>
      </c>
      <c r="EJ515" t="n">
        <v>836.1</v>
      </c>
      <c r="EK515" t="n">
        <v>536.5</v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n">
        <v>4</v>
      </c>
      <c r="F516" t="b">
        <v>1</v>
      </c>
      <c r="G516" t="b">
        <v>0</v>
      </c>
      <c r="H516" t="n">
        <v>28.3</v>
      </c>
      <c r="I516" t="inlineStr">
        <is>
          <t>a</t>
        </is>
      </c>
      <c r="M516" t="n">
        <v>176</v>
      </c>
      <c r="DO516" t="n">
        <v>0.7</v>
      </c>
      <c r="DP516" t="n">
        <v>87.41</v>
      </c>
      <c r="DQ516" t="n">
        <v>43.71</v>
      </c>
      <c r="DR516" t="n">
        <v>87.42</v>
      </c>
      <c r="DS516" t="n">
        <v>-0.01</v>
      </c>
      <c r="DT516" t="n">
        <v>2992</v>
      </c>
      <c r="DU516" t="n">
        <v>78.75</v>
      </c>
      <c r="DV516" t="inlineStr">
        <is>
          <t>flat</t>
        </is>
      </c>
    </row>
    <row r="517">
      <c r="A517" t="inlineStr">
        <is>
          <t>Marcus Edwards</t>
        </is>
      </c>
      <c r="D517" t="inlineStr">
        <is>
          <t>MID</t>
        </is>
      </c>
      <c r="F517" t="b">
        <v>0</v>
      </c>
      <c r="G517" t="b">
        <v>1</v>
      </c>
      <c r="L517" t="inlineStr">
        <is>
          <t>p174592</t>
        </is>
      </c>
      <c r="Q517" t="n">
        <v>1064</v>
      </c>
      <c r="R517" t="n">
        <v>23</v>
      </c>
      <c r="T517" t="n">
        <v>11.822</v>
      </c>
      <c r="U517" t="n">
        <v>46.3</v>
      </c>
      <c r="Z517" t="n">
        <v>3</v>
      </c>
      <c r="AD517" t="n">
        <v>2</v>
      </c>
      <c r="AE517" t="n">
        <v>0</v>
      </c>
      <c r="AG517" t="n">
        <v>189</v>
      </c>
      <c r="AH517" t="n">
        <v>0</v>
      </c>
      <c r="AI517" t="n">
        <v>51</v>
      </c>
      <c r="AN517" t="n">
        <v>0</v>
      </c>
      <c r="AO517" t="n">
        <v>0</v>
      </c>
      <c r="AP517" t="n">
        <v>0</v>
      </c>
      <c r="AQ517" t="n">
        <v>0</v>
      </c>
      <c r="AR517" t="n">
        <v>0</v>
      </c>
      <c r="AS517" t="n">
        <v>0.289</v>
      </c>
      <c r="AT517" t="n">
        <v>0.478</v>
      </c>
      <c r="AU517" t="n">
        <v>18</v>
      </c>
      <c r="AV517" t="n">
        <v>0</v>
      </c>
      <c r="AW517" t="n">
        <v>1.85</v>
      </c>
      <c r="AX517" t="n">
        <v>9</v>
      </c>
      <c r="AZ517" t="n">
        <v>2.284</v>
      </c>
      <c r="BA517" t="n">
        <v>2.284</v>
      </c>
      <c r="BB517" t="n">
        <v>2.284</v>
      </c>
      <c r="BD517" t="n">
        <v>0.193</v>
      </c>
      <c r="BE517" t="n">
        <v>0.193</v>
      </c>
      <c r="BF517" t="n">
        <v>1</v>
      </c>
      <c r="BG517" t="n">
        <v>0.08500000000000001</v>
      </c>
      <c r="BH517" t="n">
        <v>0.948</v>
      </c>
      <c r="BI517" t="n">
        <v>1.49</v>
      </c>
      <c r="BJ517" t="n">
        <v>1.413</v>
      </c>
      <c r="BK517" t="n">
        <v>0.12</v>
      </c>
      <c r="BP517" t="n">
        <v>23</v>
      </c>
      <c r="BQ517" t="n">
        <v>6</v>
      </c>
      <c r="BR517" t="n">
        <v>2</v>
      </c>
      <c r="BS517" t="n">
        <v>54</v>
      </c>
      <c r="BT517" t="n">
        <v>4.568</v>
      </c>
      <c r="BX517" t="n">
        <v>2.546</v>
      </c>
      <c r="BY517" t="n">
        <v>2.546</v>
      </c>
      <c r="BZ517" t="n">
        <v>0.215</v>
      </c>
      <c r="CA517" t="n">
        <v>4.83</v>
      </c>
      <c r="CB517" t="n">
        <v>0.409</v>
      </c>
      <c r="CC517" t="n">
        <v>20</v>
      </c>
      <c r="CD517" t="n">
        <v>6</v>
      </c>
      <c r="CE517" t="n">
        <v>20</v>
      </c>
      <c r="CF517" t="n">
        <v>5</v>
      </c>
      <c r="CG517" t="n">
        <v>2</v>
      </c>
      <c r="CH517" t="n">
        <v>5</v>
      </c>
      <c r="CI517" t="n">
        <v>6.093</v>
      </c>
      <c r="CJ517" t="n">
        <v>3.158</v>
      </c>
      <c r="CN517" t="n">
        <v>5</v>
      </c>
      <c r="CO517" t="n">
        <v>2</v>
      </c>
      <c r="CP517" t="n">
        <v>4</v>
      </c>
      <c r="CR517" t="n">
        <v>45</v>
      </c>
      <c r="CS517" t="n">
        <v>2</v>
      </c>
      <c r="CT517" t="n">
        <v>0.7</v>
      </c>
      <c r="DH517" t="n">
        <v>7</v>
      </c>
      <c r="DI517" t="n">
        <v>18</v>
      </c>
      <c r="DL517" t="n">
        <v>14</v>
      </c>
      <c r="DM517" t="n">
        <v>28</v>
      </c>
      <c r="DN517" t="n">
        <v>1</v>
      </c>
      <c r="EF517" t="n">
        <v>46.3</v>
      </c>
      <c r="EG517" t="n">
        <v>19.7</v>
      </c>
      <c r="EH517" t="n">
        <v>53.2</v>
      </c>
      <c r="EI517" t="n">
        <v>465.9</v>
      </c>
      <c r="EJ517" t="n">
        <v>417.9</v>
      </c>
      <c r="EK517" t="n">
        <v>220.3</v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n">
        <v>5.5</v>
      </c>
      <c r="F518" t="b">
        <v>1</v>
      </c>
      <c r="G518" t="b">
        <v>0</v>
      </c>
      <c r="H518" t="n">
        <v>28.4</v>
      </c>
      <c r="I518" t="inlineStr">
        <is>
          <t>a</t>
        </is>
      </c>
      <c r="M518" t="n">
        <v>193</v>
      </c>
      <c r="N518" t="n">
        <v>1</v>
      </c>
      <c r="DO518" t="n">
        <v>1.7</v>
      </c>
      <c r="DP518" t="n">
        <v>127.54</v>
      </c>
      <c r="DQ518" t="n">
        <v>58.93</v>
      </c>
      <c r="DR518" t="n">
        <v>117.86</v>
      </c>
      <c r="DS518" t="n">
        <v>9.68</v>
      </c>
      <c r="DT518" t="n">
        <v>2656</v>
      </c>
      <c r="DU518" t="n">
        <v>69.90000000000001</v>
      </c>
      <c r="DV518" t="inlineStr">
        <is>
          <t>ramp-up (injury / late WC return)</t>
        </is>
      </c>
      <c r="DW518" t="n">
        <v>82.77</v>
      </c>
      <c r="DX518" t="n">
        <v>89.93000000000001</v>
      </c>
      <c r="DY518" t="n">
        <v>24.52</v>
      </c>
      <c r="DZ518" t="n">
        <v>24</v>
      </c>
      <c r="EA518" t="n">
        <v>120</v>
      </c>
      <c r="EB518" t="n">
        <v>97</v>
      </c>
      <c r="EC518" t="n">
        <v>46.6</v>
      </c>
      <c r="ED518" t="n">
        <v>5.8</v>
      </c>
      <c r="EE518" t="n">
        <v>207</v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n">
        <v>4</v>
      </c>
      <c r="F519" t="b">
        <v>1</v>
      </c>
      <c r="G519" t="b">
        <v>0</v>
      </c>
      <c r="H519" t="n">
        <v>30.8</v>
      </c>
      <c r="I519" t="inlineStr">
        <is>
          <t>a</t>
        </is>
      </c>
      <c r="M519" t="n">
        <v>308</v>
      </c>
      <c r="DO519" t="n">
        <v>0.6</v>
      </c>
      <c r="DP519" t="n">
        <v>78.2</v>
      </c>
      <c r="DQ519" t="n">
        <v>39.1</v>
      </c>
      <c r="DR519" t="n">
        <v>78.2</v>
      </c>
      <c r="DS519" t="n">
        <v>0</v>
      </c>
      <c r="DT519" t="n">
        <v>2775</v>
      </c>
      <c r="DU519" t="n">
        <v>73.02</v>
      </c>
      <c r="DV519" t="inlineStr">
        <is>
          <t>flat</t>
        </is>
      </c>
    </row>
    <row r="520">
      <c r="A520" t="inlineStr">
        <is>
          <t>Jarrod Bowen</t>
        </is>
      </c>
      <c r="D520" t="inlineStr">
        <is>
          <t>FWD</t>
        </is>
      </c>
      <c r="F520" t="b">
        <v>0</v>
      </c>
      <c r="G520" t="b">
        <v>1</v>
      </c>
      <c r="L520" t="inlineStr">
        <is>
          <t>p178186</t>
        </is>
      </c>
      <c r="Q520" t="n">
        <v>3405</v>
      </c>
      <c r="R520" t="n">
        <v>38</v>
      </c>
      <c r="T520" t="n">
        <v>37.833</v>
      </c>
      <c r="U520" t="n">
        <v>89.59999999999999</v>
      </c>
      <c r="Z520" t="n">
        <v>11</v>
      </c>
      <c r="AD520" t="n">
        <v>28</v>
      </c>
      <c r="AE520" t="n">
        <v>0</v>
      </c>
      <c r="AG520" t="n">
        <v>718</v>
      </c>
      <c r="AH520" t="n">
        <v>-13</v>
      </c>
      <c r="AI520" t="n">
        <v>187</v>
      </c>
      <c r="AN520" t="n">
        <v>6</v>
      </c>
      <c r="AO520" t="n">
        <v>12</v>
      </c>
      <c r="AP520" t="n">
        <v>0.158</v>
      </c>
      <c r="AQ520" t="n">
        <v>0.237</v>
      </c>
      <c r="AR520" t="n">
        <v>0.158</v>
      </c>
      <c r="AS520" t="n">
        <v>1</v>
      </c>
      <c r="AT520" t="n">
        <v>1</v>
      </c>
      <c r="AU520" t="n">
        <v>17</v>
      </c>
      <c r="AV520" t="n">
        <v>4</v>
      </c>
      <c r="AW520" t="n">
        <v>3.54</v>
      </c>
      <c r="AX520" t="n">
        <v>14</v>
      </c>
      <c r="AZ520" t="n">
        <v>8.273999999999999</v>
      </c>
      <c r="BA520" t="n">
        <v>8.273999999999999</v>
      </c>
      <c r="BB520" t="n">
        <v>7.512</v>
      </c>
      <c r="BD520" t="n">
        <v>0.219</v>
      </c>
      <c r="BE520" t="n">
        <v>0.219</v>
      </c>
      <c r="BF520" t="n">
        <v>7.1</v>
      </c>
      <c r="BG520" t="n">
        <v>0.188</v>
      </c>
      <c r="BH520" t="n">
        <v>1.063</v>
      </c>
      <c r="BI520" t="n">
        <v>37.16</v>
      </c>
      <c r="BJ520" t="n">
        <v>7.674</v>
      </c>
      <c r="BK520" t="n">
        <v>0.203</v>
      </c>
      <c r="BP520" t="n">
        <v>79</v>
      </c>
      <c r="BQ520" t="n">
        <v>28</v>
      </c>
      <c r="BR520" t="n">
        <v>5</v>
      </c>
      <c r="BS520" t="n">
        <v>165</v>
      </c>
      <c r="BT520" t="n">
        <v>4.361</v>
      </c>
      <c r="BU520" t="n">
        <v>1</v>
      </c>
      <c r="BV520" t="n">
        <v>1</v>
      </c>
      <c r="BX520" t="n">
        <v>8.432</v>
      </c>
      <c r="BY520" t="n">
        <v>8.432</v>
      </c>
      <c r="BZ520" t="n">
        <v>0.223</v>
      </c>
      <c r="CA520" t="n">
        <v>16.706</v>
      </c>
      <c r="CB520" t="n">
        <v>0.442</v>
      </c>
      <c r="CC520" t="n">
        <v>44</v>
      </c>
      <c r="CD520" t="n">
        <v>16</v>
      </c>
      <c r="CE520" t="n">
        <v>45</v>
      </c>
      <c r="CF520" t="n">
        <v>27</v>
      </c>
      <c r="CG520" t="n">
        <v>3</v>
      </c>
      <c r="CH520" t="n">
        <v>57</v>
      </c>
      <c r="CI520" t="n">
        <v>14.381</v>
      </c>
      <c r="CJ520" t="n">
        <v>3.878</v>
      </c>
      <c r="CN520" t="n">
        <v>29</v>
      </c>
      <c r="CO520" t="n">
        <v>27</v>
      </c>
      <c r="CP520" t="n">
        <v>39</v>
      </c>
      <c r="CQ520" t="n">
        <v>7</v>
      </c>
      <c r="CR520" t="n">
        <v>185</v>
      </c>
      <c r="CS520" t="n">
        <v>33</v>
      </c>
      <c r="CT520" t="n">
        <v>0.7</v>
      </c>
      <c r="CV520" t="n">
        <v>1</v>
      </c>
      <c r="DE520" t="n">
        <v>7.19</v>
      </c>
      <c r="DH520" t="n">
        <v>19</v>
      </c>
      <c r="DI520" t="n">
        <v>49</v>
      </c>
      <c r="DJ520" t="n">
        <v>0</v>
      </c>
      <c r="DL520" t="n">
        <v>53</v>
      </c>
      <c r="DM520" t="n">
        <v>77</v>
      </c>
      <c r="DN520" t="n">
        <v>17</v>
      </c>
      <c r="EF520" t="n">
        <v>43.1</v>
      </c>
      <c r="EG520" t="n">
        <v>20.6</v>
      </c>
      <c r="EH520" t="n">
        <v>75.7</v>
      </c>
      <c r="EI520" t="n">
        <v>411.6</v>
      </c>
      <c r="EJ520" t="n">
        <v>403.8</v>
      </c>
      <c r="EK520" t="n">
        <v>203.8</v>
      </c>
    </row>
    <row r="521">
      <c r="A521" t="inlineStr">
        <is>
          <t>Marc Cucurella</t>
        </is>
      </c>
      <c r="D521" t="inlineStr">
        <is>
          <t>DEF</t>
        </is>
      </c>
      <c r="F521" t="b">
        <v>0</v>
      </c>
      <c r="G521" t="b">
        <v>1</v>
      </c>
      <c r="L521" t="inlineStr">
        <is>
          <t>p179268</t>
        </is>
      </c>
      <c r="Q521" t="n">
        <v>2710</v>
      </c>
      <c r="R521" t="n">
        <v>34</v>
      </c>
      <c r="T521" t="n">
        <v>30.111</v>
      </c>
      <c r="U521" t="n">
        <v>79.7</v>
      </c>
      <c r="Z521" t="n">
        <v>4</v>
      </c>
      <c r="AD521" t="n">
        <v>4</v>
      </c>
      <c r="AE521" t="n">
        <v>-1</v>
      </c>
      <c r="AG521" t="n">
        <v>443</v>
      </c>
      <c r="AH521" t="n">
        <v>-25</v>
      </c>
      <c r="AI521" t="n">
        <v>103</v>
      </c>
      <c r="AN521" t="n">
        <v>2</v>
      </c>
      <c r="AO521" t="n">
        <v>4</v>
      </c>
      <c r="AP521" t="n">
        <v>0.065</v>
      </c>
      <c r="AQ521" t="n">
        <v>0.065</v>
      </c>
      <c r="AR521" t="n">
        <v>0</v>
      </c>
      <c r="AS521" t="n">
        <v>0.8159999999999999</v>
      </c>
      <c r="AT521" t="n">
        <v>0.853</v>
      </c>
      <c r="AU521" t="n">
        <v>19</v>
      </c>
      <c r="AV521" t="n">
        <v>0</v>
      </c>
      <c r="AW521" t="n">
        <v>2.85</v>
      </c>
      <c r="AX521" t="n">
        <v>8</v>
      </c>
      <c r="AZ521" t="n">
        <v>1.886</v>
      </c>
      <c r="BA521" t="n">
        <v>1.886</v>
      </c>
      <c r="BB521" t="n">
        <v>1.886</v>
      </c>
      <c r="BD521" t="n">
        <v>0.063</v>
      </c>
      <c r="BE521" t="n">
        <v>0.063</v>
      </c>
      <c r="BF521" t="n">
        <v>1.8</v>
      </c>
      <c r="BG521" t="n">
        <v>0.06</v>
      </c>
      <c r="BH521" t="n">
        <v>1.043</v>
      </c>
      <c r="BI521" t="n">
        <v>6.67</v>
      </c>
      <c r="BJ521" t="n">
        <v>2.44</v>
      </c>
      <c r="BK521" t="n">
        <v>0.081</v>
      </c>
      <c r="BP521" t="n">
        <v>20</v>
      </c>
      <c r="BQ521" t="n">
        <v>6</v>
      </c>
      <c r="BR521" t="n">
        <v>1</v>
      </c>
      <c r="BS521" t="n">
        <v>84</v>
      </c>
      <c r="BT521" t="n">
        <v>2.79</v>
      </c>
      <c r="BV521" t="n">
        <v>1</v>
      </c>
      <c r="BX521" t="n">
        <v>4.542</v>
      </c>
      <c r="BY521" t="n">
        <v>4.542</v>
      </c>
      <c r="BZ521" t="n">
        <v>0.151</v>
      </c>
      <c r="CA521" t="n">
        <v>6.428</v>
      </c>
      <c r="CB521" t="n">
        <v>0.213</v>
      </c>
      <c r="CC521" t="n">
        <v>39</v>
      </c>
      <c r="CD521" t="n">
        <v>6</v>
      </c>
      <c r="CE521" t="n">
        <v>39</v>
      </c>
      <c r="CF521" t="n">
        <v>13</v>
      </c>
      <c r="CG521" t="n">
        <v>0</v>
      </c>
      <c r="CH521" t="n">
        <v>1</v>
      </c>
      <c r="CI521" t="n">
        <v>15.159</v>
      </c>
      <c r="CJ521" t="n">
        <v>12.004</v>
      </c>
      <c r="CN521" t="n">
        <v>40</v>
      </c>
      <c r="CO521" t="n">
        <v>32</v>
      </c>
      <c r="CP521" t="n">
        <v>87</v>
      </c>
      <c r="CQ521" t="n">
        <v>8</v>
      </c>
      <c r="CR521" t="n">
        <v>120</v>
      </c>
      <c r="CS521" t="n">
        <v>36</v>
      </c>
      <c r="CT521" t="n">
        <v>0.2</v>
      </c>
      <c r="CV521" t="n">
        <v>1</v>
      </c>
      <c r="DE521" t="n">
        <v>6.97</v>
      </c>
      <c r="DH521" t="n">
        <v>45</v>
      </c>
      <c r="DI521" t="n">
        <v>29</v>
      </c>
      <c r="DL521" t="n">
        <v>1</v>
      </c>
      <c r="DM521" t="n">
        <v>7</v>
      </c>
      <c r="DN521" t="n">
        <v>5</v>
      </c>
      <c r="EF521" t="n">
        <v>135.5</v>
      </c>
      <c r="EG521" t="n">
        <v>32.3</v>
      </c>
      <c r="EH521" t="n">
        <v>69.5</v>
      </c>
      <c r="EI521" t="n">
        <v>1436.8</v>
      </c>
      <c r="EJ521" t="n">
        <v>596.7</v>
      </c>
      <c r="EK521" t="n">
        <v>421.6</v>
      </c>
    </row>
    <row r="522">
      <c r="A522" t="inlineStr">
        <is>
          <t>Jacob Bruun Larsen</t>
        </is>
      </c>
      <c r="D522" t="inlineStr">
        <is>
          <t>MID</t>
        </is>
      </c>
      <c r="F522" t="b">
        <v>0</v>
      </c>
      <c r="G522" t="b">
        <v>1</v>
      </c>
      <c r="L522" t="inlineStr">
        <is>
          <t>p179458</t>
        </is>
      </c>
      <c r="Q522" t="n">
        <v>1023</v>
      </c>
      <c r="R522" t="n">
        <v>28</v>
      </c>
      <c r="T522" t="n">
        <v>11.367</v>
      </c>
      <c r="U522" t="n">
        <v>36.5</v>
      </c>
      <c r="Z522" t="n">
        <v>1</v>
      </c>
      <c r="AD522" t="n">
        <v>0</v>
      </c>
      <c r="AE522" t="n">
        <v>0</v>
      </c>
      <c r="AG522" t="n">
        <v>119</v>
      </c>
      <c r="AH522" t="n">
        <v>-4</v>
      </c>
      <c r="AI522" t="n">
        <v>41</v>
      </c>
      <c r="AN522" t="n">
        <v>0</v>
      </c>
      <c r="AO522" t="n">
        <v>0</v>
      </c>
      <c r="AP522" t="n">
        <v>0</v>
      </c>
      <c r="AQ522" t="n">
        <v>0.1</v>
      </c>
      <c r="AR522" t="n">
        <v>0</v>
      </c>
      <c r="AS522" t="n">
        <v>0.263</v>
      </c>
      <c r="AT522" t="n">
        <v>0.25</v>
      </c>
      <c r="AU522" t="n">
        <v>24</v>
      </c>
      <c r="AV522" t="n">
        <v>0</v>
      </c>
      <c r="AW522" t="n">
        <v>1.05</v>
      </c>
      <c r="AX522" t="n">
        <v>5</v>
      </c>
      <c r="AZ522" t="n">
        <v>1.432</v>
      </c>
      <c r="BA522" t="n">
        <v>1.432</v>
      </c>
      <c r="BB522" t="n">
        <v>1.432</v>
      </c>
      <c r="BD522" t="n">
        <v>0.126</v>
      </c>
      <c r="BE522" t="n">
        <v>0.126</v>
      </c>
      <c r="BF522" t="n">
        <v>0.9</v>
      </c>
      <c r="BG522" t="n">
        <v>0.079</v>
      </c>
      <c r="BH522" t="n">
        <v>0.97</v>
      </c>
      <c r="BI522" t="n">
        <v>6.02</v>
      </c>
      <c r="BJ522" t="n">
        <v>1.329</v>
      </c>
      <c r="BK522" t="n">
        <v>0.117</v>
      </c>
      <c r="BP522" t="n">
        <v>17</v>
      </c>
      <c r="BQ522" t="n">
        <v>4</v>
      </c>
      <c r="BR522" t="n">
        <v>2</v>
      </c>
      <c r="BS522" t="n">
        <v>35</v>
      </c>
      <c r="BT522" t="n">
        <v>3.079</v>
      </c>
      <c r="BX522" t="n">
        <v>1.378</v>
      </c>
      <c r="BY522" t="n">
        <v>1.378</v>
      </c>
      <c r="BZ522" t="n">
        <v>0.121</v>
      </c>
      <c r="CA522" t="n">
        <v>2.81</v>
      </c>
      <c r="CB522" t="n">
        <v>0.247</v>
      </c>
      <c r="CC522" t="n">
        <v>12</v>
      </c>
      <c r="CD522" t="n">
        <v>2</v>
      </c>
      <c r="CE522" t="n">
        <v>12</v>
      </c>
      <c r="CF522" t="n">
        <v>9</v>
      </c>
      <c r="CH522" t="n">
        <v>18</v>
      </c>
      <c r="CI522" t="n">
        <v>4.529</v>
      </c>
      <c r="CJ522" t="n">
        <v>2.253</v>
      </c>
      <c r="CN522" t="n">
        <v>4</v>
      </c>
      <c r="CO522" t="n">
        <v>6</v>
      </c>
      <c r="CP522" t="n">
        <v>13</v>
      </c>
      <c r="CQ522" t="n">
        <v>1</v>
      </c>
      <c r="CR522" t="n">
        <v>33</v>
      </c>
      <c r="CS522" t="n">
        <v>11</v>
      </c>
      <c r="CT522" t="n">
        <v>0.4</v>
      </c>
      <c r="DE522" t="n">
        <v>6.3</v>
      </c>
      <c r="DH522" t="n">
        <v>1</v>
      </c>
      <c r="DI522" t="n">
        <v>0</v>
      </c>
      <c r="DL522" t="n">
        <v>10</v>
      </c>
      <c r="DM522" t="n">
        <v>11</v>
      </c>
      <c r="DN522" t="n">
        <v>4</v>
      </c>
      <c r="EF522" t="n">
        <v>60.2</v>
      </c>
      <c r="EG522" t="n">
        <v>29.2</v>
      </c>
      <c r="EH522" t="n">
        <v>85.2</v>
      </c>
      <c r="EI522" t="n">
        <v>714.3</v>
      </c>
      <c r="EJ522" t="n">
        <v>742.2</v>
      </c>
      <c r="EK522" t="n">
        <v>364</v>
      </c>
    </row>
    <row r="523">
      <c r="A523" t="inlineStr">
        <is>
          <t>Axel Tuanzebe</t>
        </is>
      </c>
      <c r="D523" t="inlineStr">
        <is>
          <t>DEF</t>
        </is>
      </c>
      <c r="F523" t="b">
        <v>0</v>
      </c>
      <c r="G523" t="b">
        <v>1</v>
      </c>
      <c r="L523" t="inlineStr">
        <is>
          <t>p180804</t>
        </is>
      </c>
      <c r="Q523" t="n">
        <v>1202</v>
      </c>
      <c r="R523" t="n">
        <v>14</v>
      </c>
      <c r="T523" t="n">
        <v>13.356</v>
      </c>
      <c r="U523" t="n">
        <v>85.90000000000001</v>
      </c>
      <c r="AD523" t="n">
        <v>0</v>
      </c>
      <c r="AE523" t="n">
        <v>0</v>
      </c>
      <c r="AG523" t="n">
        <v>85</v>
      </c>
      <c r="AH523" t="n">
        <v>-17</v>
      </c>
      <c r="AI523" t="n">
        <v>34</v>
      </c>
      <c r="AN523" t="n">
        <v>5</v>
      </c>
      <c r="AO523" t="n">
        <v>10</v>
      </c>
      <c r="AP523" t="n">
        <v>0.357</v>
      </c>
      <c r="AQ523" t="n">
        <v>0.357</v>
      </c>
      <c r="AR523" t="n">
        <v>0.07099999999999999</v>
      </c>
      <c r="AS523" t="n">
        <v>0.368</v>
      </c>
      <c r="AT523" t="n">
        <v>0.929</v>
      </c>
      <c r="AU523" t="n">
        <v>8</v>
      </c>
      <c r="AV523" t="n">
        <v>0</v>
      </c>
      <c r="AW523" t="n">
        <v>1.96</v>
      </c>
      <c r="AX523" t="n">
        <v>8</v>
      </c>
      <c r="AZ523" t="n">
        <v>0.5580000000000001</v>
      </c>
      <c r="BA523" t="n">
        <v>0.5580000000000001</v>
      </c>
      <c r="BB523" t="n">
        <v>0.5580000000000001</v>
      </c>
      <c r="BD523" t="n">
        <v>0.042</v>
      </c>
      <c r="BE523" t="n">
        <v>0.042</v>
      </c>
      <c r="BF523" t="n">
        <v>0.9</v>
      </c>
      <c r="BG523" t="n">
        <v>0.067</v>
      </c>
      <c r="BH523" t="n">
        <v>1.009</v>
      </c>
      <c r="BI523" t="n">
        <v>0.82</v>
      </c>
      <c r="BJ523" t="n">
        <v>0.616</v>
      </c>
      <c r="BK523" t="n">
        <v>0.046</v>
      </c>
      <c r="BP523" t="n">
        <v>2</v>
      </c>
      <c r="BQ523" t="n">
        <v>1</v>
      </c>
      <c r="BS523" t="n">
        <v>2</v>
      </c>
      <c r="BT523" t="n">
        <v>0.15</v>
      </c>
      <c r="BX523" t="n">
        <v>0</v>
      </c>
      <c r="BY523" t="n">
        <v>0</v>
      </c>
      <c r="BZ523" t="n">
        <v>0</v>
      </c>
      <c r="CA523" t="n">
        <v>0.5580000000000001</v>
      </c>
      <c r="CB523" t="n">
        <v>0.042</v>
      </c>
      <c r="CC523" t="n">
        <v>0</v>
      </c>
      <c r="CI523" t="n">
        <v>2.775</v>
      </c>
      <c r="CJ523" t="n">
        <v>2.216</v>
      </c>
      <c r="CN523" t="n">
        <v>8</v>
      </c>
      <c r="CO523" t="n">
        <v>11</v>
      </c>
      <c r="CP523" t="n">
        <v>83</v>
      </c>
      <c r="CQ523" t="n">
        <v>11</v>
      </c>
      <c r="CR523" t="n">
        <v>38</v>
      </c>
      <c r="CS523" t="n">
        <v>22</v>
      </c>
      <c r="CV523" t="n">
        <v>3</v>
      </c>
      <c r="DH523" t="n">
        <v>13</v>
      </c>
      <c r="DI523" t="n">
        <v>2</v>
      </c>
      <c r="DK523" t="n">
        <v>1</v>
      </c>
      <c r="DN523" t="n">
        <v>1</v>
      </c>
      <c r="EF523" t="n">
        <v>601</v>
      </c>
      <c r="EG523" t="n">
        <v>601</v>
      </c>
      <c r="EI523" t="n">
        <v>2153.1</v>
      </c>
      <c r="EK523" t="n">
        <v>2153.1</v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n">
        <v>4</v>
      </c>
      <c r="F524" t="b">
        <v>1</v>
      </c>
      <c r="G524" t="b">
        <v>0</v>
      </c>
      <c r="H524" t="n">
        <v>29.7</v>
      </c>
      <c r="I524" t="inlineStr">
        <is>
          <t>a</t>
        </is>
      </c>
      <c r="M524" t="n">
        <v>303</v>
      </c>
      <c r="DO524" t="n">
        <v>0.6</v>
      </c>
      <c r="DP524" t="n">
        <v>13.96</v>
      </c>
      <c r="DQ524" t="n">
        <v>6.98</v>
      </c>
      <c r="DR524" t="n">
        <v>13.96</v>
      </c>
      <c r="DS524" t="n">
        <v>0</v>
      </c>
      <c r="DT524" t="n">
        <v>193</v>
      </c>
      <c r="DU524" t="n">
        <v>5.07</v>
      </c>
      <c r="DV524" t="inlineStr">
        <is>
          <t>flat</t>
        </is>
      </c>
    </row>
    <row r="525">
      <c r="A525" t="inlineStr">
        <is>
          <t>Hwang Hee-Chan</t>
        </is>
      </c>
      <c r="D525" t="inlineStr">
        <is>
          <t>MID</t>
        </is>
      </c>
      <c r="F525" t="b">
        <v>0</v>
      </c>
      <c r="G525" t="b">
        <v>1</v>
      </c>
      <c r="L525" t="inlineStr">
        <is>
          <t>p184754</t>
        </is>
      </c>
      <c r="Q525" t="n">
        <v>1452</v>
      </c>
      <c r="R525" t="n">
        <v>26</v>
      </c>
      <c r="T525" t="n">
        <v>16.133</v>
      </c>
      <c r="U525" t="n">
        <v>55.8</v>
      </c>
      <c r="Z525" t="n">
        <v>2</v>
      </c>
      <c r="AD525" t="n">
        <v>0</v>
      </c>
      <c r="AE525" t="n">
        <v>0</v>
      </c>
      <c r="AG525" t="n">
        <v>159</v>
      </c>
      <c r="AH525" t="n">
        <v>-6</v>
      </c>
      <c r="AI525" t="n">
        <v>54</v>
      </c>
      <c r="AN525" t="n">
        <v>0</v>
      </c>
      <c r="AO525" t="n">
        <v>0</v>
      </c>
      <c r="AP525" t="n">
        <v>0</v>
      </c>
      <c r="AQ525" t="n">
        <v>0.056</v>
      </c>
      <c r="AR525" t="n">
        <v>0</v>
      </c>
      <c r="AS525" t="n">
        <v>0.474</v>
      </c>
      <c r="AT525" t="n">
        <v>0.577</v>
      </c>
      <c r="AU525" t="n">
        <v>22</v>
      </c>
      <c r="AV525" t="n">
        <v>1</v>
      </c>
      <c r="AW525" t="n">
        <v>2.13</v>
      </c>
      <c r="AX525" t="n">
        <v>11</v>
      </c>
      <c r="AZ525" t="n">
        <v>2.662</v>
      </c>
      <c r="BA525" t="n">
        <v>2.662</v>
      </c>
      <c r="BB525" t="n">
        <v>1.901</v>
      </c>
      <c r="BD525" t="n">
        <v>0.165</v>
      </c>
      <c r="BE525" t="n">
        <v>0.165</v>
      </c>
      <c r="BF525" t="n">
        <v>2.7</v>
      </c>
      <c r="BG525" t="n">
        <v>0.167</v>
      </c>
      <c r="BH525" t="n">
        <v>0.965</v>
      </c>
      <c r="BI525" t="n">
        <v>13.66</v>
      </c>
      <c r="BJ525" t="n">
        <v>2.287</v>
      </c>
      <c r="BK525" t="n">
        <v>0.142</v>
      </c>
      <c r="BP525" t="n">
        <v>19</v>
      </c>
      <c r="BQ525" t="n">
        <v>6</v>
      </c>
      <c r="BR525" t="n">
        <v>2</v>
      </c>
      <c r="BS525" t="n">
        <v>29</v>
      </c>
      <c r="BT525" t="n">
        <v>1.798</v>
      </c>
      <c r="BU525" t="n">
        <v>1</v>
      </c>
      <c r="BX525" t="n">
        <v>1.882</v>
      </c>
      <c r="BY525" t="n">
        <v>1.882</v>
      </c>
      <c r="BZ525" t="n">
        <v>0.117</v>
      </c>
      <c r="CA525" t="n">
        <v>4.543</v>
      </c>
      <c r="CB525" t="n">
        <v>0.282</v>
      </c>
      <c r="CC525" t="n">
        <v>15</v>
      </c>
      <c r="CD525" t="n">
        <v>3</v>
      </c>
      <c r="CE525" t="n">
        <v>15</v>
      </c>
      <c r="CF525" t="n">
        <v>3</v>
      </c>
      <c r="CG525" t="n">
        <v>3</v>
      </c>
      <c r="CH525" t="n">
        <v>6</v>
      </c>
      <c r="CI525" t="n">
        <v>5.158</v>
      </c>
      <c r="CJ525" t="n">
        <v>1.747</v>
      </c>
      <c r="CN525" t="n">
        <v>4</v>
      </c>
      <c r="CO525" t="n">
        <v>13</v>
      </c>
      <c r="CP525" t="n">
        <v>16</v>
      </c>
      <c r="CR525" t="n">
        <v>43</v>
      </c>
      <c r="CS525" t="n">
        <v>6</v>
      </c>
      <c r="CT525" t="n">
        <v>0.4</v>
      </c>
      <c r="CU525" t="n">
        <v>2</v>
      </c>
      <c r="CV525" t="n">
        <v>1</v>
      </c>
      <c r="DE525" t="n">
        <v>6.41</v>
      </c>
      <c r="DH525" t="n">
        <v>28</v>
      </c>
      <c r="DI525" t="n">
        <v>18</v>
      </c>
      <c r="DL525" t="n">
        <v>9</v>
      </c>
      <c r="DM525" t="n">
        <v>11</v>
      </c>
      <c r="DN525" t="n">
        <v>9</v>
      </c>
      <c r="EF525" t="n">
        <v>76.40000000000001</v>
      </c>
      <c r="EG525" t="n">
        <v>50.1</v>
      </c>
      <c r="EH525" t="n">
        <v>96.8</v>
      </c>
      <c r="EI525" t="n">
        <v>545.5</v>
      </c>
      <c r="EJ525" t="n">
        <v>771.7</v>
      </c>
      <c r="EK525" t="n">
        <v>319.6</v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n">
        <v>4</v>
      </c>
      <c r="F526" t="b">
        <v>1</v>
      </c>
      <c r="G526" t="b">
        <v>0</v>
      </c>
      <c r="H526" t="n">
        <v>30.9</v>
      </c>
      <c r="I526" t="inlineStr">
        <is>
          <t>a</t>
        </is>
      </c>
      <c r="M526" t="n">
        <v>280</v>
      </c>
      <c r="DO526" t="n">
        <v>0.6</v>
      </c>
      <c r="DP526" t="n">
        <v>81.95</v>
      </c>
      <c r="DQ526" t="n">
        <v>41.09</v>
      </c>
      <c r="DR526" t="n">
        <v>82.18000000000001</v>
      </c>
      <c r="DS526" t="n">
        <v>-0.23</v>
      </c>
      <c r="DT526" t="n">
        <v>2833</v>
      </c>
      <c r="DU526" t="n">
        <v>74.55</v>
      </c>
      <c r="DV526" t="inlineStr">
        <is>
          <t>flat</t>
        </is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n">
        <v>5.5</v>
      </c>
      <c r="F527" t="b">
        <v>1</v>
      </c>
      <c r="G527" t="b">
        <v>0</v>
      </c>
      <c r="H527" t="n">
        <v>29.2</v>
      </c>
      <c r="I527" t="inlineStr">
        <is>
          <t>a</t>
        </is>
      </c>
      <c r="M527" t="n">
        <v>584</v>
      </c>
      <c r="DO527" t="n">
        <v>0</v>
      </c>
      <c r="DP527" t="n">
        <v>61.25</v>
      </c>
      <c r="DQ527" t="n">
        <v>30.78</v>
      </c>
      <c r="DR527" t="n">
        <v>61.56</v>
      </c>
      <c r="DS527" t="n">
        <v>-0.31</v>
      </c>
      <c r="DT527" t="n">
        <v>1476</v>
      </c>
      <c r="DU527" t="n">
        <v>38.85</v>
      </c>
      <c r="DV527" t="inlineStr">
        <is>
          <t>flat</t>
        </is>
      </c>
    </row>
    <row r="528">
      <c r="A528" t="inlineStr">
        <is>
          <t>Guido Rodríguez</t>
        </is>
      </c>
      <c r="D528" t="inlineStr">
        <is>
          <t>MID</t>
        </is>
      </c>
      <c r="F528" t="b">
        <v>0</v>
      </c>
      <c r="G528" t="b">
        <v>1</v>
      </c>
      <c r="L528" t="inlineStr">
        <is>
          <t>p197024</t>
        </is>
      </c>
      <c r="Q528" t="n">
        <v>177</v>
      </c>
      <c r="R528" t="n">
        <v>6</v>
      </c>
      <c r="T528" t="n">
        <v>1.967</v>
      </c>
      <c r="U528" t="n">
        <v>29.5</v>
      </c>
      <c r="AD528" t="n">
        <v>0</v>
      </c>
      <c r="AE528" t="n">
        <v>0</v>
      </c>
      <c r="AG528" t="n">
        <v>29</v>
      </c>
      <c r="AH528" t="n">
        <v>-1</v>
      </c>
      <c r="AI528" t="n">
        <v>8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0.053</v>
      </c>
      <c r="AT528" t="n">
        <v>0.333</v>
      </c>
      <c r="AU528" t="n">
        <v>6</v>
      </c>
      <c r="AV528" t="n">
        <v>0</v>
      </c>
      <c r="AW528" t="n">
        <v>0.53</v>
      </c>
      <c r="AX528" t="n">
        <v>2</v>
      </c>
      <c r="AZ528" t="n">
        <v>0.024</v>
      </c>
      <c r="BA528" t="n">
        <v>0.024</v>
      </c>
      <c r="BB528" t="n">
        <v>0.024</v>
      </c>
      <c r="BD528" t="n">
        <v>0.012</v>
      </c>
      <c r="BE528" t="n">
        <v>0.012</v>
      </c>
      <c r="BH528" t="n">
        <v>0.97</v>
      </c>
      <c r="BI528" t="n">
        <v>0.25</v>
      </c>
      <c r="BJ528" t="n">
        <v>0.029</v>
      </c>
      <c r="BK528" t="n">
        <v>0.015</v>
      </c>
      <c r="BP528" t="n">
        <v>1</v>
      </c>
      <c r="BX528" t="n">
        <v>0</v>
      </c>
      <c r="BY528" t="n">
        <v>0</v>
      </c>
      <c r="BZ528" t="n">
        <v>0</v>
      </c>
      <c r="CA528" t="n">
        <v>0.024</v>
      </c>
      <c r="CB528" t="n">
        <v>0.012</v>
      </c>
      <c r="CC528" t="n">
        <v>0</v>
      </c>
      <c r="CI528" t="n">
        <v>0.322</v>
      </c>
      <c r="CJ528" t="n">
        <v>0.298</v>
      </c>
      <c r="CO528" t="n">
        <v>2</v>
      </c>
      <c r="CP528" t="n">
        <v>2</v>
      </c>
      <c r="CR528" t="n">
        <v>7</v>
      </c>
      <c r="CS528" t="n">
        <v>2</v>
      </c>
      <c r="DH528" t="n">
        <v>2</v>
      </c>
      <c r="DI528" t="n">
        <v>4</v>
      </c>
      <c r="EF528" t="n">
        <v>177</v>
      </c>
      <c r="EI528" t="n">
        <v>7299.2</v>
      </c>
      <c r="EK528" t="n">
        <v>7299.2</v>
      </c>
    </row>
    <row r="529">
      <c r="A529" t="inlineStr">
        <is>
          <t>Odsonne Édouard</t>
        </is>
      </c>
      <c r="D529" t="inlineStr">
        <is>
          <t>FWD</t>
        </is>
      </c>
      <c r="F529" t="b">
        <v>0</v>
      </c>
      <c r="G529" t="b">
        <v>1</v>
      </c>
      <c r="L529" t="inlineStr">
        <is>
          <t>p199670</t>
        </is>
      </c>
      <c r="Q529" t="n">
        <v>2</v>
      </c>
      <c r="R529" t="n">
        <v>1</v>
      </c>
      <c r="T529" t="n">
        <v>0.022</v>
      </c>
      <c r="U529" t="n">
        <v>2</v>
      </c>
      <c r="AD529" t="n">
        <v>0</v>
      </c>
      <c r="AE529" t="n">
        <v>0</v>
      </c>
      <c r="AG529" t="n">
        <v>6</v>
      </c>
      <c r="AH529" t="n">
        <v>0</v>
      </c>
      <c r="AI529" t="n">
        <v>1</v>
      </c>
      <c r="AN529" t="n">
        <v>0</v>
      </c>
      <c r="AO529" t="n">
        <v>0</v>
      </c>
      <c r="AS529" t="n">
        <v>0</v>
      </c>
      <c r="AT529" t="n">
        <v>0</v>
      </c>
      <c r="AU529" t="n">
        <v>1</v>
      </c>
      <c r="AV529" t="n">
        <v>0</v>
      </c>
      <c r="AW529" t="n">
        <v>0.16</v>
      </c>
      <c r="AX529" t="n">
        <v>1</v>
      </c>
      <c r="BH529" t="n">
        <v>1.124</v>
      </c>
      <c r="BI529" t="n">
        <v>10.86</v>
      </c>
      <c r="BJ529" t="n">
        <v>0</v>
      </c>
      <c r="BK529" t="n">
        <v>0</v>
      </c>
      <c r="CN529" t="n">
        <v>1</v>
      </c>
      <c r="CR529" t="n">
        <v>2</v>
      </c>
      <c r="DI529" t="n">
        <v>1</v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n">
        <v>5</v>
      </c>
      <c r="F530" t="b">
        <v>1</v>
      </c>
      <c r="G530" t="b">
        <v>0</v>
      </c>
      <c r="H530" t="n">
        <v>28.9</v>
      </c>
      <c r="I530" t="inlineStr">
        <is>
          <t>a</t>
        </is>
      </c>
      <c r="M530" t="n">
        <v>558</v>
      </c>
      <c r="O530" t="n">
        <v>2</v>
      </c>
      <c r="DO530" t="n">
        <v>0.1</v>
      </c>
      <c r="DP530" t="n">
        <v>93.72</v>
      </c>
      <c r="DQ530" t="n">
        <v>46.86</v>
      </c>
      <c r="DR530" t="n">
        <v>93.72</v>
      </c>
      <c r="DS530" t="n">
        <v>0</v>
      </c>
      <c r="DT530" t="n">
        <v>2257</v>
      </c>
      <c r="DU530" t="n">
        <v>59.4</v>
      </c>
      <c r="DV530" t="inlineStr">
        <is>
          <t>flat</t>
        </is>
      </c>
      <c r="DW530" t="n">
        <v>102.86</v>
      </c>
      <c r="DZ530" t="n">
        <v>102.86</v>
      </c>
      <c r="EA530" t="n">
        <v>102.86</v>
      </c>
      <c r="EB530" t="n">
        <v>1</v>
      </c>
      <c r="EC530" t="n">
        <v>0.5</v>
      </c>
      <c r="ED530" t="n">
        <v>0</v>
      </c>
      <c r="EE530" t="n">
        <v>375</v>
      </c>
    </row>
    <row r="531">
      <c r="A531" t="inlineStr">
        <is>
          <t>Donyell Malen</t>
        </is>
      </c>
      <c r="D531" t="inlineStr">
        <is>
          <t>MID</t>
        </is>
      </c>
      <c r="F531" t="b">
        <v>0</v>
      </c>
      <c r="G531" t="b">
        <v>1</v>
      </c>
      <c r="L531" t="inlineStr">
        <is>
          <t>p204646</t>
        </is>
      </c>
      <c r="Q531" t="n">
        <v>645</v>
      </c>
      <c r="R531" t="n">
        <v>21</v>
      </c>
      <c r="T531" t="n">
        <v>7.167</v>
      </c>
      <c r="U531" t="n">
        <v>30.7</v>
      </c>
      <c r="Z531" t="n">
        <v>1</v>
      </c>
      <c r="AD531" t="n">
        <v>3</v>
      </c>
      <c r="AE531" t="n">
        <v>0</v>
      </c>
      <c r="AG531" t="n">
        <v>161</v>
      </c>
      <c r="AH531" t="n">
        <v>0</v>
      </c>
      <c r="AI531" t="n">
        <v>55</v>
      </c>
      <c r="AN531" t="n">
        <v>0</v>
      </c>
      <c r="AO531" t="n">
        <v>0</v>
      </c>
      <c r="AP531" t="n">
        <v>0</v>
      </c>
      <c r="AQ531" t="n">
        <v>0</v>
      </c>
      <c r="AR531" t="n">
        <v>0</v>
      </c>
      <c r="AS531" t="n">
        <v>0.132</v>
      </c>
      <c r="AT531" t="n">
        <v>0.19</v>
      </c>
      <c r="AU531" t="n">
        <v>15</v>
      </c>
      <c r="AV531" t="n">
        <v>1</v>
      </c>
      <c r="AW531" t="n">
        <v>2.75</v>
      </c>
      <c r="AX531" t="n">
        <v>15</v>
      </c>
      <c r="AZ531" t="n">
        <v>4.739</v>
      </c>
      <c r="BA531" t="n">
        <v>4.739</v>
      </c>
      <c r="BB531" t="n">
        <v>4.739</v>
      </c>
      <c r="BD531" t="n">
        <v>0.661</v>
      </c>
      <c r="BE531" t="n">
        <v>0.661</v>
      </c>
      <c r="BF531" t="n">
        <v>2.9</v>
      </c>
      <c r="BG531" t="n">
        <v>0.405</v>
      </c>
      <c r="BH531" t="n">
        <v>1.008</v>
      </c>
      <c r="BI531" t="n">
        <v>6.18</v>
      </c>
      <c r="BJ531" t="n">
        <v>4.064</v>
      </c>
      <c r="BK531" t="n">
        <v>0.5669999999999999</v>
      </c>
      <c r="BP531" t="n">
        <v>27</v>
      </c>
      <c r="BQ531" t="n">
        <v>9</v>
      </c>
      <c r="BR531" t="n">
        <v>5</v>
      </c>
      <c r="BS531" t="n">
        <v>48</v>
      </c>
      <c r="BT531" t="n">
        <v>6.698</v>
      </c>
      <c r="BX531" t="n">
        <v>0.369</v>
      </c>
      <c r="BY531" t="n">
        <v>0.369</v>
      </c>
      <c r="BZ531" t="n">
        <v>0.052</v>
      </c>
      <c r="CA531" t="n">
        <v>5.108</v>
      </c>
      <c r="CB531" t="n">
        <v>0.713</v>
      </c>
      <c r="CC531" t="n">
        <v>7</v>
      </c>
      <c r="CE531" t="n">
        <v>7</v>
      </c>
      <c r="CF531" t="n">
        <v>2</v>
      </c>
      <c r="CH531" t="n">
        <v>3</v>
      </c>
      <c r="CI531" t="n">
        <v>6.388</v>
      </c>
      <c r="CJ531" t="n">
        <v>1.917</v>
      </c>
      <c r="CN531" t="n">
        <v>3</v>
      </c>
      <c r="CP531" t="n">
        <v>2</v>
      </c>
      <c r="CR531" t="n">
        <v>21</v>
      </c>
      <c r="CS531" t="n">
        <v>3</v>
      </c>
      <c r="CT531" t="n">
        <v>0.1</v>
      </c>
      <c r="DH531" t="n">
        <v>2</v>
      </c>
      <c r="DI531" t="n">
        <v>6</v>
      </c>
      <c r="DL531" t="n">
        <v>8</v>
      </c>
      <c r="DM531" t="n">
        <v>13</v>
      </c>
      <c r="DN531" t="n">
        <v>1</v>
      </c>
      <c r="EF531" t="n">
        <v>23.9</v>
      </c>
      <c r="EG531" t="n">
        <v>13.4</v>
      </c>
      <c r="EH531" t="n">
        <v>92.09999999999999</v>
      </c>
      <c r="EI531" t="n">
        <v>136.1</v>
      </c>
      <c r="EJ531" t="n">
        <v>1746.2</v>
      </c>
      <c r="EK531" t="n">
        <v>126.3</v>
      </c>
    </row>
    <row r="532">
      <c r="A532" t="inlineStr">
        <is>
          <t>Ibrahima Konaté</t>
        </is>
      </c>
      <c r="D532" t="inlineStr">
        <is>
          <t>DEF</t>
        </is>
      </c>
      <c r="F532" t="b">
        <v>0</v>
      </c>
      <c r="G532" t="b">
        <v>1</v>
      </c>
      <c r="L532" t="inlineStr">
        <is>
          <t>p204716</t>
        </is>
      </c>
      <c r="Q532" t="n">
        <v>3100</v>
      </c>
      <c r="R532" t="n">
        <v>36</v>
      </c>
      <c r="T532" t="n">
        <v>34.444</v>
      </c>
      <c r="U532" t="n">
        <v>86.09999999999999</v>
      </c>
      <c r="AD532" t="n">
        <v>6</v>
      </c>
      <c r="AE532" t="n">
        <v>-2</v>
      </c>
      <c r="AG532" t="n">
        <v>489</v>
      </c>
      <c r="AH532" t="n">
        <v>-43</v>
      </c>
      <c r="AI532" t="n">
        <v>127</v>
      </c>
      <c r="AN532" t="n">
        <v>13</v>
      </c>
      <c r="AO532" t="n">
        <v>26</v>
      </c>
      <c r="AP532" t="n">
        <v>0.361</v>
      </c>
      <c r="AQ532" t="n">
        <v>0.361</v>
      </c>
      <c r="AR532" t="n">
        <v>0.194</v>
      </c>
      <c r="AS532" t="n">
        <v>0.947</v>
      </c>
      <c r="AT532" t="n">
        <v>0.944</v>
      </c>
      <c r="AU532" t="n">
        <v>18</v>
      </c>
      <c r="AV532" t="n">
        <v>1</v>
      </c>
      <c r="AW532" t="n">
        <v>3.19</v>
      </c>
      <c r="AX532" t="n">
        <v>11</v>
      </c>
      <c r="AZ532" t="n">
        <v>1.959</v>
      </c>
      <c r="BA532" t="n">
        <v>1.959</v>
      </c>
      <c r="BB532" t="n">
        <v>1.959</v>
      </c>
      <c r="BD532" t="n">
        <v>0.057</v>
      </c>
      <c r="BE532" t="n">
        <v>0.057</v>
      </c>
      <c r="BF532" t="n">
        <v>1.2</v>
      </c>
      <c r="BG532" t="n">
        <v>0.035</v>
      </c>
      <c r="BH532" t="n">
        <v>0.853</v>
      </c>
      <c r="BI532" t="n">
        <v>4.9</v>
      </c>
      <c r="BJ532" t="n">
        <v>1.015</v>
      </c>
      <c r="BK532" t="n">
        <v>0.029</v>
      </c>
      <c r="BP532" t="n">
        <v>12</v>
      </c>
      <c r="BQ532" t="n">
        <v>4</v>
      </c>
      <c r="BR532" t="n">
        <v>2</v>
      </c>
      <c r="BS532" t="n">
        <v>19</v>
      </c>
      <c r="BT532" t="n">
        <v>0.552</v>
      </c>
      <c r="BX532" t="n">
        <v>0.725</v>
      </c>
      <c r="BY532" t="n">
        <v>0.725</v>
      </c>
      <c r="BZ532" t="n">
        <v>0.021</v>
      </c>
      <c r="CA532" t="n">
        <v>2.684</v>
      </c>
      <c r="CB532" t="n">
        <v>0.078</v>
      </c>
      <c r="CC532" t="n">
        <v>8</v>
      </c>
      <c r="CD532" t="n">
        <v>2</v>
      </c>
      <c r="CE532" t="n">
        <v>8</v>
      </c>
      <c r="CF532" t="n">
        <v>1</v>
      </c>
      <c r="CG532" t="n">
        <v>3</v>
      </c>
      <c r="CI532" t="n">
        <v>11.116</v>
      </c>
      <c r="CJ532" t="n">
        <v>10.798</v>
      </c>
      <c r="CN532" t="n">
        <v>28</v>
      </c>
      <c r="CO532" t="n">
        <v>29</v>
      </c>
      <c r="CP532" t="n">
        <v>190</v>
      </c>
      <c r="CQ532" t="n">
        <v>24</v>
      </c>
      <c r="CR532" t="n">
        <v>220</v>
      </c>
      <c r="CS532" t="n">
        <v>124</v>
      </c>
      <c r="CT532" t="n">
        <v>0</v>
      </c>
      <c r="CV532" t="n">
        <v>3</v>
      </c>
      <c r="DE532" t="n">
        <v>7.11</v>
      </c>
      <c r="DH532" t="n">
        <v>33</v>
      </c>
      <c r="DI532" t="n">
        <v>41</v>
      </c>
      <c r="DK532" t="n">
        <v>1</v>
      </c>
      <c r="DL532" t="n">
        <v>5</v>
      </c>
      <c r="DM532" t="n">
        <v>5</v>
      </c>
      <c r="EF532" t="n">
        <v>258.3</v>
      </c>
      <c r="EG532" t="n">
        <v>163.2</v>
      </c>
      <c r="EH532" t="n">
        <v>387.5</v>
      </c>
      <c r="EI532" t="n">
        <v>1582.7</v>
      </c>
      <c r="EJ532" t="n">
        <v>4274.2</v>
      </c>
      <c r="EK532" t="n">
        <v>1155</v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n">
        <v>4</v>
      </c>
      <c r="F533" t="b">
        <v>1</v>
      </c>
      <c r="G533" t="b">
        <v>0</v>
      </c>
      <c r="H533" t="n">
        <v>26.6</v>
      </c>
      <c r="I533" t="inlineStr">
        <is>
          <t>a</t>
        </is>
      </c>
      <c r="M533" t="n">
        <v>179</v>
      </c>
      <c r="DO533" t="n">
        <v>0.1</v>
      </c>
      <c r="DP533" t="n">
        <v>7.58</v>
      </c>
      <c r="DQ533" t="n">
        <v>3.8</v>
      </c>
      <c r="DR533" t="n">
        <v>7.6</v>
      </c>
      <c r="DS533" t="n">
        <v>-0.02</v>
      </c>
      <c r="DT533" t="n">
        <v>30</v>
      </c>
      <c r="DU533" t="n">
        <v>0.8</v>
      </c>
      <c r="DV533" t="inlineStr">
        <is>
          <t>flat</t>
        </is>
      </c>
    </row>
    <row r="534">
      <c r="A534" t="inlineStr">
        <is>
          <t>Oleksandr Zinchenko</t>
        </is>
      </c>
      <c r="D534" t="inlineStr">
        <is>
          <t>DEF</t>
        </is>
      </c>
      <c r="F534" t="b">
        <v>0</v>
      </c>
      <c r="G534" t="b">
        <v>1</v>
      </c>
      <c r="L534" t="inlineStr">
        <is>
          <t>p206325</t>
        </is>
      </c>
      <c r="Q534" t="n">
        <v>353</v>
      </c>
      <c r="R534" t="n">
        <v>5</v>
      </c>
      <c r="T534" t="n">
        <v>3.922</v>
      </c>
      <c r="U534" t="n">
        <v>70.59999999999999</v>
      </c>
      <c r="AD534" t="n">
        <v>0</v>
      </c>
      <c r="AE534" t="n">
        <v>0</v>
      </c>
      <c r="AG534" t="n">
        <v>53</v>
      </c>
      <c r="AH534" t="n">
        <v>-3</v>
      </c>
      <c r="AI534" t="n">
        <v>7</v>
      </c>
      <c r="AN534" t="n">
        <v>0</v>
      </c>
      <c r="AO534" t="n">
        <v>0</v>
      </c>
      <c r="AP534" t="n">
        <v>0</v>
      </c>
      <c r="AQ534" t="n">
        <v>0</v>
      </c>
      <c r="AR534" t="n">
        <v>0</v>
      </c>
      <c r="AS534" t="n">
        <v>0.105</v>
      </c>
      <c r="AT534" t="n">
        <v>0.8</v>
      </c>
      <c r="AU534" t="n">
        <v>5</v>
      </c>
      <c r="AV534" t="n">
        <v>0</v>
      </c>
      <c r="AW534" t="n">
        <v>0.51</v>
      </c>
      <c r="AX534" t="n">
        <v>2</v>
      </c>
      <c r="AZ534" t="n">
        <v>0.077</v>
      </c>
      <c r="BA534" t="n">
        <v>0.077</v>
      </c>
      <c r="BB534" t="n">
        <v>0.077</v>
      </c>
      <c r="BD534" t="n">
        <v>0.02</v>
      </c>
      <c r="BE534" t="n">
        <v>0.02</v>
      </c>
      <c r="BF534" t="n">
        <v>0.1</v>
      </c>
      <c r="BG534" t="n">
        <v>0.025</v>
      </c>
      <c r="BH534" t="n">
        <v>0.996</v>
      </c>
      <c r="BI534" t="n">
        <v>2.64</v>
      </c>
      <c r="BJ534" t="n">
        <v>0.07000000000000001</v>
      </c>
      <c r="BK534" t="n">
        <v>0.018</v>
      </c>
      <c r="BP534" t="n">
        <v>4</v>
      </c>
      <c r="BQ534" t="n">
        <v>2</v>
      </c>
      <c r="BS534" t="n">
        <v>2</v>
      </c>
      <c r="BT534" t="n">
        <v>0.51</v>
      </c>
      <c r="BX534" t="n">
        <v>0.451</v>
      </c>
      <c r="BY534" t="n">
        <v>0.451</v>
      </c>
      <c r="BZ534" t="n">
        <v>0.115</v>
      </c>
      <c r="CA534" t="n">
        <v>0.527</v>
      </c>
      <c r="CB534" t="n">
        <v>0.134</v>
      </c>
      <c r="CC534" t="n">
        <v>5</v>
      </c>
      <c r="CD534" t="n">
        <v>1</v>
      </c>
      <c r="CE534" t="n">
        <v>5</v>
      </c>
      <c r="CF534" t="n">
        <v>1</v>
      </c>
      <c r="CG534" t="n">
        <v>1</v>
      </c>
      <c r="CH534" t="n">
        <v>2</v>
      </c>
      <c r="CI534" t="n">
        <v>1.777</v>
      </c>
      <c r="CJ534" t="n">
        <v>1.637</v>
      </c>
      <c r="CN534" t="n">
        <v>6</v>
      </c>
      <c r="CO534" t="n">
        <v>2</v>
      </c>
      <c r="CP534" t="n">
        <v>11</v>
      </c>
      <c r="CQ534" t="n">
        <v>1</v>
      </c>
      <c r="CR534" t="n">
        <v>16</v>
      </c>
      <c r="CS534" t="n">
        <v>4</v>
      </c>
      <c r="DH534" t="n">
        <v>1</v>
      </c>
      <c r="DI534" t="n">
        <v>2</v>
      </c>
      <c r="DL534" t="n">
        <v>1</v>
      </c>
      <c r="DM534" t="n">
        <v>1</v>
      </c>
      <c r="DN534" t="n">
        <v>1</v>
      </c>
      <c r="EF534" t="n">
        <v>88.2</v>
      </c>
      <c r="EG534" t="n">
        <v>176.5</v>
      </c>
      <c r="EH534" t="n">
        <v>70.59999999999999</v>
      </c>
      <c r="EI534" t="n">
        <v>4601.9</v>
      </c>
      <c r="EJ534" t="n">
        <v>783.1</v>
      </c>
      <c r="EK534" t="n">
        <v>669.2</v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n">
        <v>5</v>
      </c>
      <c r="F535" t="b">
        <v>1</v>
      </c>
      <c r="G535" t="b">
        <v>0</v>
      </c>
      <c r="H535" t="n">
        <v>27.2</v>
      </c>
      <c r="I535" t="inlineStr">
        <is>
          <t>a</t>
        </is>
      </c>
      <c r="M535" t="n">
        <v>292</v>
      </c>
      <c r="DO535" t="n">
        <v>0</v>
      </c>
      <c r="DP535" t="n">
        <v>35.18</v>
      </c>
      <c r="DQ535" t="n">
        <v>17.69</v>
      </c>
      <c r="DR535" t="n">
        <v>35.38</v>
      </c>
      <c r="DS535" t="n">
        <v>-0.2</v>
      </c>
      <c r="DT535" t="n">
        <v>675</v>
      </c>
      <c r="DU535" t="n">
        <v>17.76</v>
      </c>
      <c r="DV535" t="inlineStr">
        <is>
          <t>flat</t>
        </is>
      </c>
    </row>
    <row r="536">
      <c r="A536" t="inlineStr">
        <is>
          <t>Joe Worrall</t>
        </is>
      </c>
      <c r="D536" t="inlineStr">
        <is>
          <t>DEF</t>
        </is>
      </c>
      <c r="F536" t="b">
        <v>0</v>
      </c>
      <c r="G536" t="b">
        <v>1</v>
      </c>
      <c r="L536" t="inlineStr">
        <is>
          <t>p208912</t>
        </is>
      </c>
      <c r="Q536" t="n">
        <v>497</v>
      </c>
      <c r="R536" t="n">
        <v>11</v>
      </c>
      <c r="T536" t="n">
        <v>5.522</v>
      </c>
      <c r="U536" t="n">
        <v>45.2</v>
      </c>
      <c r="Z536" t="n">
        <v>0</v>
      </c>
      <c r="AD536" t="n">
        <v>0</v>
      </c>
      <c r="AE536" t="n">
        <v>0</v>
      </c>
      <c r="AG536" t="n">
        <v>27</v>
      </c>
      <c r="AH536" t="n">
        <v>-13</v>
      </c>
      <c r="AI536" t="n">
        <v>20</v>
      </c>
      <c r="AN536" t="n">
        <v>4</v>
      </c>
      <c r="AO536" t="n">
        <v>8</v>
      </c>
      <c r="AP536" t="n">
        <v>0.8</v>
      </c>
      <c r="AQ536" t="n">
        <v>0.8</v>
      </c>
      <c r="AR536" t="n">
        <v>0.4</v>
      </c>
      <c r="AS536" t="n">
        <v>0.132</v>
      </c>
      <c r="AT536" t="n">
        <v>0.364</v>
      </c>
      <c r="AU536" t="n">
        <v>8</v>
      </c>
      <c r="AV536" t="n">
        <v>0</v>
      </c>
      <c r="AW536" t="n">
        <v>1.01</v>
      </c>
      <c r="AX536" t="n">
        <v>4</v>
      </c>
      <c r="AZ536" t="n">
        <v>0.038</v>
      </c>
      <c r="BA536" t="n">
        <v>0.038</v>
      </c>
      <c r="BB536" t="n">
        <v>0.038</v>
      </c>
      <c r="BD536" t="n">
        <v>0.007</v>
      </c>
      <c r="BE536" t="n">
        <v>0.007</v>
      </c>
      <c r="BH536" t="n">
        <v>0.974</v>
      </c>
      <c r="BI536" t="n">
        <v>1.03</v>
      </c>
      <c r="BJ536" t="n">
        <v>0.078</v>
      </c>
      <c r="BK536" t="n">
        <v>0.014</v>
      </c>
      <c r="BP536" t="n">
        <v>1</v>
      </c>
      <c r="BS536" t="n">
        <v>7</v>
      </c>
      <c r="BT536" t="n">
        <v>1.268</v>
      </c>
      <c r="BX536" t="n">
        <v>0</v>
      </c>
      <c r="BY536" t="n">
        <v>0</v>
      </c>
      <c r="BZ536" t="n">
        <v>0</v>
      </c>
      <c r="CA536" t="n">
        <v>0.038</v>
      </c>
      <c r="CB536" t="n">
        <v>0.007</v>
      </c>
      <c r="CC536" t="n">
        <v>0</v>
      </c>
      <c r="CD536" t="n">
        <v>0</v>
      </c>
      <c r="CE536" t="n">
        <v>0</v>
      </c>
      <c r="CI536" t="n">
        <v>0.545</v>
      </c>
      <c r="CJ536" t="n">
        <v>0.506</v>
      </c>
      <c r="CN536" t="n">
        <v>3</v>
      </c>
      <c r="CO536" t="n">
        <v>5</v>
      </c>
      <c r="CP536" t="n">
        <v>60</v>
      </c>
      <c r="CQ536" t="n">
        <v>7</v>
      </c>
      <c r="CR536" t="n">
        <v>25</v>
      </c>
      <c r="CS536" t="n">
        <v>21</v>
      </c>
      <c r="DH536" t="n">
        <v>4</v>
      </c>
      <c r="DI536" t="n">
        <v>1</v>
      </c>
      <c r="EF536" t="n">
        <v>497</v>
      </c>
      <c r="EG536" t="n">
        <v>71</v>
      </c>
      <c r="EI536" t="n">
        <v>13044.6</v>
      </c>
      <c r="EK536" t="n">
        <v>13044.6</v>
      </c>
    </row>
    <row r="537">
      <c r="A537" t="inlineStr">
        <is>
          <t>Angel Gomes</t>
        </is>
      </c>
      <c r="D537" t="inlineStr">
        <is>
          <t>MID</t>
        </is>
      </c>
      <c r="F537" t="b">
        <v>0</v>
      </c>
      <c r="G537" t="b">
        <v>1</v>
      </c>
      <c r="L537" t="inlineStr">
        <is>
          <t>p209041</t>
        </is>
      </c>
      <c r="Q537" t="n">
        <v>464</v>
      </c>
      <c r="R537" t="n">
        <v>12</v>
      </c>
      <c r="T537" t="n">
        <v>5.156</v>
      </c>
      <c r="U537" t="n">
        <v>38.7</v>
      </c>
      <c r="AD537" t="n">
        <v>0</v>
      </c>
      <c r="AE537" t="n">
        <v>0</v>
      </c>
      <c r="AG537" t="n">
        <v>76</v>
      </c>
      <c r="AH537" t="n">
        <v>-2</v>
      </c>
      <c r="AI537" t="n">
        <v>16</v>
      </c>
      <c r="AN537" t="n">
        <v>0</v>
      </c>
      <c r="AO537" t="n">
        <v>0</v>
      </c>
      <c r="AP537" t="n">
        <v>0</v>
      </c>
      <c r="AQ537" t="n">
        <v>0.143</v>
      </c>
      <c r="AR537" t="n">
        <v>0</v>
      </c>
      <c r="AS537" t="n">
        <v>0.184</v>
      </c>
      <c r="AT537" t="n">
        <v>0.333</v>
      </c>
      <c r="AU537" t="n">
        <v>11</v>
      </c>
      <c r="AV537" t="n">
        <v>0</v>
      </c>
      <c r="AW537" t="n">
        <v>0.86</v>
      </c>
      <c r="AX537" t="n">
        <v>3</v>
      </c>
      <c r="AZ537" t="n">
        <v>0.193</v>
      </c>
      <c r="BA537" t="n">
        <v>0.193</v>
      </c>
      <c r="BB537" t="n">
        <v>0.193</v>
      </c>
      <c r="BD537" t="n">
        <v>0.038</v>
      </c>
      <c r="BE537" t="n">
        <v>0.038</v>
      </c>
      <c r="BF537" t="n">
        <v>0.2</v>
      </c>
      <c r="BG537" t="n">
        <v>0.039</v>
      </c>
      <c r="BH537" t="n">
        <v>0.994</v>
      </c>
      <c r="BI537" t="n">
        <v>0.25</v>
      </c>
      <c r="BJ537" t="n">
        <v>0.248</v>
      </c>
      <c r="BK537" t="n">
        <v>0.048</v>
      </c>
      <c r="BP537" t="n">
        <v>6</v>
      </c>
      <c r="BQ537" t="n">
        <v>2</v>
      </c>
      <c r="BS537" t="n">
        <v>5</v>
      </c>
      <c r="BT537" t="n">
        <v>0.97</v>
      </c>
      <c r="BX537" t="n">
        <v>0.299</v>
      </c>
      <c r="BY537" t="n">
        <v>0.299</v>
      </c>
      <c r="BZ537" t="n">
        <v>0.058</v>
      </c>
      <c r="CA537" t="n">
        <v>0.493</v>
      </c>
      <c r="CB537" t="n">
        <v>0.096</v>
      </c>
      <c r="CC537" t="n">
        <v>6</v>
      </c>
      <c r="CE537" t="n">
        <v>6</v>
      </c>
      <c r="CF537" t="n">
        <v>2</v>
      </c>
      <c r="CH537" t="n">
        <v>3</v>
      </c>
      <c r="CI537" t="n">
        <v>1.675</v>
      </c>
      <c r="CJ537" t="n">
        <v>1.359</v>
      </c>
      <c r="CN537" t="n">
        <v>6</v>
      </c>
      <c r="CO537" t="n">
        <v>0</v>
      </c>
      <c r="CP537" t="n">
        <v>4</v>
      </c>
      <c r="CQ537" t="n">
        <v>2</v>
      </c>
      <c r="CR537" t="n">
        <v>25</v>
      </c>
      <c r="CS537" t="n">
        <v>2</v>
      </c>
      <c r="DH537" t="n">
        <v>7</v>
      </c>
      <c r="DI537" t="n">
        <v>9</v>
      </c>
      <c r="DL537" t="n">
        <v>4</v>
      </c>
      <c r="DM537" t="n">
        <v>4</v>
      </c>
      <c r="EF537" t="n">
        <v>77.3</v>
      </c>
      <c r="EG537" t="n">
        <v>92.8</v>
      </c>
      <c r="EH537" t="n">
        <v>77.3</v>
      </c>
      <c r="EI537" t="n">
        <v>2399.2</v>
      </c>
      <c r="EJ537" t="n">
        <v>1550.8</v>
      </c>
      <c r="EK537" t="n">
        <v>941.9</v>
      </c>
    </row>
    <row r="538">
      <c r="A538" t="inlineStr">
        <is>
          <t>Jadon Sancho</t>
        </is>
      </c>
      <c r="D538" t="inlineStr">
        <is>
          <t>MID</t>
        </is>
      </c>
      <c r="F538" t="b">
        <v>0</v>
      </c>
      <c r="G538" t="b">
        <v>1</v>
      </c>
      <c r="L538" t="inlineStr">
        <is>
          <t>p209243</t>
        </is>
      </c>
      <c r="Q538" t="n">
        <v>873</v>
      </c>
      <c r="R538" t="n">
        <v>23</v>
      </c>
      <c r="T538" t="n">
        <v>9.699999999999999</v>
      </c>
      <c r="U538" t="n">
        <v>38</v>
      </c>
      <c r="Z538" t="n">
        <v>2</v>
      </c>
      <c r="AD538" t="n">
        <v>0</v>
      </c>
      <c r="AE538" t="n">
        <v>0</v>
      </c>
      <c r="AG538" t="n">
        <v>138</v>
      </c>
      <c r="AH538" t="n">
        <v>-3</v>
      </c>
      <c r="AI538" t="n">
        <v>37</v>
      </c>
      <c r="AN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0.237</v>
      </c>
      <c r="AT538" t="n">
        <v>0.261</v>
      </c>
      <c r="AU538" t="n">
        <v>20</v>
      </c>
      <c r="AV538" t="n">
        <v>0</v>
      </c>
      <c r="AW538" t="n">
        <v>1.3</v>
      </c>
      <c r="AX538" t="n">
        <v>6</v>
      </c>
      <c r="AZ538" t="n">
        <v>0.769</v>
      </c>
      <c r="BA538" t="n">
        <v>0.769</v>
      </c>
      <c r="BB538" t="n">
        <v>0.769</v>
      </c>
      <c r="BD538" t="n">
        <v>0.079</v>
      </c>
      <c r="BE538" t="n">
        <v>0.079</v>
      </c>
      <c r="BF538" t="n">
        <v>0.5</v>
      </c>
      <c r="BG538" t="n">
        <v>0.052</v>
      </c>
      <c r="BH538" t="n">
        <v>1.077</v>
      </c>
      <c r="BI538" t="n">
        <v>6.76</v>
      </c>
      <c r="BJ538" t="n">
        <v>0.657</v>
      </c>
      <c r="BK538" t="n">
        <v>0.068</v>
      </c>
      <c r="BP538" t="n">
        <v>10</v>
      </c>
      <c r="BQ538" t="n">
        <v>3</v>
      </c>
      <c r="BR538" t="n">
        <v>1</v>
      </c>
      <c r="BS538" t="n">
        <v>56</v>
      </c>
      <c r="BT538" t="n">
        <v>5.773</v>
      </c>
      <c r="BX538" t="n">
        <v>2.052</v>
      </c>
      <c r="BY538" t="n">
        <v>2.052</v>
      </c>
      <c r="BZ538" t="n">
        <v>0.212</v>
      </c>
      <c r="CA538" t="n">
        <v>2.821</v>
      </c>
      <c r="CB538" t="n">
        <v>0.291</v>
      </c>
      <c r="CC538" t="n">
        <v>21</v>
      </c>
      <c r="CD538" t="n">
        <v>3</v>
      </c>
      <c r="CE538" t="n">
        <v>21</v>
      </c>
      <c r="CF538" t="n">
        <v>3</v>
      </c>
      <c r="CH538" t="n">
        <v>5</v>
      </c>
      <c r="CI538" t="n">
        <v>5.169</v>
      </c>
      <c r="CJ538" t="n">
        <v>3.22</v>
      </c>
      <c r="CN538" t="n">
        <v>3</v>
      </c>
      <c r="CO538" t="n">
        <v>2</v>
      </c>
      <c r="CP538" t="n">
        <v>9</v>
      </c>
      <c r="CR538" t="n">
        <v>28</v>
      </c>
      <c r="CS538" t="n">
        <v>3</v>
      </c>
      <c r="CT538" t="n">
        <v>0.3</v>
      </c>
      <c r="CU538" t="n">
        <v>1</v>
      </c>
      <c r="CV538" t="n">
        <v>1</v>
      </c>
      <c r="DE538" t="n">
        <v>6.52</v>
      </c>
      <c r="DH538" t="n">
        <v>3</v>
      </c>
      <c r="DI538" t="n">
        <v>2</v>
      </c>
      <c r="DL538" t="n">
        <v>16</v>
      </c>
      <c r="DM538" t="n">
        <v>9</v>
      </c>
      <c r="DN538" t="n">
        <v>3</v>
      </c>
      <c r="EF538" t="n">
        <v>87.3</v>
      </c>
      <c r="EG538" t="n">
        <v>15.6</v>
      </c>
      <c r="EH538" t="n">
        <v>41.6</v>
      </c>
      <c r="EI538" t="n">
        <v>1135.4</v>
      </c>
      <c r="EJ538" t="n">
        <v>425.4</v>
      </c>
      <c r="EK538" t="n">
        <v>309.5</v>
      </c>
    </row>
    <row r="539">
      <c r="A539" t="inlineStr">
        <is>
          <t>Nayef Aguerd</t>
        </is>
      </c>
      <c r="D539" t="inlineStr">
        <is>
          <t>DEF</t>
        </is>
      </c>
      <c r="F539" t="b">
        <v>0</v>
      </c>
      <c r="G539" t="b">
        <v>1</v>
      </c>
      <c r="L539" t="inlineStr">
        <is>
          <t>p210494</t>
        </is>
      </c>
      <c r="Q539" t="n">
        <v>180</v>
      </c>
      <c r="R539" t="n">
        <v>2</v>
      </c>
      <c r="T539" t="n">
        <v>2</v>
      </c>
      <c r="U539" t="n">
        <v>90</v>
      </c>
      <c r="AD539" t="n">
        <v>0</v>
      </c>
      <c r="AE539" t="n">
        <v>0</v>
      </c>
      <c r="AG539" t="n">
        <v>-4</v>
      </c>
      <c r="AH539" t="n">
        <v>-3</v>
      </c>
      <c r="AI539" t="n">
        <v>3</v>
      </c>
      <c r="AN539" t="n">
        <v>1</v>
      </c>
      <c r="AO539" t="n">
        <v>2</v>
      </c>
      <c r="AP539" t="n">
        <v>0.5</v>
      </c>
      <c r="AQ539" t="n">
        <v>0.5</v>
      </c>
      <c r="AR539" t="n">
        <v>0.5</v>
      </c>
      <c r="AS539" t="n">
        <v>0.053</v>
      </c>
      <c r="AT539" t="n">
        <v>1</v>
      </c>
      <c r="AU539" t="n">
        <v>2</v>
      </c>
      <c r="AV539" t="n">
        <v>0</v>
      </c>
      <c r="AW539" t="n">
        <v>0.36</v>
      </c>
      <c r="AX539" t="n">
        <v>2</v>
      </c>
      <c r="AZ539" t="n">
        <v>0.089</v>
      </c>
      <c r="BA539" t="n">
        <v>0.089</v>
      </c>
      <c r="BB539" t="n">
        <v>0.089</v>
      </c>
      <c r="BD539" t="n">
        <v>0.044</v>
      </c>
      <c r="BE539" t="n">
        <v>0.044</v>
      </c>
      <c r="BH539" t="n">
        <v>0.906</v>
      </c>
      <c r="BI539" t="n">
        <v>3.7</v>
      </c>
      <c r="BJ539" t="n">
        <v>0.091</v>
      </c>
      <c r="BK539" t="n">
        <v>0.046</v>
      </c>
      <c r="BP539" t="n">
        <v>2</v>
      </c>
      <c r="BS539" t="n">
        <v>2</v>
      </c>
      <c r="BT539" t="n">
        <v>1</v>
      </c>
      <c r="BX539" t="n">
        <v>0</v>
      </c>
      <c r="BY539" t="n">
        <v>0</v>
      </c>
      <c r="BZ539" t="n">
        <v>0</v>
      </c>
      <c r="CA539" t="n">
        <v>0.089</v>
      </c>
      <c r="CB539" t="n">
        <v>0.044</v>
      </c>
      <c r="CC539" t="n">
        <v>0</v>
      </c>
      <c r="CI539" t="n">
        <v>0.138</v>
      </c>
      <c r="CJ539" t="n">
        <v>0.138</v>
      </c>
      <c r="CO539" t="n">
        <v>1</v>
      </c>
      <c r="CP539" t="n">
        <v>11</v>
      </c>
      <c r="CQ539" t="n">
        <v>2</v>
      </c>
      <c r="CR539" t="n">
        <v>7</v>
      </c>
      <c r="CS539" t="n">
        <v>4</v>
      </c>
      <c r="DI539" t="n">
        <v>1</v>
      </c>
      <c r="DL539" t="n">
        <v>1</v>
      </c>
      <c r="EF539" t="n">
        <v>90</v>
      </c>
      <c r="EG539" t="n">
        <v>90</v>
      </c>
      <c r="EI539" t="n">
        <v>2032.1</v>
      </c>
      <c r="EK539" t="n">
        <v>2032.1</v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n">
        <v>5</v>
      </c>
      <c r="F540" t="b">
        <v>1</v>
      </c>
      <c r="G540" t="b">
        <v>0</v>
      </c>
      <c r="H540" t="n">
        <v>30.6</v>
      </c>
      <c r="I540" t="inlineStr">
        <is>
          <t>a</t>
        </is>
      </c>
      <c r="M540" t="n">
        <v>296</v>
      </c>
      <c r="DO540" t="n">
        <v>0</v>
      </c>
      <c r="DP540" t="n">
        <v>22.59</v>
      </c>
      <c r="DQ540" t="n">
        <v>11.37</v>
      </c>
      <c r="DR540" t="n">
        <v>22.74</v>
      </c>
      <c r="DS540" t="n">
        <v>-0.15</v>
      </c>
      <c r="DT540" t="n">
        <v>281</v>
      </c>
      <c r="DU540" t="n">
        <v>7.4</v>
      </c>
      <c r="DV540" t="inlineStr">
        <is>
          <t>flat</t>
        </is>
      </c>
    </row>
    <row r="541">
      <c r="A541" t="inlineStr">
        <is>
          <t>Maximilian Kilman</t>
        </is>
      </c>
      <c r="D541" t="inlineStr">
        <is>
          <t>DEF</t>
        </is>
      </c>
      <c r="F541" t="b">
        <v>0</v>
      </c>
      <c r="G541" t="b">
        <v>1</v>
      </c>
      <c r="L541" t="inlineStr">
        <is>
          <t>p214048</t>
        </is>
      </c>
      <c r="Q541" t="n">
        <v>1559</v>
      </c>
      <c r="R541" t="n">
        <v>21</v>
      </c>
      <c r="T541" t="n">
        <v>17.322</v>
      </c>
      <c r="U541" t="n">
        <v>74.2</v>
      </c>
      <c r="AD541" t="n">
        <v>0</v>
      </c>
      <c r="AE541" t="n">
        <v>0</v>
      </c>
      <c r="AG541" t="n">
        <v>56</v>
      </c>
      <c r="AH541" t="n">
        <v>-24</v>
      </c>
      <c r="AI541" t="n">
        <v>36</v>
      </c>
      <c r="AN541" t="n">
        <v>6</v>
      </c>
      <c r="AO541" t="n">
        <v>12</v>
      </c>
      <c r="AP541" t="n">
        <v>0.353</v>
      </c>
      <c r="AQ541" t="n">
        <v>0.353</v>
      </c>
      <c r="AR541" t="n">
        <v>0.176</v>
      </c>
      <c r="AS541" t="n">
        <v>0.447</v>
      </c>
      <c r="AT541" t="n">
        <v>0.8100000000000001</v>
      </c>
      <c r="AU541" t="n">
        <v>15</v>
      </c>
      <c r="AV541" t="n">
        <v>0</v>
      </c>
      <c r="AW541" t="n">
        <v>1.45</v>
      </c>
      <c r="AX541" t="n">
        <v>6</v>
      </c>
      <c r="AZ541" t="n">
        <v>1.167</v>
      </c>
      <c r="BA541" t="n">
        <v>1.167</v>
      </c>
      <c r="BB541" t="n">
        <v>1.167</v>
      </c>
      <c r="BD541" t="n">
        <v>0.067</v>
      </c>
      <c r="BE541" t="n">
        <v>0.067</v>
      </c>
      <c r="BF541" t="n">
        <v>0.1</v>
      </c>
      <c r="BG541" t="n">
        <v>0.006</v>
      </c>
      <c r="BH541" t="n">
        <v>0.856</v>
      </c>
      <c r="BI541" t="n">
        <v>5.2</v>
      </c>
      <c r="BJ541" t="n">
        <v>0.479</v>
      </c>
      <c r="BK541" t="n">
        <v>0.028</v>
      </c>
      <c r="BP541" t="n">
        <v>7</v>
      </c>
      <c r="BQ541" t="n">
        <v>1</v>
      </c>
      <c r="BR541" t="n">
        <v>2</v>
      </c>
      <c r="BS541" t="n">
        <v>13</v>
      </c>
      <c r="BT541" t="n">
        <v>0.75</v>
      </c>
      <c r="BX541" t="n">
        <v>0.208</v>
      </c>
      <c r="BY541" t="n">
        <v>0.208</v>
      </c>
      <c r="BZ541" t="n">
        <v>0.012</v>
      </c>
      <c r="CA541" t="n">
        <v>1.375</v>
      </c>
      <c r="CB541" t="n">
        <v>0.079</v>
      </c>
      <c r="CC541" t="n">
        <v>4</v>
      </c>
      <c r="CE541" t="n">
        <v>4</v>
      </c>
      <c r="CF541" t="n">
        <v>1</v>
      </c>
      <c r="CI541" t="n">
        <v>1.234</v>
      </c>
      <c r="CJ541" t="n">
        <v>1.128</v>
      </c>
      <c r="CN541" t="n">
        <v>8</v>
      </c>
      <c r="CO541" t="n">
        <v>9</v>
      </c>
      <c r="CP541" t="n">
        <v>111</v>
      </c>
      <c r="CQ541" t="n">
        <v>24</v>
      </c>
      <c r="CR541" t="n">
        <v>69</v>
      </c>
      <c r="CS541" t="n">
        <v>47</v>
      </c>
      <c r="DH541" t="n">
        <v>16</v>
      </c>
      <c r="DI541" t="n">
        <v>2</v>
      </c>
      <c r="DK541" t="n">
        <v>2</v>
      </c>
      <c r="DL541" t="n">
        <v>4</v>
      </c>
      <c r="DM541" t="n">
        <v>5</v>
      </c>
      <c r="EF541" t="n">
        <v>222.7</v>
      </c>
      <c r="EG541" t="n">
        <v>119.9</v>
      </c>
      <c r="EH541" t="n">
        <v>389.8</v>
      </c>
      <c r="EI541" t="n">
        <v>1335.8</v>
      </c>
      <c r="EJ541" t="n">
        <v>7505.7</v>
      </c>
      <c r="EK541" t="n">
        <v>1134</v>
      </c>
    </row>
    <row r="542">
      <c r="A542" t="inlineStr">
        <is>
          <t>Aaron Wan-Bissaka</t>
        </is>
      </c>
      <c r="D542" t="inlineStr">
        <is>
          <t>DEF</t>
        </is>
      </c>
      <c r="F542" t="b">
        <v>0</v>
      </c>
      <c r="G542" t="b">
        <v>1</v>
      </c>
      <c r="L542" t="inlineStr">
        <is>
          <t>p214590</t>
        </is>
      </c>
      <c r="Q542" t="n">
        <v>2084</v>
      </c>
      <c r="R542" t="n">
        <v>25</v>
      </c>
      <c r="T542" t="n">
        <v>23.156</v>
      </c>
      <c r="U542" t="n">
        <v>83.40000000000001</v>
      </c>
      <c r="Z542" t="n">
        <v>2</v>
      </c>
      <c r="AD542" t="n">
        <v>0</v>
      </c>
      <c r="AE542" t="n">
        <v>0</v>
      </c>
      <c r="AG542" t="n">
        <v>178</v>
      </c>
      <c r="AH542" t="n">
        <v>-25</v>
      </c>
      <c r="AI542" t="n">
        <v>67</v>
      </c>
      <c r="AN542" t="n">
        <v>8</v>
      </c>
      <c r="AO542" t="n">
        <v>16</v>
      </c>
      <c r="AP542" t="n">
        <v>0.348</v>
      </c>
      <c r="AQ542" t="n">
        <v>0.348</v>
      </c>
      <c r="AR542" t="n">
        <v>0.13</v>
      </c>
      <c r="AS542" t="n">
        <v>0.605</v>
      </c>
      <c r="AT542" t="n">
        <v>0.92</v>
      </c>
      <c r="AU542" t="n">
        <v>16</v>
      </c>
      <c r="AV542" t="n">
        <v>0</v>
      </c>
      <c r="AW542" t="n">
        <v>2.36</v>
      </c>
      <c r="AX542" t="n">
        <v>8</v>
      </c>
      <c r="AZ542" t="n">
        <v>0</v>
      </c>
      <c r="BA542" t="n">
        <v>0</v>
      </c>
      <c r="BB542" t="n">
        <v>0</v>
      </c>
      <c r="BD542" t="n">
        <v>0</v>
      </c>
      <c r="BE542" t="n">
        <v>0</v>
      </c>
      <c r="BH542" t="n">
        <v>0.878</v>
      </c>
      <c r="BI542" t="n">
        <v>2.48</v>
      </c>
      <c r="BJ542" t="n">
        <v>0</v>
      </c>
      <c r="BK542" t="n">
        <v>0</v>
      </c>
      <c r="BS542" t="n">
        <v>15</v>
      </c>
      <c r="BT542" t="n">
        <v>0.648</v>
      </c>
      <c r="BX542" t="n">
        <v>1.429</v>
      </c>
      <c r="BY542" t="n">
        <v>1.429</v>
      </c>
      <c r="BZ542" t="n">
        <v>0.062</v>
      </c>
      <c r="CA542" t="n">
        <v>1.429</v>
      </c>
      <c r="CB542" t="n">
        <v>0.062</v>
      </c>
      <c r="CC542" t="n">
        <v>18</v>
      </c>
      <c r="CD542" t="n">
        <v>2</v>
      </c>
      <c r="CE542" t="n">
        <v>18</v>
      </c>
      <c r="CF542" t="n">
        <v>16</v>
      </c>
      <c r="CI542" t="n">
        <v>3.828</v>
      </c>
      <c r="CJ542" t="n">
        <v>3.086</v>
      </c>
      <c r="CN542" t="n">
        <v>23</v>
      </c>
      <c r="CO542" t="n">
        <v>40</v>
      </c>
      <c r="CP542" t="n">
        <v>94</v>
      </c>
      <c r="CQ542" t="n">
        <v>7</v>
      </c>
      <c r="CR542" t="n">
        <v>83</v>
      </c>
      <c r="CS542" t="n">
        <v>22</v>
      </c>
      <c r="CT542" t="n">
        <v>0.1</v>
      </c>
      <c r="CV542" t="n">
        <v>3</v>
      </c>
      <c r="DE542" t="n">
        <v>6.8</v>
      </c>
      <c r="DH542" t="n">
        <v>23</v>
      </c>
      <c r="DI542" t="n">
        <v>12</v>
      </c>
      <c r="DL542" t="n">
        <v>16</v>
      </c>
      <c r="DM542" t="n">
        <v>15</v>
      </c>
      <c r="DN542" t="n">
        <v>1</v>
      </c>
      <c r="EG542" t="n">
        <v>138.9</v>
      </c>
      <c r="EH542" t="n">
        <v>115.8</v>
      </c>
      <c r="EJ542" t="n">
        <v>1458.4</v>
      </c>
      <c r="EK542" t="n">
        <v>1458.4</v>
      </c>
    </row>
    <row r="543">
      <c r="A543" t="inlineStr">
        <is>
          <t>Tomás Soucek</t>
        </is>
      </c>
      <c r="D543" t="inlineStr">
        <is>
          <t>MID</t>
        </is>
      </c>
      <c r="F543" t="b">
        <v>0</v>
      </c>
      <c r="G543" t="b">
        <v>1</v>
      </c>
      <c r="L543" t="inlineStr">
        <is>
          <t>p215439</t>
        </is>
      </c>
      <c r="Q543" t="n">
        <v>2198</v>
      </c>
      <c r="R543" t="n">
        <v>35</v>
      </c>
      <c r="T543" t="n">
        <v>24.422</v>
      </c>
      <c r="U543" t="n">
        <v>62.8</v>
      </c>
      <c r="AD543" t="n">
        <v>9</v>
      </c>
      <c r="AE543" t="n">
        <v>0</v>
      </c>
      <c r="AG543" t="n">
        <v>406</v>
      </c>
      <c r="AH543" t="n">
        <v>-22</v>
      </c>
      <c r="AI543" t="n">
        <v>103</v>
      </c>
      <c r="AN543" t="n">
        <v>2</v>
      </c>
      <c r="AO543" t="n">
        <v>4</v>
      </c>
      <c r="AP543" t="n">
        <v>0.083</v>
      </c>
      <c r="AQ543" t="n">
        <v>0.292</v>
      </c>
      <c r="AR543" t="n">
        <v>0.083</v>
      </c>
      <c r="AS543" t="n">
        <v>0.632</v>
      </c>
      <c r="AT543" t="n">
        <v>0.657</v>
      </c>
      <c r="AU543" t="n">
        <v>21</v>
      </c>
      <c r="AV543" t="n">
        <v>2</v>
      </c>
      <c r="AW543" t="n">
        <v>2.85</v>
      </c>
      <c r="AX543" t="n">
        <v>12</v>
      </c>
      <c r="AZ543" t="n">
        <v>5.214</v>
      </c>
      <c r="BA543" t="n">
        <v>5.214</v>
      </c>
      <c r="BB543" t="n">
        <v>5.214</v>
      </c>
      <c r="BD543" t="n">
        <v>0.214</v>
      </c>
      <c r="BE543" t="n">
        <v>0.214</v>
      </c>
      <c r="BF543" t="n">
        <v>7</v>
      </c>
      <c r="BG543" t="n">
        <v>0.287</v>
      </c>
      <c r="BH543" t="n">
        <v>1.099</v>
      </c>
      <c r="BI543" t="n">
        <v>23.04</v>
      </c>
      <c r="BJ543" t="n">
        <v>6.295</v>
      </c>
      <c r="BK543" t="n">
        <v>0.258</v>
      </c>
      <c r="BP543" t="n">
        <v>26</v>
      </c>
      <c r="BQ543" t="n">
        <v>14</v>
      </c>
      <c r="BR543" t="n">
        <v>4</v>
      </c>
      <c r="BS543" t="n">
        <v>57</v>
      </c>
      <c r="BT543" t="n">
        <v>2.334</v>
      </c>
      <c r="BV543" t="n">
        <v>1</v>
      </c>
      <c r="BX543" t="n">
        <v>0.822</v>
      </c>
      <c r="BY543" t="n">
        <v>0.822</v>
      </c>
      <c r="BZ543" t="n">
        <v>0.034</v>
      </c>
      <c r="CA543" t="n">
        <v>6.036</v>
      </c>
      <c r="CB543" t="n">
        <v>0.247</v>
      </c>
      <c r="CC543" t="n">
        <v>11</v>
      </c>
      <c r="CD543" t="n">
        <v>1</v>
      </c>
      <c r="CE543" t="n">
        <v>11</v>
      </c>
      <c r="CF543" t="n">
        <v>0</v>
      </c>
      <c r="CI543" t="n">
        <v>7.26</v>
      </c>
      <c r="CJ543" t="n">
        <v>4.539</v>
      </c>
      <c r="CN543" t="n">
        <v>24</v>
      </c>
      <c r="CO543" t="n">
        <v>16</v>
      </c>
      <c r="CP543" t="n">
        <v>83</v>
      </c>
      <c r="CQ543" t="n">
        <v>15</v>
      </c>
      <c r="CR543" t="n">
        <v>136</v>
      </c>
      <c r="CS543" t="n">
        <v>68</v>
      </c>
      <c r="CT543" t="n">
        <v>0.1</v>
      </c>
      <c r="DE543" t="n">
        <v>6.88</v>
      </c>
      <c r="DH543" t="n">
        <v>37</v>
      </c>
      <c r="DI543" t="n">
        <v>22</v>
      </c>
      <c r="DL543" t="n">
        <v>4</v>
      </c>
      <c r="DM543" t="n">
        <v>8</v>
      </c>
      <c r="DN543" t="n">
        <v>5</v>
      </c>
      <c r="EF543" t="n">
        <v>84.5</v>
      </c>
      <c r="EG543" t="n">
        <v>38.6</v>
      </c>
      <c r="EH543" t="n">
        <v>199.8</v>
      </c>
      <c r="EI543" t="n">
        <v>421.5</v>
      </c>
      <c r="EJ543" t="n">
        <v>2674.6</v>
      </c>
      <c r="EK543" t="n">
        <v>364.1</v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n">
        <v>4</v>
      </c>
      <c r="F544" t="b">
        <v>1</v>
      </c>
      <c r="G544" t="b">
        <v>0</v>
      </c>
      <c r="H544" t="n">
        <v>27.5</v>
      </c>
      <c r="I544" t="inlineStr">
        <is>
          <t>a</t>
        </is>
      </c>
      <c r="M544" t="n">
        <v>304</v>
      </c>
      <c r="DO544" t="n">
        <v>2.7</v>
      </c>
      <c r="DP544" t="n">
        <v>117.26</v>
      </c>
      <c r="DQ544" t="n">
        <v>58.63</v>
      </c>
      <c r="DR544" t="n">
        <v>117.26</v>
      </c>
      <c r="DS544" t="n">
        <v>0</v>
      </c>
      <c r="DT544" t="n">
        <v>3232</v>
      </c>
      <c r="DU544" t="n">
        <v>85.05</v>
      </c>
      <c r="DV544" t="inlineStr">
        <is>
          <t>flat</t>
        </is>
      </c>
      <c r="DW544" t="n">
        <v>110.33</v>
      </c>
      <c r="DX544" t="n">
        <v>115</v>
      </c>
      <c r="DY544" t="n">
        <v>8.960000000000001</v>
      </c>
      <c r="DZ544" t="n">
        <v>100</v>
      </c>
      <c r="EA544" t="n">
        <v>116</v>
      </c>
      <c r="EB544" t="n">
        <v>3</v>
      </c>
      <c r="EC544" t="n">
        <v>1.4</v>
      </c>
      <c r="ED544" t="n">
        <v>25</v>
      </c>
      <c r="EE544" t="n">
        <v>566</v>
      </c>
    </row>
    <row r="545">
      <c r="A545" t="inlineStr">
        <is>
          <t>Samuel Chukwueze</t>
        </is>
      </c>
      <c r="D545" t="inlineStr">
        <is>
          <t>MID</t>
        </is>
      </c>
      <c r="F545" t="b">
        <v>0</v>
      </c>
      <c r="G545" t="b">
        <v>1</v>
      </c>
      <c r="L545" t="inlineStr">
        <is>
          <t>p218328</t>
        </is>
      </c>
      <c r="Q545" t="n">
        <v>1075</v>
      </c>
      <c r="R545" t="n">
        <v>23</v>
      </c>
      <c r="T545" t="n">
        <v>11.944</v>
      </c>
      <c r="U545" t="n">
        <v>46.7</v>
      </c>
      <c r="Z545" t="n">
        <v>4</v>
      </c>
      <c r="AD545" t="n">
        <v>2</v>
      </c>
      <c r="AE545" t="n">
        <v>1</v>
      </c>
      <c r="AG545" t="n">
        <v>239</v>
      </c>
      <c r="AH545" t="n">
        <v>-3</v>
      </c>
      <c r="AI545" t="n">
        <v>63</v>
      </c>
      <c r="AN545" t="n">
        <v>0</v>
      </c>
      <c r="AO545" t="n">
        <v>0</v>
      </c>
      <c r="AP545" t="n">
        <v>0</v>
      </c>
      <c r="AQ545" t="n">
        <v>0</v>
      </c>
      <c r="AR545" t="n">
        <v>0</v>
      </c>
      <c r="AS545" t="n">
        <v>0.263</v>
      </c>
      <c r="AT545" t="n">
        <v>0.391</v>
      </c>
      <c r="AU545" t="n">
        <v>15</v>
      </c>
      <c r="AV545" t="n">
        <v>1</v>
      </c>
      <c r="AW545" t="n">
        <v>2.43</v>
      </c>
      <c r="AX545" t="n">
        <v>12</v>
      </c>
      <c r="AZ545" t="n">
        <v>2.333</v>
      </c>
      <c r="BA545" t="n">
        <v>2.333</v>
      </c>
      <c r="BB545" t="n">
        <v>2.333</v>
      </c>
      <c r="BD545" t="n">
        <v>0.195</v>
      </c>
      <c r="BE545" t="n">
        <v>0.195</v>
      </c>
      <c r="BF545" t="n">
        <v>3.1</v>
      </c>
      <c r="BG545" t="n">
        <v>0.26</v>
      </c>
      <c r="BH545" t="n">
        <v>1.099</v>
      </c>
      <c r="BI545" t="n">
        <v>2.1</v>
      </c>
      <c r="BJ545" t="n">
        <v>2.308</v>
      </c>
      <c r="BK545" t="n">
        <v>0.193</v>
      </c>
      <c r="BP545" t="n">
        <v>25</v>
      </c>
      <c r="BQ545" t="n">
        <v>7</v>
      </c>
      <c r="BR545" t="n">
        <v>2</v>
      </c>
      <c r="BS545" t="n">
        <v>56</v>
      </c>
      <c r="BT545" t="n">
        <v>4.688</v>
      </c>
      <c r="BX545" t="n">
        <v>2.836</v>
      </c>
      <c r="BY545" t="n">
        <v>2.836</v>
      </c>
      <c r="BZ545" t="n">
        <v>0.237</v>
      </c>
      <c r="CA545" t="n">
        <v>5.169</v>
      </c>
      <c r="CB545" t="n">
        <v>0.433</v>
      </c>
      <c r="CC545" t="n">
        <v>24</v>
      </c>
      <c r="CD545" t="n">
        <v>4</v>
      </c>
      <c r="CE545" t="n">
        <v>24</v>
      </c>
      <c r="CF545" t="n">
        <v>8</v>
      </c>
      <c r="CG545" t="n">
        <v>3</v>
      </c>
      <c r="CH545" t="n">
        <v>1</v>
      </c>
      <c r="CI545" t="n">
        <v>7.105</v>
      </c>
      <c r="CJ545" t="n">
        <v>2.852</v>
      </c>
      <c r="CN545" t="n">
        <v>4</v>
      </c>
      <c r="CO545" t="n">
        <v>7</v>
      </c>
      <c r="CP545" t="n">
        <v>10</v>
      </c>
      <c r="CQ545" t="n">
        <v>1</v>
      </c>
      <c r="CR545" t="n">
        <v>43</v>
      </c>
      <c r="CS545" t="n">
        <v>7</v>
      </c>
      <c r="CT545" t="n">
        <v>0.8</v>
      </c>
      <c r="CV545" t="n">
        <v>2</v>
      </c>
      <c r="DE545" t="n">
        <v>6.78</v>
      </c>
      <c r="DH545" t="n">
        <v>5</v>
      </c>
      <c r="DI545" t="n">
        <v>12</v>
      </c>
      <c r="DL545" t="n">
        <v>18</v>
      </c>
      <c r="DM545" t="n">
        <v>15</v>
      </c>
      <c r="DN545" t="n">
        <v>3</v>
      </c>
      <c r="EF545" t="n">
        <v>43</v>
      </c>
      <c r="EG545" t="n">
        <v>19.2</v>
      </c>
      <c r="EH545" t="n">
        <v>44.8</v>
      </c>
      <c r="EI545" t="n">
        <v>460.7</v>
      </c>
      <c r="EJ545" t="n">
        <v>379.1</v>
      </c>
      <c r="EK545" t="n">
        <v>208</v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n">
        <v>5</v>
      </c>
      <c r="F546" t="b">
        <v>1</v>
      </c>
      <c r="G546" t="b">
        <v>0</v>
      </c>
      <c r="H546" t="n">
        <v>25.6</v>
      </c>
      <c r="I546" t="inlineStr">
        <is>
          <t>a</t>
        </is>
      </c>
      <c r="M546" t="n">
        <v>195</v>
      </c>
      <c r="DO546" t="n">
        <v>0.6</v>
      </c>
      <c r="DP546" t="n">
        <v>52.25</v>
      </c>
      <c r="DQ546" t="n">
        <v>30.22</v>
      </c>
      <c r="DR546" t="n">
        <v>60.44</v>
      </c>
      <c r="DS546" t="n">
        <v>-8.19</v>
      </c>
      <c r="DT546" t="n">
        <v>744</v>
      </c>
      <c r="DU546" t="n">
        <v>19.59</v>
      </c>
      <c r="DV546" t="inlineStr">
        <is>
          <t>fade (losing his place)</t>
        </is>
      </c>
      <c r="DW546" t="n">
        <v>96.94</v>
      </c>
      <c r="DX546" t="n">
        <v>86.5</v>
      </c>
      <c r="DY546" t="n">
        <v>19.46</v>
      </c>
      <c r="DZ546" t="n">
        <v>51</v>
      </c>
      <c r="EA546" t="n">
        <v>119</v>
      </c>
      <c r="EB546" t="n">
        <v>20</v>
      </c>
      <c r="EC546" t="n">
        <v>9.6</v>
      </c>
      <c r="ED546" t="n">
        <v>0</v>
      </c>
      <c r="EE546" t="n">
        <v>345</v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n">
        <v>4</v>
      </c>
      <c r="F547" t="b">
        <v>1</v>
      </c>
      <c r="G547" t="b">
        <v>0</v>
      </c>
      <c r="H547" t="n">
        <v>27.8</v>
      </c>
      <c r="I547" t="inlineStr">
        <is>
          <t>a</t>
        </is>
      </c>
      <c r="M547" t="n">
        <v>180</v>
      </c>
      <c r="DO547" t="n">
        <v>0.2</v>
      </c>
      <c r="DP547" t="n">
        <v>15.23</v>
      </c>
      <c r="DQ547" t="n">
        <v>7.62</v>
      </c>
      <c r="DR547" t="n">
        <v>15.24</v>
      </c>
      <c r="DS547" t="n">
        <v>-0.01</v>
      </c>
      <c r="DT547" t="n">
        <v>270</v>
      </c>
      <c r="DU547" t="n">
        <v>7.11</v>
      </c>
      <c r="DV547" t="inlineStr">
        <is>
          <t>flat</t>
        </is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n">
        <v>4</v>
      </c>
      <c r="F548" t="b">
        <v>1</v>
      </c>
      <c r="G548" t="b">
        <v>0</v>
      </c>
      <c r="H548" t="n">
        <v>26.6</v>
      </c>
      <c r="I548" t="inlineStr">
        <is>
          <t>a</t>
        </is>
      </c>
      <c r="M548" t="n">
        <v>307</v>
      </c>
      <c r="DO548" t="n">
        <v>0.1</v>
      </c>
      <c r="DP548" t="n">
        <v>18.81</v>
      </c>
      <c r="DQ548" t="n">
        <v>9.41</v>
      </c>
      <c r="DR548" t="n">
        <v>18.82</v>
      </c>
      <c r="DS548" t="n">
        <v>-0.01</v>
      </c>
      <c r="DT548" t="n">
        <v>382</v>
      </c>
      <c r="DU548" t="n">
        <v>10.05</v>
      </c>
      <c r="DV548" t="inlineStr">
        <is>
          <t>flat</t>
        </is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n">
        <v>5</v>
      </c>
      <c r="F549" t="b">
        <v>1</v>
      </c>
      <c r="G549" t="b">
        <v>0</v>
      </c>
      <c r="H549" t="n">
        <v>27.5</v>
      </c>
      <c r="I549" t="inlineStr">
        <is>
          <t>a</t>
        </is>
      </c>
      <c r="M549" t="n">
        <v>317</v>
      </c>
      <c r="N549" t="n">
        <v>3</v>
      </c>
      <c r="DO549" t="n">
        <v>0.4</v>
      </c>
      <c r="DP549" t="n">
        <v>47.58</v>
      </c>
      <c r="DQ549" t="n">
        <v>23.79</v>
      </c>
      <c r="DR549" t="n">
        <v>47.58</v>
      </c>
      <c r="DS549" t="n">
        <v>0</v>
      </c>
      <c r="DT549" t="n">
        <v>448</v>
      </c>
      <c r="DU549" t="n">
        <v>11.79</v>
      </c>
      <c r="DV549" t="inlineStr">
        <is>
          <t>flat</t>
        </is>
      </c>
      <c r="DW549" t="n">
        <v>101.61</v>
      </c>
      <c r="DY549" t="n">
        <v>12.17</v>
      </c>
      <c r="DZ549" t="n">
        <v>79.2</v>
      </c>
      <c r="EA549" t="n">
        <v>117</v>
      </c>
      <c r="EB549" t="n">
        <v>10</v>
      </c>
      <c r="EC549" t="n">
        <v>4.8</v>
      </c>
      <c r="ED549" t="n">
        <v>9.1</v>
      </c>
      <c r="EE549" t="n">
        <v>360</v>
      </c>
    </row>
    <row r="550">
      <c r="A550" t="inlineStr">
        <is>
          <t>Tyrell Malacia</t>
        </is>
      </c>
      <c r="D550" t="inlineStr">
        <is>
          <t>DEF</t>
        </is>
      </c>
      <c r="F550" t="b">
        <v>0</v>
      </c>
      <c r="G550" t="b">
        <v>1</v>
      </c>
      <c r="L550" t="inlineStr">
        <is>
          <t>p222690</t>
        </is>
      </c>
      <c r="Q550" t="n">
        <v>15</v>
      </c>
      <c r="R550" t="n">
        <v>3</v>
      </c>
      <c r="T550" t="n">
        <v>0.167</v>
      </c>
      <c r="U550" t="n">
        <v>5</v>
      </c>
      <c r="AD550" t="n">
        <v>0</v>
      </c>
      <c r="AE550" t="n">
        <v>0</v>
      </c>
      <c r="AG550" t="n">
        <v>6</v>
      </c>
      <c r="AH550" t="n">
        <v>0</v>
      </c>
      <c r="AI550" t="n">
        <v>3</v>
      </c>
      <c r="AN550" t="n">
        <v>0</v>
      </c>
      <c r="AO550" t="n">
        <v>0</v>
      </c>
      <c r="AS550" t="n">
        <v>0</v>
      </c>
      <c r="AT550" t="n">
        <v>0</v>
      </c>
      <c r="AU550" t="n">
        <v>3</v>
      </c>
      <c r="AV550" t="n">
        <v>0</v>
      </c>
      <c r="AW550" t="n">
        <v>0.27</v>
      </c>
      <c r="AX550" t="n">
        <v>1</v>
      </c>
      <c r="BH550" t="n">
        <v>0.984</v>
      </c>
      <c r="BI550" t="n">
        <v>0.23</v>
      </c>
      <c r="BJ550" t="n">
        <v>0</v>
      </c>
      <c r="BK550" t="n">
        <v>0</v>
      </c>
      <c r="CN550" t="n">
        <v>1</v>
      </c>
      <c r="CP550" t="n">
        <v>1</v>
      </c>
      <c r="CR550" t="n">
        <v>3</v>
      </c>
      <c r="DM550" t="n">
        <v>1</v>
      </c>
    </row>
    <row r="551">
      <c r="A551" t="inlineStr">
        <is>
          <t>Dan Neil</t>
        </is>
      </c>
      <c r="D551" t="inlineStr">
        <is>
          <t>MID</t>
        </is>
      </c>
      <c r="F551" t="b">
        <v>0</v>
      </c>
      <c r="G551" t="b">
        <v>1</v>
      </c>
      <c r="L551" t="inlineStr">
        <is>
          <t>p223336</t>
        </is>
      </c>
      <c r="Q551" t="n">
        <v>13</v>
      </c>
      <c r="R551" t="n">
        <v>3</v>
      </c>
      <c r="T551" t="n">
        <v>0.144</v>
      </c>
      <c r="U551" t="n">
        <v>4.3</v>
      </c>
      <c r="AD551" t="n">
        <v>0</v>
      </c>
      <c r="AE551" t="n">
        <v>0</v>
      </c>
      <c r="AG551" t="n">
        <v>10</v>
      </c>
      <c r="AH551" t="n">
        <v>0</v>
      </c>
      <c r="AI551" t="n">
        <v>3</v>
      </c>
      <c r="AN551" t="n">
        <v>0</v>
      </c>
      <c r="AO551" t="n">
        <v>0</v>
      </c>
      <c r="AS551" t="n">
        <v>0</v>
      </c>
      <c r="AT551" t="n">
        <v>0</v>
      </c>
      <c r="AU551" t="n">
        <v>3</v>
      </c>
      <c r="AV551" t="n">
        <v>0</v>
      </c>
      <c r="AW551" t="n">
        <v>0.27</v>
      </c>
      <c r="AX551" t="n">
        <v>1</v>
      </c>
      <c r="AZ551" t="n">
        <v>0</v>
      </c>
      <c r="BA551" t="n">
        <v>0</v>
      </c>
      <c r="BB551" t="n">
        <v>0</v>
      </c>
      <c r="BD551" t="n">
        <v>0</v>
      </c>
      <c r="BE551" t="n">
        <v>0</v>
      </c>
      <c r="BH551" t="n">
        <v>1</v>
      </c>
      <c r="BI551" t="n">
        <v>0</v>
      </c>
      <c r="BJ551" t="n">
        <v>0</v>
      </c>
      <c r="BK551" t="n">
        <v>0</v>
      </c>
      <c r="BX551" t="n">
        <v>0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I551" t="n">
        <v>0</v>
      </c>
      <c r="CJ551" t="n">
        <v>0</v>
      </c>
      <c r="CO551" t="n">
        <v>1</v>
      </c>
      <c r="CP551" t="n">
        <v>1</v>
      </c>
      <c r="CR551" t="n">
        <v>1</v>
      </c>
      <c r="DI551" t="n">
        <v>1</v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n">
        <v>4.5</v>
      </c>
      <c r="F552" t="b">
        <v>1</v>
      </c>
      <c r="G552" t="b">
        <v>0</v>
      </c>
      <c r="H552" t="n">
        <v>27.8</v>
      </c>
      <c r="I552" t="inlineStr">
        <is>
          <t>a</t>
        </is>
      </c>
      <c r="M552" t="n">
        <v>577</v>
      </c>
      <c r="DO552" t="n">
        <v>0.1</v>
      </c>
      <c r="DP552" t="n">
        <v>123.24</v>
      </c>
      <c r="DQ552" t="n">
        <v>61.62</v>
      </c>
      <c r="DR552" t="n">
        <v>123.24</v>
      </c>
      <c r="DS552" t="n">
        <v>0</v>
      </c>
      <c r="DT552" t="n">
        <v>2822</v>
      </c>
      <c r="DU552" t="n">
        <v>74.25</v>
      </c>
      <c r="DV552" t="inlineStr">
        <is>
          <t>flat</t>
        </is>
      </c>
      <c r="DW552" t="n">
        <v>98.67</v>
      </c>
      <c r="DZ552" t="n">
        <v>98.67</v>
      </c>
      <c r="EA552" t="n">
        <v>98.67</v>
      </c>
      <c r="EB552" t="n">
        <v>1</v>
      </c>
      <c r="EC552" t="n">
        <v>0.5</v>
      </c>
      <c r="ED552" t="n">
        <v>0</v>
      </c>
      <c r="EE552" t="n">
        <v>517</v>
      </c>
    </row>
    <row r="553">
      <c r="A553" t="inlineStr">
        <is>
          <t>Lucas Paquetá</t>
        </is>
      </c>
      <c r="D553" t="inlineStr">
        <is>
          <t>MID</t>
        </is>
      </c>
      <c r="F553" t="b">
        <v>0</v>
      </c>
      <c r="G553" t="b">
        <v>1</v>
      </c>
      <c r="L553" t="inlineStr">
        <is>
          <t>p224024</t>
        </is>
      </c>
      <c r="Q553" t="n">
        <v>1521</v>
      </c>
      <c r="R553" t="n">
        <v>18</v>
      </c>
      <c r="T553" t="n">
        <v>16.9</v>
      </c>
      <c r="U553" t="n">
        <v>84.5</v>
      </c>
      <c r="Z553" t="n">
        <v>1</v>
      </c>
      <c r="AD553" t="n">
        <v>8</v>
      </c>
      <c r="AE553" t="n">
        <v>0</v>
      </c>
      <c r="AG553" t="n">
        <v>287</v>
      </c>
      <c r="AH553" t="n">
        <v>-4</v>
      </c>
      <c r="AI553" t="n">
        <v>69</v>
      </c>
      <c r="AN553" t="n">
        <v>2</v>
      </c>
      <c r="AO553" t="n">
        <v>4</v>
      </c>
      <c r="AP553" t="n">
        <v>0.111</v>
      </c>
      <c r="AQ553" t="n">
        <v>0.444</v>
      </c>
      <c r="AR553" t="n">
        <v>0.111</v>
      </c>
      <c r="AS553" t="n">
        <v>0.474</v>
      </c>
      <c r="AT553" t="n">
        <v>1</v>
      </c>
      <c r="AU553" t="n">
        <v>10</v>
      </c>
      <c r="AV553" t="n">
        <v>2</v>
      </c>
      <c r="AW553" t="n">
        <v>3.22</v>
      </c>
      <c r="AX553" t="n">
        <v>13</v>
      </c>
      <c r="AZ553" t="n">
        <v>2.441</v>
      </c>
      <c r="BA553" t="n">
        <v>2.441</v>
      </c>
      <c r="BB553" t="n">
        <v>0.918</v>
      </c>
      <c r="BD553" t="n">
        <v>0.144</v>
      </c>
      <c r="BE553" t="n">
        <v>0.144</v>
      </c>
      <c r="BF553" t="n">
        <v>2.6</v>
      </c>
      <c r="BG553" t="n">
        <v>0.154</v>
      </c>
      <c r="BH553" t="n">
        <v>0.872</v>
      </c>
      <c r="BI553" t="n">
        <v>17.79</v>
      </c>
      <c r="BJ553" t="n">
        <v>2.486</v>
      </c>
      <c r="BK553" t="n">
        <v>0.147</v>
      </c>
      <c r="BP553" t="n">
        <v>23</v>
      </c>
      <c r="BQ553" t="n">
        <v>11</v>
      </c>
      <c r="BR553" t="n">
        <v>1</v>
      </c>
      <c r="BS553" t="n">
        <v>25</v>
      </c>
      <c r="BT553" t="n">
        <v>1.479</v>
      </c>
      <c r="BU553" t="n">
        <v>2</v>
      </c>
      <c r="BX553" t="n">
        <v>3.012</v>
      </c>
      <c r="BY553" t="n">
        <v>3.012</v>
      </c>
      <c r="BZ553" t="n">
        <v>0.178</v>
      </c>
      <c r="CA553" t="n">
        <v>5.453</v>
      </c>
      <c r="CB553" t="n">
        <v>0.323</v>
      </c>
      <c r="CC553" t="n">
        <v>23</v>
      </c>
      <c r="CD553" t="n">
        <v>6</v>
      </c>
      <c r="CE553" t="n">
        <v>23</v>
      </c>
      <c r="CF553" t="n">
        <v>7</v>
      </c>
      <c r="CG553" t="n">
        <v>3</v>
      </c>
      <c r="CH553" t="n">
        <v>11</v>
      </c>
      <c r="CI553" t="n">
        <v>4.266</v>
      </c>
      <c r="CJ553" t="n">
        <v>1.529</v>
      </c>
      <c r="CN553" t="n">
        <v>22</v>
      </c>
      <c r="CO553" t="n">
        <v>8</v>
      </c>
      <c r="CP553" t="n">
        <v>17</v>
      </c>
      <c r="CQ553" t="n">
        <v>6</v>
      </c>
      <c r="CR553" t="n">
        <v>123</v>
      </c>
      <c r="CS553" t="n">
        <v>38</v>
      </c>
      <c r="CV553" t="n">
        <v>1</v>
      </c>
      <c r="DH553" t="n">
        <v>28</v>
      </c>
      <c r="DI553" t="n">
        <v>30</v>
      </c>
      <c r="DK553" t="n">
        <v>1</v>
      </c>
      <c r="DL553" t="n">
        <v>16</v>
      </c>
      <c r="DM553" t="n">
        <v>27</v>
      </c>
      <c r="DN553" t="n">
        <v>5</v>
      </c>
      <c r="EF553" t="n">
        <v>66.09999999999999</v>
      </c>
      <c r="EG553" t="n">
        <v>60.8</v>
      </c>
      <c r="EH553" t="n">
        <v>66.09999999999999</v>
      </c>
      <c r="EI553" t="n">
        <v>623.1</v>
      </c>
      <c r="EJ553" t="n">
        <v>505</v>
      </c>
      <c r="EK553" t="n">
        <v>278.9</v>
      </c>
    </row>
    <row r="554">
      <c r="A554" t="inlineStr">
        <is>
          <t>Aaron Ramsdale</t>
        </is>
      </c>
      <c r="D554" t="inlineStr">
        <is>
          <t>GKP</t>
        </is>
      </c>
      <c r="F554" t="b">
        <v>0</v>
      </c>
      <c r="G554" t="b">
        <v>1</v>
      </c>
      <c r="L554" t="inlineStr">
        <is>
          <t>p225321</t>
        </is>
      </c>
      <c r="Q554" t="n">
        <v>1003</v>
      </c>
      <c r="R554" t="n">
        <v>12</v>
      </c>
      <c r="T554" t="n">
        <v>11.144</v>
      </c>
      <c r="U554" t="n">
        <v>83.59999999999999</v>
      </c>
      <c r="AD554" t="n">
        <v>1</v>
      </c>
      <c r="AE554" t="n">
        <v>0</v>
      </c>
      <c r="AG554" t="n">
        <v>104</v>
      </c>
      <c r="AH554" t="n">
        <v>-3</v>
      </c>
      <c r="AI554" t="n">
        <v>25</v>
      </c>
      <c r="AN554" t="n">
        <v>0</v>
      </c>
      <c r="AO554" t="n">
        <v>0</v>
      </c>
      <c r="AP554" t="n">
        <v>0</v>
      </c>
      <c r="AQ554" t="n">
        <v>0</v>
      </c>
      <c r="AR554" t="n">
        <v>0</v>
      </c>
      <c r="AS554" t="n">
        <v>0.289</v>
      </c>
      <c r="AT554" t="n">
        <v>0.917</v>
      </c>
      <c r="AU554" t="n">
        <v>9</v>
      </c>
      <c r="AV554" t="n">
        <v>0</v>
      </c>
      <c r="AW554" t="n">
        <v>1.38</v>
      </c>
      <c r="AX554" t="n">
        <v>7</v>
      </c>
      <c r="AZ554" t="n">
        <v>0</v>
      </c>
      <c r="BA554" t="n">
        <v>0</v>
      </c>
      <c r="BB554" t="n">
        <v>0</v>
      </c>
      <c r="BD554" t="n">
        <v>0</v>
      </c>
      <c r="BE554" t="n">
        <v>0</v>
      </c>
      <c r="BH554" t="n">
        <v>1</v>
      </c>
      <c r="BI554" t="n">
        <v>0</v>
      </c>
      <c r="BJ554" t="n">
        <v>0</v>
      </c>
      <c r="BK554" t="n">
        <v>0</v>
      </c>
      <c r="BX554" t="n">
        <v>0.07099999999999999</v>
      </c>
      <c r="BY554" t="n">
        <v>0.07099999999999999</v>
      </c>
      <c r="BZ554" t="n">
        <v>0.006</v>
      </c>
      <c r="CA554" t="n">
        <v>0.07099999999999999</v>
      </c>
      <c r="CB554" t="n">
        <v>0.006</v>
      </c>
      <c r="CC554" t="n">
        <v>1</v>
      </c>
      <c r="CE554" t="n">
        <v>1</v>
      </c>
      <c r="CI554" t="n">
        <v>2.482</v>
      </c>
      <c r="CJ554" t="n">
        <v>2.411</v>
      </c>
      <c r="CP554" t="n">
        <v>10</v>
      </c>
      <c r="CR554" t="n">
        <v>6</v>
      </c>
      <c r="CS554" t="n">
        <v>5</v>
      </c>
      <c r="CV554" t="n">
        <v>1</v>
      </c>
      <c r="DC554" t="n">
        <v>12</v>
      </c>
      <c r="DD554" t="n">
        <v>6</v>
      </c>
      <c r="DI554" t="n">
        <v>1</v>
      </c>
      <c r="EH554" t="n">
        <v>1003</v>
      </c>
      <c r="EJ554" t="n">
        <v>14126.6</v>
      </c>
      <c r="EK554" t="n">
        <v>14126.6</v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n">
        <v>5.5</v>
      </c>
      <c r="F555" t="b">
        <v>1</v>
      </c>
      <c r="G555" t="b">
        <v>0</v>
      </c>
      <c r="H555" t="n">
        <v>27.1</v>
      </c>
      <c r="I555" t="inlineStr">
        <is>
          <t>a</t>
        </is>
      </c>
      <c r="M555" t="n">
        <v>188</v>
      </c>
      <c r="N555" t="n">
        <v>2</v>
      </c>
      <c r="O555" t="n">
        <v>2</v>
      </c>
      <c r="P555" t="n">
        <v>2</v>
      </c>
      <c r="DO555" t="n">
        <v>0.2</v>
      </c>
      <c r="DP555" t="n">
        <v>40.42</v>
      </c>
      <c r="DQ555" t="n">
        <v>20.34</v>
      </c>
      <c r="DR555" t="n">
        <v>40.68</v>
      </c>
      <c r="DS555" t="n">
        <v>-0.26</v>
      </c>
      <c r="DT555" t="n">
        <v>724</v>
      </c>
      <c r="DU555" t="n">
        <v>19.05</v>
      </c>
      <c r="DV555" t="inlineStr">
        <is>
          <t>flat</t>
        </is>
      </c>
      <c r="DW555" t="n">
        <v>109.18</v>
      </c>
      <c r="DY555" t="n">
        <v>2.22</v>
      </c>
      <c r="DZ555" t="n">
        <v>106.5</v>
      </c>
      <c r="EA555" t="n">
        <v>111.5</v>
      </c>
      <c r="EB555" t="n">
        <v>4</v>
      </c>
      <c r="EC555" t="n">
        <v>1.9</v>
      </c>
      <c r="ED555" t="n">
        <v>20</v>
      </c>
      <c r="EE555" t="n">
        <v>205</v>
      </c>
    </row>
    <row r="556">
      <c r="A556" t="inlineStr">
        <is>
          <t>Yves Bissouma</t>
        </is>
      </c>
      <c r="D556" t="inlineStr">
        <is>
          <t>MID</t>
        </is>
      </c>
      <c r="F556" t="b">
        <v>0</v>
      </c>
      <c r="G556" t="b">
        <v>1</v>
      </c>
      <c r="L556" t="inlineStr">
        <is>
          <t>p227127</t>
        </is>
      </c>
      <c r="Q556" t="n">
        <v>605</v>
      </c>
      <c r="R556" t="n">
        <v>11</v>
      </c>
      <c r="T556" t="n">
        <v>6.722</v>
      </c>
      <c r="U556" t="n">
        <v>55</v>
      </c>
      <c r="AD556" t="n">
        <v>0</v>
      </c>
      <c r="AE556" t="n">
        <v>0</v>
      </c>
      <c r="AG556" t="n">
        <v>95</v>
      </c>
      <c r="AH556" t="n">
        <v>-4</v>
      </c>
      <c r="AI556" t="n">
        <v>17</v>
      </c>
      <c r="AN556" t="n">
        <v>2</v>
      </c>
      <c r="AO556" t="n">
        <v>4</v>
      </c>
      <c r="AP556" t="n">
        <v>0.286</v>
      </c>
      <c r="AQ556" t="n">
        <v>0.286</v>
      </c>
      <c r="AR556" t="n">
        <v>0.286</v>
      </c>
      <c r="AS556" t="n">
        <v>0.184</v>
      </c>
      <c r="AT556" t="n">
        <v>0.455</v>
      </c>
      <c r="AU556" t="n">
        <v>8</v>
      </c>
      <c r="AV556" t="n">
        <v>0</v>
      </c>
      <c r="AW556" t="n">
        <v>0.98</v>
      </c>
      <c r="AX556" t="n">
        <v>4</v>
      </c>
      <c r="AZ556" t="n">
        <v>0.212</v>
      </c>
      <c r="BA556" t="n">
        <v>0.212</v>
      </c>
      <c r="BB556" t="n">
        <v>0.212</v>
      </c>
      <c r="BD556" t="n">
        <v>0.032</v>
      </c>
      <c r="BE556" t="n">
        <v>0.032</v>
      </c>
      <c r="BF556" t="n">
        <v>0.1</v>
      </c>
      <c r="BG556" t="n">
        <v>0.015</v>
      </c>
      <c r="BH556" t="n">
        <v>0.995</v>
      </c>
      <c r="BI556" t="n">
        <v>2.35</v>
      </c>
      <c r="BJ556" t="n">
        <v>0.358</v>
      </c>
      <c r="BK556" t="n">
        <v>0.053</v>
      </c>
      <c r="BP556" t="n">
        <v>5</v>
      </c>
      <c r="BQ556" t="n">
        <v>2</v>
      </c>
      <c r="BS556" t="n">
        <v>2</v>
      </c>
      <c r="BT556" t="n">
        <v>0.298</v>
      </c>
      <c r="BX556" t="n">
        <v>0</v>
      </c>
      <c r="BY556" t="n">
        <v>0</v>
      </c>
      <c r="BZ556" t="n">
        <v>0</v>
      </c>
      <c r="CA556" t="n">
        <v>0.212</v>
      </c>
      <c r="CB556" t="n">
        <v>0.032</v>
      </c>
      <c r="CC556" t="n">
        <v>0</v>
      </c>
      <c r="CI556" t="n">
        <v>1.075</v>
      </c>
      <c r="CJ556" t="n">
        <v>0.9330000000000001</v>
      </c>
      <c r="CN556" t="n">
        <v>11</v>
      </c>
      <c r="CO556" t="n">
        <v>9</v>
      </c>
      <c r="CP556" t="n">
        <v>14</v>
      </c>
      <c r="CQ556" t="n">
        <v>3</v>
      </c>
      <c r="CR556" t="n">
        <v>32</v>
      </c>
      <c r="CS556" t="n">
        <v>5</v>
      </c>
      <c r="CU556" t="n">
        <v>1</v>
      </c>
      <c r="DH556" t="n">
        <v>8</v>
      </c>
      <c r="DI556" t="n">
        <v>6</v>
      </c>
      <c r="DL556" t="n">
        <v>3</v>
      </c>
      <c r="DM556" t="n">
        <v>4</v>
      </c>
      <c r="EF556" t="n">
        <v>121</v>
      </c>
      <c r="EG556" t="n">
        <v>302.5</v>
      </c>
      <c r="EI556" t="n">
        <v>2848.6</v>
      </c>
      <c r="EK556" t="n">
        <v>2848.6</v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n">
        <v>5</v>
      </c>
      <c r="F557" t="b">
        <v>1</v>
      </c>
      <c r="G557" t="b">
        <v>0</v>
      </c>
      <c r="H557" t="n">
        <v>29.3</v>
      </c>
      <c r="I557" t="inlineStr">
        <is>
          <t>a</t>
        </is>
      </c>
      <c r="M557" t="n">
        <v>314</v>
      </c>
      <c r="DO557" t="n">
        <v>0</v>
      </c>
      <c r="DP557" t="n">
        <v>0</v>
      </c>
      <c r="DQ557" t="n">
        <v>0</v>
      </c>
      <c r="DR557" t="n">
        <v>0</v>
      </c>
      <c r="DS557" t="n">
        <v>0</v>
      </c>
      <c r="DT557" t="n">
        <v>0</v>
      </c>
      <c r="DU557" t="n">
        <v>0</v>
      </c>
      <c r="DV557" t="inlineStr">
        <is>
          <t>flat</t>
        </is>
      </c>
    </row>
    <row r="558">
      <c r="A558" t="inlineStr">
        <is>
          <t>Andy Irving</t>
        </is>
      </c>
      <c r="D558" t="inlineStr">
        <is>
          <t>MID</t>
        </is>
      </c>
      <c r="F558" t="b">
        <v>0</v>
      </c>
      <c r="G558" t="b">
        <v>1</v>
      </c>
      <c r="L558" t="inlineStr">
        <is>
          <t>p229384</t>
        </is>
      </c>
      <c r="Q558" t="n">
        <v>157</v>
      </c>
      <c r="R558" t="n">
        <v>7</v>
      </c>
      <c r="T558" t="n">
        <v>1.744</v>
      </c>
      <c r="U558" t="n">
        <v>22.4</v>
      </c>
      <c r="AD558" t="n">
        <v>0</v>
      </c>
      <c r="AE558" t="n">
        <v>0</v>
      </c>
      <c r="AG558" t="n">
        <v>49</v>
      </c>
      <c r="AH558" t="n">
        <v>0</v>
      </c>
      <c r="AI558" t="n">
        <v>9</v>
      </c>
      <c r="AN558" t="n">
        <v>0</v>
      </c>
      <c r="AO558" t="n">
        <v>0</v>
      </c>
      <c r="AP558" t="n">
        <v>0</v>
      </c>
      <c r="AQ558" t="n">
        <v>0</v>
      </c>
      <c r="AR558" t="n">
        <v>0</v>
      </c>
      <c r="AS558" t="n">
        <v>0.053</v>
      </c>
      <c r="AT558" t="n">
        <v>0.286</v>
      </c>
      <c r="AU558" t="n">
        <v>7</v>
      </c>
      <c r="AV558" t="n">
        <v>0</v>
      </c>
      <c r="AW558" t="n">
        <v>0.54</v>
      </c>
      <c r="AX558" t="n">
        <v>2</v>
      </c>
      <c r="AZ558" t="n">
        <v>0</v>
      </c>
      <c r="BA558" t="n">
        <v>0</v>
      </c>
      <c r="BB558" t="n">
        <v>0</v>
      </c>
      <c r="BD558" t="n">
        <v>0</v>
      </c>
      <c r="BE558" t="n">
        <v>0</v>
      </c>
      <c r="BH558" t="n">
        <v>0.996</v>
      </c>
      <c r="BI558" t="n">
        <v>0.13</v>
      </c>
      <c r="BJ558" t="n">
        <v>0</v>
      </c>
      <c r="BK558" t="n">
        <v>0</v>
      </c>
      <c r="BS558" t="n">
        <v>1</v>
      </c>
      <c r="BT558" t="n">
        <v>0.573</v>
      </c>
      <c r="BX558" t="n">
        <v>0.202</v>
      </c>
      <c r="BY558" t="n">
        <v>0.202</v>
      </c>
      <c r="BZ558" t="n">
        <v>0.116</v>
      </c>
      <c r="CA558" t="n">
        <v>0.202</v>
      </c>
      <c r="CB558" t="n">
        <v>0.116</v>
      </c>
      <c r="CC558" t="n">
        <v>3</v>
      </c>
      <c r="CE558" t="n">
        <v>3</v>
      </c>
      <c r="CF558" t="n">
        <v>3</v>
      </c>
      <c r="CH558" t="n">
        <v>12</v>
      </c>
      <c r="CI558" t="n">
        <v>0.174</v>
      </c>
      <c r="CJ558" t="n">
        <v>0.139</v>
      </c>
      <c r="CN558" t="n">
        <v>3</v>
      </c>
      <c r="CO558" t="n">
        <v>1</v>
      </c>
      <c r="CQ558" t="n">
        <v>1</v>
      </c>
      <c r="CR558" t="n">
        <v>6</v>
      </c>
      <c r="DH558" t="n">
        <v>1</v>
      </c>
      <c r="DM558" t="n">
        <v>2</v>
      </c>
      <c r="EG558" t="n">
        <v>157</v>
      </c>
      <c r="EH558" t="n">
        <v>52.3</v>
      </c>
      <c r="EJ558" t="n">
        <v>776.8</v>
      </c>
      <c r="EK558" t="n">
        <v>776.8</v>
      </c>
    </row>
    <row r="559">
      <c r="A559" t="inlineStr">
        <is>
          <t>Douglas Luiz</t>
        </is>
      </c>
      <c r="D559" t="inlineStr">
        <is>
          <t>MID</t>
        </is>
      </c>
      <c r="F559" t="b">
        <v>0</v>
      </c>
      <c r="G559" t="b">
        <v>1</v>
      </c>
      <c r="L559" t="inlineStr">
        <is>
          <t>p230046</t>
        </is>
      </c>
      <c r="Q559" t="n">
        <v>923</v>
      </c>
      <c r="R559" t="n">
        <v>21</v>
      </c>
      <c r="T559" t="n">
        <v>10.256</v>
      </c>
      <c r="U559" t="n">
        <v>44</v>
      </c>
      <c r="AD559" t="n">
        <v>1</v>
      </c>
      <c r="AE559" t="n">
        <v>1</v>
      </c>
      <c r="AG559" t="n">
        <v>215</v>
      </c>
      <c r="AH559" t="n">
        <v>-5</v>
      </c>
      <c r="AI559" t="n">
        <v>36</v>
      </c>
      <c r="AN559" t="n">
        <v>0</v>
      </c>
      <c r="AO559" t="n">
        <v>0</v>
      </c>
      <c r="AP559" t="n">
        <v>0</v>
      </c>
      <c r="AQ559" t="n">
        <v>0.417</v>
      </c>
      <c r="AR559" t="n">
        <v>0</v>
      </c>
      <c r="AS559" t="n">
        <v>0.316</v>
      </c>
      <c r="AT559" t="n">
        <v>0.381</v>
      </c>
      <c r="AU559" t="n">
        <v>18</v>
      </c>
      <c r="AV559" t="n">
        <v>0</v>
      </c>
      <c r="AW559" t="n">
        <v>1.49</v>
      </c>
      <c r="AX559" t="n">
        <v>7</v>
      </c>
      <c r="AZ559" t="n">
        <v>0.702</v>
      </c>
      <c r="BA559" t="n">
        <v>0.702</v>
      </c>
      <c r="BB559" t="n">
        <v>0.702</v>
      </c>
      <c r="BD559" t="n">
        <v>0.068</v>
      </c>
      <c r="BE559" t="n">
        <v>0.068</v>
      </c>
      <c r="BF559" t="n">
        <v>0.9</v>
      </c>
      <c r="BG559" t="n">
        <v>0.08799999999999999</v>
      </c>
      <c r="BH559" t="n">
        <v>1.21</v>
      </c>
      <c r="BI559" t="n">
        <v>10.01</v>
      </c>
      <c r="BJ559" t="n">
        <v>0.642</v>
      </c>
      <c r="BK559" t="n">
        <v>0.063</v>
      </c>
      <c r="BP559" t="n">
        <v>11</v>
      </c>
      <c r="BQ559" t="n">
        <v>5</v>
      </c>
      <c r="BR559" t="n">
        <v>2</v>
      </c>
      <c r="BS559" t="n">
        <v>16</v>
      </c>
      <c r="BT559" t="n">
        <v>1.56</v>
      </c>
      <c r="BX559" t="n">
        <v>1.823</v>
      </c>
      <c r="BY559" t="n">
        <v>1.823</v>
      </c>
      <c r="BZ559" t="n">
        <v>0.178</v>
      </c>
      <c r="CA559" t="n">
        <v>2.525</v>
      </c>
      <c r="CB559" t="n">
        <v>0.246</v>
      </c>
      <c r="CC559" t="n">
        <v>19</v>
      </c>
      <c r="CD559" t="n">
        <v>3</v>
      </c>
      <c r="CE559" t="n">
        <v>19</v>
      </c>
      <c r="CF559" t="n">
        <v>11</v>
      </c>
      <c r="CH559" t="n">
        <v>33</v>
      </c>
      <c r="CI559" t="n">
        <v>4.071</v>
      </c>
      <c r="CJ559" t="n">
        <v>2.811</v>
      </c>
      <c r="CN559" t="n">
        <v>13</v>
      </c>
      <c r="CO559" t="n">
        <v>15</v>
      </c>
      <c r="CP559" t="n">
        <v>12</v>
      </c>
      <c r="CQ559" t="n">
        <v>4</v>
      </c>
      <c r="CR559" t="n">
        <v>52</v>
      </c>
      <c r="CS559" t="n">
        <v>9</v>
      </c>
      <c r="CT559" t="n">
        <v>0.3</v>
      </c>
      <c r="CV559" t="n">
        <v>1</v>
      </c>
      <c r="DH559" t="n">
        <v>13</v>
      </c>
      <c r="DI559" t="n">
        <v>15</v>
      </c>
      <c r="DK559" t="n">
        <v>1</v>
      </c>
      <c r="DL559" t="n">
        <v>6</v>
      </c>
      <c r="DM559" t="n">
        <v>3</v>
      </c>
      <c r="EF559" t="n">
        <v>83.90000000000001</v>
      </c>
      <c r="EG559" t="n">
        <v>57.7</v>
      </c>
      <c r="EH559" t="n">
        <v>48.6</v>
      </c>
      <c r="EI559" t="n">
        <v>1314</v>
      </c>
      <c r="EJ559" t="n">
        <v>506.3</v>
      </c>
      <c r="EK559" t="n">
        <v>365.5</v>
      </c>
    </row>
    <row r="560">
      <c r="A560" t="inlineStr">
        <is>
          <t>Jhon Arias</t>
        </is>
      </c>
      <c r="D560" t="inlineStr">
        <is>
          <t>MID</t>
        </is>
      </c>
      <c r="F560" t="b">
        <v>0</v>
      </c>
      <c r="G560" t="b">
        <v>1</v>
      </c>
      <c r="L560" t="inlineStr">
        <is>
          <t>p230376</t>
        </is>
      </c>
      <c r="Q560" t="n">
        <v>1121</v>
      </c>
      <c r="R560" t="n">
        <v>23</v>
      </c>
      <c r="T560" t="n">
        <v>12.456</v>
      </c>
      <c r="U560" t="n">
        <v>48.7</v>
      </c>
      <c r="AD560" t="n">
        <v>3</v>
      </c>
      <c r="AE560" t="n">
        <v>1</v>
      </c>
      <c r="AG560" t="n">
        <v>169</v>
      </c>
      <c r="AH560" t="n">
        <v>-6</v>
      </c>
      <c r="AI560" t="n">
        <v>46</v>
      </c>
      <c r="AN560" t="n">
        <v>2</v>
      </c>
      <c r="AO560" t="n">
        <v>4</v>
      </c>
      <c r="AP560" t="n">
        <v>0.143</v>
      </c>
      <c r="AQ560" t="n">
        <v>0.286</v>
      </c>
      <c r="AR560" t="n">
        <v>0.143</v>
      </c>
      <c r="AS560" t="n">
        <v>0.368</v>
      </c>
      <c r="AT560" t="n">
        <v>0.435</v>
      </c>
      <c r="AU560" t="n">
        <v>19</v>
      </c>
      <c r="AV560" t="n">
        <v>0</v>
      </c>
      <c r="AW560" t="n">
        <v>1.74</v>
      </c>
      <c r="AX560" t="n">
        <v>9</v>
      </c>
      <c r="AZ560" t="n">
        <v>3.293</v>
      </c>
      <c r="BA560" t="n">
        <v>3.293</v>
      </c>
      <c r="BB560" t="n">
        <v>3.293</v>
      </c>
      <c r="BD560" t="n">
        <v>0.264</v>
      </c>
      <c r="BE560" t="n">
        <v>0.264</v>
      </c>
      <c r="BF560" t="n">
        <v>0.8</v>
      </c>
      <c r="BG560" t="n">
        <v>0.064</v>
      </c>
      <c r="BH560" t="n">
        <v>0.773</v>
      </c>
      <c r="BI560" t="n">
        <v>3.38</v>
      </c>
      <c r="BJ560" t="n">
        <v>2.614</v>
      </c>
      <c r="BK560" t="n">
        <v>0.21</v>
      </c>
      <c r="BP560" t="n">
        <v>16</v>
      </c>
      <c r="BQ560" t="n">
        <v>3</v>
      </c>
      <c r="BR560" t="n">
        <v>4</v>
      </c>
      <c r="BS560" t="n">
        <v>39</v>
      </c>
      <c r="BT560" t="n">
        <v>3.131</v>
      </c>
      <c r="BX560" t="n">
        <v>0.896</v>
      </c>
      <c r="BY560" t="n">
        <v>0.896</v>
      </c>
      <c r="BZ560" t="n">
        <v>0.07199999999999999</v>
      </c>
      <c r="CA560" t="n">
        <v>4.189</v>
      </c>
      <c r="CB560" t="n">
        <v>0.336</v>
      </c>
      <c r="CC560" t="n">
        <v>11</v>
      </c>
      <c r="CD560" t="n">
        <v>0</v>
      </c>
      <c r="CE560" t="n">
        <v>11</v>
      </c>
      <c r="CF560" t="n">
        <v>9</v>
      </c>
      <c r="CH560" t="n">
        <v>16</v>
      </c>
      <c r="CI560" t="n">
        <v>4.878</v>
      </c>
      <c r="CJ560" t="n">
        <v>1.345</v>
      </c>
      <c r="CN560" t="n">
        <v>27</v>
      </c>
      <c r="CO560" t="n">
        <v>8</v>
      </c>
      <c r="CP560" t="n">
        <v>15</v>
      </c>
      <c r="CQ560" t="n">
        <v>2</v>
      </c>
      <c r="CR560" t="n">
        <v>70</v>
      </c>
      <c r="CS560" t="n">
        <v>10</v>
      </c>
      <c r="CT560" t="n">
        <v>0.6</v>
      </c>
      <c r="DE560" t="n">
        <v>6.48</v>
      </c>
      <c r="DH560" t="n">
        <v>25</v>
      </c>
      <c r="DI560" t="n">
        <v>9</v>
      </c>
      <c r="DL560" t="n">
        <v>8</v>
      </c>
      <c r="DM560" t="n">
        <v>26</v>
      </c>
      <c r="DN560" t="n">
        <v>3</v>
      </c>
      <c r="EF560" t="n">
        <v>70.09999999999999</v>
      </c>
      <c r="EG560" t="n">
        <v>28.7</v>
      </c>
      <c r="EH560" t="n">
        <v>101.9</v>
      </c>
      <c r="EI560" t="n">
        <v>340.4</v>
      </c>
      <c r="EJ560" t="n">
        <v>1250.8</v>
      </c>
      <c r="EK560" t="n">
        <v>267.6</v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n">
        <v>5</v>
      </c>
      <c r="F561" t="b">
        <v>1</v>
      </c>
      <c r="G561" t="b">
        <v>0</v>
      </c>
      <c r="H561" t="n">
        <v>27.6</v>
      </c>
      <c r="I561" t="inlineStr">
        <is>
          <t>a</t>
        </is>
      </c>
      <c r="M561" t="n">
        <v>194</v>
      </c>
      <c r="N561" t="n">
        <v>4</v>
      </c>
      <c r="DO561" t="n">
        <v>0.8</v>
      </c>
      <c r="DP561" t="n">
        <v>61.27</v>
      </c>
      <c r="DQ561" t="n">
        <v>31.48</v>
      </c>
      <c r="DR561" t="n">
        <v>62.96</v>
      </c>
      <c r="DS561" t="n">
        <v>-1.69</v>
      </c>
      <c r="DT561" t="n">
        <v>1282</v>
      </c>
      <c r="DU561" t="n">
        <v>33.75</v>
      </c>
      <c r="DV561" t="inlineStr">
        <is>
          <t>flat</t>
        </is>
      </c>
      <c r="DW561" t="n">
        <v>104.47</v>
      </c>
      <c r="DY561" t="n">
        <v>8.41</v>
      </c>
      <c r="DZ561" t="n">
        <v>86.5</v>
      </c>
      <c r="EA561" t="n">
        <v>118.67</v>
      </c>
      <c r="EB561" t="n">
        <v>15</v>
      </c>
      <c r="EC561" t="n">
        <v>7.2</v>
      </c>
      <c r="ED561" t="n">
        <v>0</v>
      </c>
      <c r="EE561" t="n">
        <v>344</v>
      </c>
    </row>
    <row r="562">
      <c r="A562" t="inlineStr">
        <is>
          <t>Jean-Ricner Bellegarde</t>
        </is>
      </c>
      <c r="D562" t="inlineStr">
        <is>
          <t>MID</t>
        </is>
      </c>
      <c r="F562" t="b">
        <v>0</v>
      </c>
      <c r="G562" t="b">
        <v>1</v>
      </c>
      <c r="L562" t="inlineStr">
        <is>
          <t>p231057</t>
        </is>
      </c>
      <c r="Q562" t="n">
        <v>1251</v>
      </c>
      <c r="R562" t="n">
        <v>26</v>
      </c>
      <c r="T562" t="n">
        <v>13.9</v>
      </c>
      <c r="U562" t="n">
        <v>48.1</v>
      </c>
      <c r="Z562" t="n">
        <v>1</v>
      </c>
      <c r="AD562" t="n">
        <v>0</v>
      </c>
      <c r="AE562" t="n">
        <v>0</v>
      </c>
      <c r="AG562" t="n">
        <v>203</v>
      </c>
      <c r="AH562" t="n">
        <v>-5</v>
      </c>
      <c r="AI562" t="n">
        <v>44</v>
      </c>
      <c r="AN562" t="n">
        <v>0</v>
      </c>
      <c r="AO562" t="n">
        <v>0</v>
      </c>
      <c r="AP562" t="n">
        <v>0</v>
      </c>
      <c r="AQ562" t="n">
        <v>0</v>
      </c>
      <c r="AR562" t="n">
        <v>0</v>
      </c>
      <c r="AS562" t="n">
        <v>0.395</v>
      </c>
      <c r="AT562" t="n">
        <v>0.462</v>
      </c>
      <c r="AU562" t="n">
        <v>22</v>
      </c>
      <c r="AV562" t="n">
        <v>0</v>
      </c>
      <c r="AW562" t="n">
        <v>1.35</v>
      </c>
      <c r="AX562" t="n">
        <v>6</v>
      </c>
      <c r="AZ562" t="n">
        <v>0.87</v>
      </c>
      <c r="BA562" t="n">
        <v>0.87</v>
      </c>
      <c r="BB562" t="n">
        <v>0.87</v>
      </c>
      <c r="BD562" t="n">
        <v>0.063</v>
      </c>
      <c r="BE562" t="n">
        <v>0.063</v>
      </c>
      <c r="BF562" t="n">
        <v>1.8</v>
      </c>
      <c r="BG562" t="n">
        <v>0.129</v>
      </c>
      <c r="BH562" t="n">
        <v>1.013</v>
      </c>
      <c r="BI562" t="n">
        <v>3.85</v>
      </c>
      <c r="BJ562" t="n">
        <v>1.053</v>
      </c>
      <c r="BK562" t="n">
        <v>0.076</v>
      </c>
      <c r="BP562" t="n">
        <v>21</v>
      </c>
      <c r="BQ562" t="n">
        <v>7</v>
      </c>
      <c r="BS562" t="n">
        <v>25</v>
      </c>
      <c r="BT562" t="n">
        <v>1.799</v>
      </c>
      <c r="BX562" t="n">
        <v>1.217</v>
      </c>
      <c r="BY562" t="n">
        <v>1.217</v>
      </c>
      <c r="BZ562" t="n">
        <v>0.08799999999999999</v>
      </c>
      <c r="CA562" t="n">
        <v>2.086</v>
      </c>
      <c r="CB562" t="n">
        <v>0.15</v>
      </c>
      <c r="CC562" t="n">
        <v>13</v>
      </c>
      <c r="CD562" t="n">
        <v>2</v>
      </c>
      <c r="CE562" t="n">
        <v>13</v>
      </c>
      <c r="CF562" t="n">
        <v>5</v>
      </c>
      <c r="CG562" t="n">
        <v>2</v>
      </c>
      <c r="CH562" t="n">
        <v>5</v>
      </c>
      <c r="CI562" t="n">
        <v>5.201</v>
      </c>
      <c r="CJ562" t="n">
        <v>3.501</v>
      </c>
      <c r="CN562" t="n">
        <v>15</v>
      </c>
      <c r="CO562" t="n">
        <v>10</v>
      </c>
      <c r="CP562" t="n">
        <v>20</v>
      </c>
      <c r="CQ562" t="n">
        <v>3</v>
      </c>
      <c r="CR562" t="n">
        <v>95</v>
      </c>
      <c r="CS562" t="n">
        <v>9</v>
      </c>
      <c r="CT562" t="n">
        <v>0.4</v>
      </c>
      <c r="CU562" t="n">
        <v>3</v>
      </c>
      <c r="DE562" t="n">
        <v>6.4</v>
      </c>
      <c r="DH562" t="n">
        <v>20</v>
      </c>
      <c r="DI562" t="n">
        <v>41</v>
      </c>
      <c r="DL562" t="n">
        <v>18</v>
      </c>
      <c r="DM562" t="n">
        <v>20</v>
      </c>
      <c r="EF562" t="n">
        <v>59.6</v>
      </c>
      <c r="EG562" t="n">
        <v>50</v>
      </c>
      <c r="EH562" t="n">
        <v>96.2</v>
      </c>
      <c r="EI562" t="n">
        <v>1438.3</v>
      </c>
      <c r="EJ562" t="n">
        <v>1028.3</v>
      </c>
      <c r="EK562" t="n">
        <v>599.6</v>
      </c>
    </row>
    <row r="563">
      <c r="A563" t="inlineStr">
        <is>
          <t>Santiago Bueno</t>
        </is>
      </c>
      <c r="D563" t="inlineStr">
        <is>
          <t>DEF</t>
        </is>
      </c>
      <c r="F563" t="b">
        <v>0</v>
      </c>
      <c r="G563" t="b">
        <v>1</v>
      </c>
      <c r="L563" t="inlineStr">
        <is>
          <t>p231480</t>
        </is>
      </c>
      <c r="Q563" t="n">
        <v>2553</v>
      </c>
      <c r="R563" t="n">
        <v>29</v>
      </c>
      <c r="T563" t="n">
        <v>28.367</v>
      </c>
      <c r="U563" t="n">
        <v>88</v>
      </c>
      <c r="Z563" t="n">
        <v>1</v>
      </c>
      <c r="AD563" t="n">
        <v>4</v>
      </c>
      <c r="AE563" t="n">
        <v>0</v>
      </c>
      <c r="AG563" t="n">
        <v>276</v>
      </c>
      <c r="AH563" t="n">
        <v>-34</v>
      </c>
      <c r="AI563" t="n">
        <v>92</v>
      </c>
      <c r="AN563" t="n">
        <v>5</v>
      </c>
      <c r="AO563" t="n">
        <v>10</v>
      </c>
      <c r="AP563" t="n">
        <v>0.179</v>
      </c>
      <c r="AQ563" t="n">
        <v>0.179</v>
      </c>
      <c r="AR563" t="n">
        <v>0.07099999999999999</v>
      </c>
      <c r="AS563" t="n">
        <v>0.737</v>
      </c>
      <c r="AT563" t="n">
        <v>0.966</v>
      </c>
      <c r="AU563" t="n">
        <v>17</v>
      </c>
      <c r="AV563" t="n">
        <v>2</v>
      </c>
      <c r="AW563" t="n">
        <v>2.86</v>
      </c>
      <c r="AX563" t="n">
        <v>12</v>
      </c>
      <c r="AZ563" t="n">
        <v>1.995</v>
      </c>
      <c r="BA563" t="n">
        <v>1.995</v>
      </c>
      <c r="BB563" t="n">
        <v>1.995</v>
      </c>
      <c r="BD563" t="n">
        <v>0.07000000000000001</v>
      </c>
      <c r="BE563" t="n">
        <v>0.07000000000000001</v>
      </c>
      <c r="BF563" t="n">
        <v>3.1</v>
      </c>
      <c r="BG563" t="n">
        <v>0.109</v>
      </c>
      <c r="BH563" t="n">
        <v>1.09</v>
      </c>
      <c r="BI563" t="n">
        <v>2.73</v>
      </c>
      <c r="BJ563" t="n">
        <v>2.486</v>
      </c>
      <c r="BK563" t="n">
        <v>0.08799999999999999</v>
      </c>
      <c r="BP563" t="n">
        <v>10</v>
      </c>
      <c r="BQ563" t="n">
        <v>7</v>
      </c>
      <c r="BR563" t="n">
        <v>1</v>
      </c>
      <c r="BS563" t="n">
        <v>41</v>
      </c>
      <c r="BT563" t="n">
        <v>1.445</v>
      </c>
      <c r="BV563" t="n">
        <v>1</v>
      </c>
      <c r="BX563" t="n">
        <v>0.902</v>
      </c>
      <c r="BY563" t="n">
        <v>0.902</v>
      </c>
      <c r="BZ563" t="n">
        <v>0.032</v>
      </c>
      <c r="CA563" t="n">
        <v>2.898</v>
      </c>
      <c r="CB563" t="n">
        <v>0.102</v>
      </c>
      <c r="CC563" t="n">
        <v>10</v>
      </c>
      <c r="CD563" t="n">
        <v>1</v>
      </c>
      <c r="CE563" t="n">
        <v>10</v>
      </c>
      <c r="CF563" t="n">
        <v>2</v>
      </c>
      <c r="CI563" t="n">
        <v>4.35</v>
      </c>
      <c r="CJ563" t="n">
        <v>3.939</v>
      </c>
      <c r="CN563" t="n">
        <v>28</v>
      </c>
      <c r="CO563" t="n">
        <v>27</v>
      </c>
      <c r="CP563" t="n">
        <v>116</v>
      </c>
      <c r="CQ563" t="n">
        <v>21</v>
      </c>
      <c r="CR563" t="n">
        <v>109</v>
      </c>
      <c r="CS563" t="n">
        <v>48</v>
      </c>
      <c r="CV563" t="n">
        <v>1</v>
      </c>
      <c r="DE563" t="n">
        <v>6.63</v>
      </c>
      <c r="DH563" t="n">
        <v>30</v>
      </c>
      <c r="DI563" t="n">
        <v>11</v>
      </c>
      <c r="DJ563" t="n">
        <v>1</v>
      </c>
      <c r="DM563" t="n">
        <v>5</v>
      </c>
      <c r="DN563" t="n">
        <v>2</v>
      </c>
      <c r="EF563" t="n">
        <v>255.3</v>
      </c>
      <c r="EG563" t="n">
        <v>62.3</v>
      </c>
      <c r="EH563" t="n">
        <v>255.3</v>
      </c>
      <c r="EI563" t="n">
        <v>1279.5</v>
      </c>
      <c r="EJ563" t="n">
        <v>2829</v>
      </c>
      <c r="EK563" t="n">
        <v>881</v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n">
        <v>4.5</v>
      </c>
      <c r="F564" t="b">
        <v>1</v>
      </c>
      <c r="G564" t="b">
        <v>0</v>
      </c>
      <c r="H564" t="n">
        <v>28.2</v>
      </c>
      <c r="I564" t="inlineStr">
        <is>
          <t>i</t>
        </is>
      </c>
      <c r="J564" t="inlineStr">
        <is>
          <t>Knee injury - Unknown return date</t>
        </is>
      </c>
      <c r="K564" t="n">
        <v>0</v>
      </c>
      <c r="M564" t="n">
        <v>312</v>
      </c>
      <c r="DO564" t="n">
        <v>0.1</v>
      </c>
      <c r="DP564" t="n">
        <v>45.98</v>
      </c>
      <c r="DQ564" t="n">
        <v>22.62</v>
      </c>
      <c r="DR564" t="n">
        <v>45.24</v>
      </c>
      <c r="DS564" t="n">
        <v>0.74</v>
      </c>
      <c r="DT564" t="n">
        <v>1317</v>
      </c>
      <c r="DU564" t="n">
        <v>34.65</v>
      </c>
      <c r="DV564" t="inlineStr">
        <is>
          <t>flat</t>
        </is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n">
        <v>4</v>
      </c>
      <c r="F565" t="b">
        <v>1</v>
      </c>
      <c r="G565" t="b">
        <v>0</v>
      </c>
      <c r="H565" t="n">
        <v>26.6</v>
      </c>
      <c r="I565" t="inlineStr">
        <is>
          <t>a</t>
        </is>
      </c>
      <c r="M565" t="n">
        <v>282</v>
      </c>
      <c r="O565" t="n">
        <v>1</v>
      </c>
      <c r="P565" t="n">
        <v>1</v>
      </c>
      <c r="DO565" t="n">
        <v>0.8</v>
      </c>
      <c r="DP565" t="n">
        <v>86.13</v>
      </c>
      <c r="DQ565" t="n">
        <v>43.07</v>
      </c>
      <c r="DR565" t="n">
        <v>86.14</v>
      </c>
      <c r="DS565" t="n">
        <v>-0.01</v>
      </c>
      <c r="DT565" t="n">
        <v>2787</v>
      </c>
      <c r="DU565" t="n">
        <v>73.34999999999999</v>
      </c>
      <c r="DV565" t="inlineStr">
        <is>
          <t>flat</t>
        </is>
      </c>
      <c r="DW565" t="n">
        <v>94.5</v>
      </c>
      <c r="DX565" t="n">
        <v>94.5</v>
      </c>
      <c r="DY565" t="n">
        <v>14.85</v>
      </c>
      <c r="DZ565" t="n">
        <v>84</v>
      </c>
      <c r="EA565" t="n">
        <v>105</v>
      </c>
      <c r="EB565" t="n">
        <v>2</v>
      </c>
      <c r="EC565" t="n">
        <v>1</v>
      </c>
      <c r="ED565" t="n">
        <v>0</v>
      </c>
      <c r="EE565" t="n">
        <v>559</v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n">
        <v>5</v>
      </c>
      <c r="F566" t="b">
        <v>1</v>
      </c>
      <c r="G566" t="b">
        <v>0</v>
      </c>
      <c r="H566" t="n">
        <v>25.6</v>
      </c>
      <c r="I566" t="inlineStr">
        <is>
          <t>a</t>
        </is>
      </c>
      <c r="M566" t="n">
        <v>324</v>
      </c>
      <c r="DO566" t="n">
        <v>0.1</v>
      </c>
      <c r="DP566" t="n">
        <v>55.83</v>
      </c>
      <c r="DQ566" t="n">
        <v>27.99</v>
      </c>
      <c r="DR566" t="n">
        <v>55.98</v>
      </c>
      <c r="DS566" t="n">
        <v>-0.15</v>
      </c>
      <c r="DT566" t="n">
        <v>1146</v>
      </c>
      <c r="DU566" t="n">
        <v>30.16</v>
      </c>
      <c r="DV566" t="inlineStr">
        <is>
          <t>flat</t>
        </is>
      </c>
    </row>
    <row r="567">
      <c r="A567" t="inlineStr">
        <is>
          <t>Anthony Gordon</t>
        </is>
      </c>
      <c r="D567" t="inlineStr">
        <is>
          <t>MID</t>
        </is>
      </c>
      <c r="F567" t="b">
        <v>0</v>
      </c>
      <c r="G567" t="b">
        <v>1</v>
      </c>
      <c r="L567" t="inlineStr">
        <is>
          <t>p232826</t>
        </is>
      </c>
      <c r="Q567" t="n">
        <v>1814</v>
      </c>
      <c r="R567" t="n">
        <v>26</v>
      </c>
      <c r="T567" t="n">
        <v>20.156</v>
      </c>
      <c r="U567" t="n">
        <v>69.8</v>
      </c>
      <c r="Z567" t="n">
        <v>2</v>
      </c>
      <c r="AD567" t="n">
        <v>9</v>
      </c>
      <c r="AE567" t="n">
        <v>-1</v>
      </c>
      <c r="AG567" t="n">
        <v>349</v>
      </c>
      <c r="AH567" t="n">
        <v>-3</v>
      </c>
      <c r="AI567" t="n">
        <v>100</v>
      </c>
      <c r="AN567" t="n">
        <v>0</v>
      </c>
      <c r="AO567" t="n">
        <v>0</v>
      </c>
      <c r="AP567" t="n">
        <v>0</v>
      </c>
      <c r="AQ567" t="n">
        <v>0</v>
      </c>
      <c r="AR567" t="n">
        <v>0</v>
      </c>
      <c r="AS567" t="n">
        <v>0.632</v>
      </c>
      <c r="AT567" t="n">
        <v>0.8080000000000001</v>
      </c>
      <c r="AU567" t="n">
        <v>12</v>
      </c>
      <c r="AV567" t="n">
        <v>4</v>
      </c>
      <c r="AW567" t="n">
        <v>3.31</v>
      </c>
      <c r="AX567" t="n">
        <v>11</v>
      </c>
      <c r="AZ567" t="n">
        <v>8.756</v>
      </c>
      <c r="BA567" t="n">
        <v>8.756</v>
      </c>
      <c r="BB567" t="n">
        <v>6.473</v>
      </c>
      <c r="BD567" t="n">
        <v>0.434</v>
      </c>
      <c r="BE567" t="n">
        <v>0.434</v>
      </c>
      <c r="BF567" t="n">
        <v>6.2</v>
      </c>
      <c r="BG567" t="n">
        <v>0.308</v>
      </c>
      <c r="BH567" t="n">
        <v>0.909</v>
      </c>
      <c r="BI567" t="n">
        <v>31.72</v>
      </c>
      <c r="BJ567" t="n">
        <v>7.971</v>
      </c>
      <c r="BK567" t="n">
        <v>0.395</v>
      </c>
      <c r="BP567" t="n">
        <v>48</v>
      </c>
      <c r="BQ567" t="n">
        <v>20</v>
      </c>
      <c r="BR567" t="n">
        <v>9</v>
      </c>
      <c r="BS567" t="n">
        <v>84</v>
      </c>
      <c r="BT567" t="n">
        <v>4.168</v>
      </c>
      <c r="BU567" t="n">
        <v>3</v>
      </c>
      <c r="BX567" t="n">
        <v>3.715</v>
      </c>
      <c r="BY567" t="n">
        <v>3.715</v>
      </c>
      <c r="BZ567" t="n">
        <v>0.184</v>
      </c>
      <c r="CA567" t="n">
        <v>12.471</v>
      </c>
      <c r="CB567" t="n">
        <v>0.619</v>
      </c>
      <c r="CC567" t="n">
        <v>26</v>
      </c>
      <c r="CD567" t="n">
        <v>5</v>
      </c>
      <c r="CE567" t="n">
        <v>26</v>
      </c>
      <c r="CF567" t="n">
        <v>15</v>
      </c>
      <c r="CG567" t="n">
        <v>2</v>
      </c>
      <c r="CH567" t="n">
        <v>4</v>
      </c>
      <c r="CI567" t="n">
        <v>10.977</v>
      </c>
      <c r="CJ567" t="n">
        <v>4.043</v>
      </c>
      <c r="CN567" t="n">
        <v>13</v>
      </c>
      <c r="CO567" t="n">
        <v>3</v>
      </c>
      <c r="CP567" t="n">
        <v>13</v>
      </c>
      <c r="CR567" t="n">
        <v>100</v>
      </c>
      <c r="CS567" t="n">
        <v>8</v>
      </c>
      <c r="CT567" t="n">
        <v>0.5</v>
      </c>
      <c r="CU567" t="n">
        <v>1</v>
      </c>
      <c r="CV567" t="n">
        <v>1</v>
      </c>
      <c r="DE567" t="n">
        <v>6.96</v>
      </c>
      <c r="DH567" t="n">
        <v>13</v>
      </c>
      <c r="DI567" t="n">
        <v>40</v>
      </c>
      <c r="DJ567" t="n">
        <v>1</v>
      </c>
      <c r="DL567" t="n">
        <v>33</v>
      </c>
      <c r="DM567" t="n">
        <v>26</v>
      </c>
      <c r="DN567" t="n">
        <v>5</v>
      </c>
      <c r="EF567" t="n">
        <v>37.8</v>
      </c>
      <c r="EG567" t="n">
        <v>21.6</v>
      </c>
      <c r="EH567" t="n">
        <v>69.8</v>
      </c>
      <c r="EI567" t="n">
        <v>207.2</v>
      </c>
      <c r="EJ567" t="n">
        <v>488.3</v>
      </c>
      <c r="EK567" t="n">
        <v>145.5</v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n">
        <v>5</v>
      </c>
      <c r="F568" t="b">
        <v>1</v>
      </c>
      <c r="G568" t="b">
        <v>0</v>
      </c>
      <c r="H568" t="n">
        <v>26.9</v>
      </c>
      <c r="I568" t="inlineStr">
        <is>
          <t>a</t>
        </is>
      </c>
      <c r="M568" t="n">
        <v>287</v>
      </c>
      <c r="DO568" t="n">
        <v>0.1</v>
      </c>
      <c r="DP568" t="n">
        <v>83.93000000000001</v>
      </c>
      <c r="DQ568" t="n">
        <v>42.09</v>
      </c>
      <c r="DR568" t="n">
        <v>84.18000000000001</v>
      </c>
      <c r="DS568" t="n">
        <v>-0.25</v>
      </c>
      <c r="DT568" t="n">
        <v>1978</v>
      </c>
      <c r="DU568" t="n">
        <v>52.05</v>
      </c>
      <c r="DV568" t="inlineStr">
        <is>
          <t>flat</t>
        </is>
      </c>
    </row>
    <row r="569">
      <c r="A569" t="inlineStr">
        <is>
          <t>Konstantinos Mavropanos</t>
        </is>
      </c>
      <c r="D569" t="inlineStr">
        <is>
          <t>DEF</t>
        </is>
      </c>
      <c r="F569" t="b">
        <v>0</v>
      </c>
      <c r="G569" t="b">
        <v>1</v>
      </c>
      <c r="L569" t="inlineStr">
        <is>
          <t>p233963</t>
        </is>
      </c>
      <c r="Q569" t="n">
        <v>2528</v>
      </c>
      <c r="R569" t="n">
        <v>31</v>
      </c>
      <c r="T569" t="n">
        <v>28.089</v>
      </c>
      <c r="U569" t="n">
        <v>81.5</v>
      </c>
      <c r="AD569" t="n">
        <v>5</v>
      </c>
      <c r="AE569" t="n">
        <v>0</v>
      </c>
      <c r="AG569" t="n">
        <v>336</v>
      </c>
      <c r="AH569" t="n">
        <v>-50</v>
      </c>
      <c r="AI569" t="n">
        <v>122</v>
      </c>
      <c r="AN569" t="n">
        <v>18</v>
      </c>
      <c r="AO569" t="n">
        <v>36</v>
      </c>
      <c r="AP569" t="n">
        <v>0.667</v>
      </c>
      <c r="AQ569" t="n">
        <v>0.667</v>
      </c>
      <c r="AR569" t="n">
        <v>0.407</v>
      </c>
      <c r="AS569" t="n">
        <v>0.711</v>
      </c>
      <c r="AT569" t="n">
        <v>0.871</v>
      </c>
      <c r="AU569" t="n">
        <v>12</v>
      </c>
      <c r="AV569" t="n">
        <v>2</v>
      </c>
      <c r="AW569" t="n">
        <v>4.01</v>
      </c>
      <c r="AX569" t="n">
        <v>21</v>
      </c>
      <c r="AZ569" t="n">
        <v>2.791</v>
      </c>
      <c r="BA569" t="n">
        <v>2.791</v>
      </c>
      <c r="BB569" t="n">
        <v>2.791</v>
      </c>
      <c r="BD569" t="n">
        <v>0.099</v>
      </c>
      <c r="BE569" t="n">
        <v>0.099</v>
      </c>
      <c r="BF569" t="n">
        <v>4.3</v>
      </c>
      <c r="BG569" t="n">
        <v>0.153</v>
      </c>
      <c r="BH569" t="n">
        <v>1.032</v>
      </c>
      <c r="BI569" t="n">
        <v>5.27</v>
      </c>
      <c r="BJ569" t="n">
        <v>2.55</v>
      </c>
      <c r="BK569" t="n">
        <v>0.091</v>
      </c>
      <c r="BP569" t="n">
        <v>23</v>
      </c>
      <c r="BQ569" t="n">
        <v>8</v>
      </c>
      <c r="BR569" t="n">
        <v>3</v>
      </c>
      <c r="BS569" t="n">
        <v>40</v>
      </c>
      <c r="BT569" t="n">
        <v>1.424</v>
      </c>
      <c r="BV569" t="n">
        <v>2</v>
      </c>
      <c r="BX569" t="n">
        <v>0.49</v>
      </c>
      <c r="BY569" t="n">
        <v>0.49</v>
      </c>
      <c r="BZ569" t="n">
        <v>0.017</v>
      </c>
      <c r="CA569" t="n">
        <v>3.281</v>
      </c>
      <c r="CB569" t="n">
        <v>0.117</v>
      </c>
      <c r="CC569" t="n">
        <v>4</v>
      </c>
      <c r="CD569" t="n">
        <v>0</v>
      </c>
      <c r="CE569" t="n">
        <v>4</v>
      </c>
      <c r="CF569" t="n">
        <v>1</v>
      </c>
      <c r="CI569" t="n">
        <v>4.458</v>
      </c>
      <c r="CJ569" t="n">
        <v>4.094</v>
      </c>
      <c r="CN569" t="n">
        <v>25</v>
      </c>
      <c r="CO569" t="n">
        <v>49</v>
      </c>
      <c r="CP569" t="n">
        <v>194</v>
      </c>
      <c r="CQ569" t="n">
        <v>30</v>
      </c>
      <c r="CR569" t="n">
        <v>134</v>
      </c>
      <c r="CS569" t="n">
        <v>84</v>
      </c>
      <c r="CT569" t="n">
        <v>0.1</v>
      </c>
      <c r="CV569" t="n">
        <v>2</v>
      </c>
      <c r="DE569" t="n">
        <v>6.92</v>
      </c>
      <c r="DH569" t="n">
        <v>16</v>
      </c>
      <c r="DI569" t="n">
        <v>9</v>
      </c>
      <c r="DK569" t="n">
        <v>0</v>
      </c>
      <c r="DL569" t="n">
        <v>2</v>
      </c>
      <c r="DM569" t="n">
        <v>2</v>
      </c>
      <c r="DN569" t="n">
        <v>2</v>
      </c>
      <c r="EF569" t="n">
        <v>109.9</v>
      </c>
      <c r="EG569" t="n">
        <v>63.2</v>
      </c>
      <c r="EH569" t="n">
        <v>632</v>
      </c>
      <c r="EI569" t="n">
        <v>905.7</v>
      </c>
      <c r="EJ569" t="n">
        <v>5163.6</v>
      </c>
      <c r="EK569" t="n">
        <v>770.6</v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n">
        <v>5</v>
      </c>
      <c r="F570" t="b">
        <v>1</v>
      </c>
      <c r="G570" t="b">
        <v>0</v>
      </c>
      <c r="H570" t="n">
        <v>28.3</v>
      </c>
      <c r="I570" t="inlineStr">
        <is>
          <t>i</t>
        </is>
      </c>
      <c r="J570" t="inlineStr">
        <is>
          <t>Muscular injury - Unknown return date</t>
        </is>
      </c>
      <c r="K570" t="n">
        <v>0</v>
      </c>
      <c r="M570" t="n">
        <v>310</v>
      </c>
      <c r="DO570" t="n">
        <v>0</v>
      </c>
      <c r="DP570" t="n">
        <v>38.47</v>
      </c>
      <c r="DQ570" t="n">
        <v>18.92</v>
      </c>
      <c r="DR570" t="n">
        <v>37.84</v>
      </c>
      <c r="DS570" t="n">
        <v>0.63</v>
      </c>
      <c r="DT570" t="n">
        <v>800</v>
      </c>
      <c r="DU570" t="n">
        <v>21.04</v>
      </c>
      <c r="DV570" t="inlineStr">
        <is>
          <t>flat</t>
        </is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n">
        <v>5.5</v>
      </c>
      <c r="F571" t="b">
        <v>1</v>
      </c>
      <c r="G571" t="b">
        <v>0</v>
      </c>
      <c r="H571" t="n">
        <v>27</v>
      </c>
      <c r="I571" t="inlineStr">
        <is>
          <t>a</t>
        </is>
      </c>
      <c r="M571" t="n">
        <v>186</v>
      </c>
      <c r="DO571" t="n">
        <v>0.3</v>
      </c>
      <c r="DP571" t="n">
        <v>111.08</v>
      </c>
      <c r="DQ571" t="n">
        <v>55.5</v>
      </c>
      <c r="DR571" t="n">
        <v>111</v>
      </c>
      <c r="DS571" t="n">
        <v>0.08</v>
      </c>
      <c r="DT571" t="n">
        <v>2440</v>
      </c>
      <c r="DU571" t="n">
        <v>64.2</v>
      </c>
      <c r="DV571" t="inlineStr">
        <is>
          <t>flat</t>
        </is>
      </c>
      <c r="DW571" t="n">
        <v>90.31</v>
      </c>
      <c r="DY571" t="n">
        <v>7.86</v>
      </c>
      <c r="DZ571" t="n">
        <v>81.5</v>
      </c>
      <c r="EA571" t="n">
        <v>96.62</v>
      </c>
      <c r="EB571" t="n">
        <v>3</v>
      </c>
      <c r="EC571" t="n">
        <v>1.4</v>
      </c>
      <c r="ED571" t="n">
        <v>0</v>
      </c>
      <c r="EE571" t="n">
        <v>204</v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n">
        <v>4.5</v>
      </c>
      <c r="F572" t="b">
        <v>1</v>
      </c>
      <c r="G572" t="b">
        <v>0</v>
      </c>
      <c r="H572" t="n">
        <v>27.3</v>
      </c>
      <c r="I572" t="inlineStr">
        <is>
          <t>a</t>
        </is>
      </c>
      <c r="M572" t="n">
        <v>207</v>
      </c>
      <c r="DO572" t="n">
        <v>0.1</v>
      </c>
      <c r="DP572" t="n">
        <v>46.72</v>
      </c>
      <c r="DQ572" t="n">
        <v>23.36</v>
      </c>
      <c r="DR572" t="n">
        <v>46.72</v>
      </c>
      <c r="DS572" t="n">
        <v>0</v>
      </c>
      <c r="DT572" t="n">
        <v>1197</v>
      </c>
      <c r="DU572" t="n">
        <v>31.5</v>
      </c>
      <c r="DV572" t="inlineStr">
        <is>
          <t>flat</t>
        </is>
      </c>
      <c r="DW572" t="n">
        <v>96.76000000000001</v>
      </c>
      <c r="DX572" t="n">
        <v>89</v>
      </c>
      <c r="DY572" t="n">
        <v>9.32</v>
      </c>
      <c r="DZ572" t="n">
        <v>88.56999999999999</v>
      </c>
      <c r="EA572" t="n">
        <v>106.46</v>
      </c>
      <c r="EB572" t="n">
        <v>4</v>
      </c>
      <c r="EC572" t="n">
        <v>1.9</v>
      </c>
      <c r="ED572" t="n">
        <v>0</v>
      </c>
      <c r="EE572" t="n">
        <v>487</v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n">
        <v>4.5</v>
      </c>
      <c r="F573" t="b">
        <v>1</v>
      </c>
      <c r="G573" t="b">
        <v>0</v>
      </c>
      <c r="H573" t="n">
        <v>26.9</v>
      </c>
      <c r="I573" t="inlineStr">
        <is>
          <t>a</t>
        </is>
      </c>
      <c r="M573" t="n">
        <v>290</v>
      </c>
      <c r="O573" t="n">
        <v>2</v>
      </c>
      <c r="DO573" t="n">
        <v>2.2</v>
      </c>
      <c r="DP573" t="n">
        <v>98.5</v>
      </c>
      <c r="DQ573" t="n">
        <v>49.61</v>
      </c>
      <c r="DR573" t="n">
        <v>99.22</v>
      </c>
      <c r="DS573" t="n">
        <v>-0.72</v>
      </c>
      <c r="DT573" t="n">
        <v>2770</v>
      </c>
      <c r="DU573" t="n">
        <v>72.90000000000001</v>
      </c>
      <c r="DV573" t="inlineStr">
        <is>
          <t>flat</t>
        </is>
      </c>
      <c r="DW573" t="n">
        <v>87</v>
      </c>
      <c r="DX573" t="n">
        <v>87</v>
      </c>
      <c r="DZ573" t="n">
        <v>87</v>
      </c>
      <c r="EA573" t="n">
        <v>87</v>
      </c>
      <c r="EB573" t="n">
        <v>1</v>
      </c>
      <c r="EC573" t="n">
        <v>0.5</v>
      </c>
      <c r="ED573" t="n">
        <v>0</v>
      </c>
      <c r="EE573" t="n">
        <v>492</v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n">
        <v>5.5</v>
      </c>
      <c r="F574" t="b">
        <v>1</v>
      </c>
      <c r="G574" t="b">
        <v>0</v>
      </c>
      <c r="H574" t="n">
        <v>24.2</v>
      </c>
      <c r="I574" t="inlineStr">
        <is>
          <t>a</t>
        </is>
      </c>
      <c r="M574" t="n">
        <v>247</v>
      </c>
      <c r="DO574" t="n">
        <v>0.3</v>
      </c>
      <c r="DP574" t="n">
        <v>53.66</v>
      </c>
      <c r="DQ574" t="n">
        <v>28.25</v>
      </c>
      <c r="DR574" t="n">
        <v>56.5</v>
      </c>
      <c r="DS574" t="n">
        <v>-2.84</v>
      </c>
      <c r="DT574" t="n">
        <v>1053</v>
      </c>
      <c r="DU574" t="n">
        <v>27.7</v>
      </c>
      <c r="DV574" t="inlineStr">
        <is>
          <t>fade (losing his place)</t>
        </is>
      </c>
      <c r="DW574" t="n">
        <v>86.23999999999999</v>
      </c>
      <c r="DX574" t="n">
        <v>69</v>
      </c>
      <c r="DY574" t="n">
        <v>9.35</v>
      </c>
      <c r="DZ574" t="n">
        <v>69</v>
      </c>
      <c r="EA574" t="n">
        <v>97.70999999999999</v>
      </c>
      <c r="EB574" t="n">
        <v>7</v>
      </c>
      <c r="EC574" t="n">
        <v>3.4</v>
      </c>
      <c r="ED574" t="n">
        <v>12.5</v>
      </c>
      <c r="EE574" t="n">
        <v>208</v>
      </c>
    </row>
    <row r="575">
      <c r="A575" t="inlineStr">
        <is>
          <t>Valentín Castellanos</t>
        </is>
      </c>
      <c r="D575" t="inlineStr">
        <is>
          <t>FWD</t>
        </is>
      </c>
      <c r="F575" t="b">
        <v>0</v>
      </c>
      <c r="G575" t="b">
        <v>1</v>
      </c>
      <c r="L575" t="inlineStr">
        <is>
          <t>p247670</t>
        </is>
      </c>
      <c r="Q575" t="n">
        <v>1395</v>
      </c>
      <c r="R575" t="n">
        <v>18</v>
      </c>
      <c r="T575" t="n">
        <v>15.5</v>
      </c>
      <c r="U575" t="n">
        <v>77.5</v>
      </c>
      <c r="AD575" t="n">
        <v>5</v>
      </c>
      <c r="AE575" t="n">
        <v>0</v>
      </c>
      <c r="AG575" t="n">
        <v>237</v>
      </c>
      <c r="AH575" t="n">
        <v>-6</v>
      </c>
      <c r="AI575" t="n">
        <v>61</v>
      </c>
      <c r="AN575" t="n">
        <v>0</v>
      </c>
      <c r="AO575" t="n">
        <v>0</v>
      </c>
      <c r="AP575" t="n">
        <v>0</v>
      </c>
      <c r="AQ575" t="n">
        <v>0</v>
      </c>
      <c r="AR575" t="n">
        <v>0</v>
      </c>
      <c r="AS575" t="n">
        <v>0.447</v>
      </c>
      <c r="AT575" t="n">
        <v>0.944</v>
      </c>
      <c r="AU575" t="n">
        <v>12</v>
      </c>
      <c r="AV575" t="n">
        <v>1</v>
      </c>
      <c r="AW575" t="n">
        <v>2.95</v>
      </c>
      <c r="AX575" t="n">
        <v>11</v>
      </c>
      <c r="AZ575" t="n">
        <v>7.12</v>
      </c>
      <c r="BA575" t="n">
        <v>7.12</v>
      </c>
      <c r="BB575" t="n">
        <v>7.12</v>
      </c>
      <c r="BD575" t="n">
        <v>0.459</v>
      </c>
      <c r="BE575" t="n">
        <v>0.459</v>
      </c>
      <c r="BF575" t="n">
        <v>6.3</v>
      </c>
      <c r="BG575" t="n">
        <v>0.406</v>
      </c>
      <c r="BH575" t="n">
        <v>1.04</v>
      </c>
      <c r="BI575" t="n">
        <v>5.75</v>
      </c>
      <c r="BJ575" t="n">
        <v>5.98</v>
      </c>
      <c r="BK575" t="n">
        <v>0.386</v>
      </c>
      <c r="BP575" t="n">
        <v>50</v>
      </c>
      <c r="BQ575" t="n">
        <v>22</v>
      </c>
      <c r="BR575" t="n">
        <v>9</v>
      </c>
      <c r="BS575" t="n">
        <v>75</v>
      </c>
      <c r="BT575" t="n">
        <v>4.839</v>
      </c>
      <c r="BV575" t="n">
        <v>3</v>
      </c>
      <c r="BX575" t="n">
        <v>0.748</v>
      </c>
      <c r="BY575" t="n">
        <v>0.748</v>
      </c>
      <c r="BZ575" t="n">
        <v>0.048</v>
      </c>
      <c r="CA575" t="n">
        <v>7.867</v>
      </c>
      <c r="CB575" t="n">
        <v>0.508</v>
      </c>
      <c r="CC575" t="n">
        <v>12</v>
      </c>
      <c r="CD575" t="n">
        <v>1</v>
      </c>
      <c r="CE575" t="n">
        <v>12</v>
      </c>
      <c r="CF575" t="n">
        <v>2</v>
      </c>
      <c r="CG575" t="n">
        <v>1</v>
      </c>
      <c r="CI575" t="n">
        <v>6.779</v>
      </c>
      <c r="CJ575" t="n">
        <v>1.139</v>
      </c>
      <c r="CN575" t="n">
        <v>8</v>
      </c>
      <c r="CO575" t="n">
        <v>6</v>
      </c>
      <c r="CP575" t="n">
        <v>21</v>
      </c>
      <c r="CQ575" t="n">
        <v>2</v>
      </c>
      <c r="CR575" t="n">
        <v>56</v>
      </c>
      <c r="CS575" t="n">
        <v>27</v>
      </c>
      <c r="DH575" t="n">
        <v>32</v>
      </c>
      <c r="DI575" t="n">
        <v>16</v>
      </c>
      <c r="DK575" t="n">
        <v>0</v>
      </c>
      <c r="DL575" t="n">
        <v>2</v>
      </c>
      <c r="DM575" t="n">
        <v>11</v>
      </c>
      <c r="DN575" t="n">
        <v>9</v>
      </c>
      <c r="EF575" t="n">
        <v>27.9</v>
      </c>
      <c r="EG575" t="n">
        <v>18.6</v>
      </c>
      <c r="EH575" t="n">
        <v>116.2</v>
      </c>
      <c r="EI575" t="n">
        <v>195.9</v>
      </c>
      <c r="EJ575" t="n">
        <v>1866.2</v>
      </c>
      <c r="EK575" t="n">
        <v>177.3</v>
      </c>
    </row>
    <row r="576">
      <c r="A576" t="inlineStr">
        <is>
          <t>Randal Kolo Muani</t>
        </is>
      </c>
      <c r="D576" t="inlineStr">
        <is>
          <t>FWD</t>
        </is>
      </c>
      <c r="F576" t="b">
        <v>0</v>
      </c>
      <c r="G576" t="b">
        <v>1</v>
      </c>
      <c r="L576" t="inlineStr">
        <is>
          <t>p247693</t>
        </is>
      </c>
      <c r="Q576" t="n">
        <v>1670</v>
      </c>
      <c r="R576" t="n">
        <v>30</v>
      </c>
      <c r="T576" t="n">
        <v>18.556</v>
      </c>
      <c r="U576" t="n">
        <v>55.7</v>
      </c>
      <c r="Z576" t="n">
        <v>1</v>
      </c>
      <c r="AD576" t="n">
        <v>1</v>
      </c>
      <c r="AE576" t="n">
        <v>0</v>
      </c>
      <c r="AG576" t="n">
        <v>146</v>
      </c>
      <c r="AH576" t="n">
        <v>-4</v>
      </c>
      <c r="AI576" t="n">
        <v>52</v>
      </c>
      <c r="AN576" t="n">
        <v>0</v>
      </c>
      <c r="AO576" t="n">
        <v>0</v>
      </c>
      <c r="AP576" t="n">
        <v>0</v>
      </c>
      <c r="AQ576" t="n">
        <v>0</v>
      </c>
      <c r="AR576" t="n">
        <v>0</v>
      </c>
      <c r="AS576" t="n">
        <v>0.553</v>
      </c>
      <c r="AT576" t="n">
        <v>0.5669999999999999</v>
      </c>
      <c r="AU576" t="n">
        <v>28</v>
      </c>
      <c r="AV576" t="n">
        <v>0</v>
      </c>
      <c r="AW576" t="n">
        <v>1.27</v>
      </c>
      <c r="AX576" t="n">
        <v>7</v>
      </c>
      <c r="AZ576" t="n">
        <v>2.701</v>
      </c>
      <c r="BA576" t="n">
        <v>2.701</v>
      </c>
      <c r="BB576" t="n">
        <v>2.701</v>
      </c>
      <c r="BD576" t="n">
        <v>0.146</v>
      </c>
      <c r="BE576" t="n">
        <v>0.146</v>
      </c>
      <c r="BF576" t="n">
        <v>1.9</v>
      </c>
      <c r="BG576" t="n">
        <v>0.102</v>
      </c>
      <c r="BH576" t="n">
        <v>0.983</v>
      </c>
      <c r="BI576" t="n">
        <v>2.07</v>
      </c>
      <c r="BJ576" t="n">
        <v>2.035</v>
      </c>
      <c r="BK576" t="n">
        <v>0.11</v>
      </c>
      <c r="BP576" t="n">
        <v>20</v>
      </c>
      <c r="BQ576" t="n">
        <v>4</v>
      </c>
      <c r="BR576" t="n">
        <v>7</v>
      </c>
      <c r="BS576" t="n">
        <v>77</v>
      </c>
      <c r="BT576" t="n">
        <v>4.15</v>
      </c>
      <c r="BX576" t="n">
        <v>1.847</v>
      </c>
      <c r="BY576" t="n">
        <v>1.847</v>
      </c>
      <c r="BZ576" t="n">
        <v>0.1</v>
      </c>
      <c r="CA576" t="n">
        <v>4.548</v>
      </c>
      <c r="CB576" t="n">
        <v>0.245</v>
      </c>
      <c r="CC576" t="n">
        <v>19</v>
      </c>
      <c r="CD576" t="n">
        <v>2</v>
      </c>
      <c r="CE576" t="n">
        <v>19</v>
      </c>
      <c r="CF576" t="n">
        <v>7</v>
      </c>
      <c r="CI576" t="n">
        <v>4.246</v>
      </c>
      <c r="CJ576" t="n">
        <v>0.79</v>
      </c>
      <c r="CN576" t="n">
        <v>18</v>
      </c>
      <c r="CO576" t="n">
        <v>3</v>
      </c>
      <c r="CP576" t="n">
        <v>18</v>
      </c>
      <c r="CQ576" t="n">
        <v>1</v>
      </c>
      <c r="CR576" t="n">
        <v>106</v>
      </c>
      <c r="CS576" t="n">
        <v>32</v>
      </c>
      <c r="CT576" t="n">
        <v>0.6</v>
      </c>
      <c r="CU576" t="n">
        <v>1</v>
      </c>
      <c r="DE576" t="n">
        <v>6.3</v>
      </c>
      <c r="DH576" t="n">
        <v>40</v>
      </c>
      <c r="DI576" t="n">
        <v>17</v>
      </c>
      <c r="DJ576" t="n">
        <v>0</v>
      </c>
      <c r="DL576" t="n">
        <v>28</v>
      </c>
      <c r="DM576" t="n">
        <v>37</v>
      </c>
      <c r="DN576" t="n">
        <v>3</v>
      </c>
      <c r="EF576" t="n">
        <v>83.5</v>
      </c>
      <c r="EG576" t="n">
        <v>21.7</v>
      </c>
      <c r="EH576" t="n">
        <v>87.90000000000001</v>
      </c>
      <c r="EI576" t="n">
        <v>618.4</v>
      </c>
      <c r="EJ576" t="n">
        <v>904.1</v>
      </c>
      <c r="EK576" t="n">
        <v>367.2</v>
      </c>
    </row>
    <row r="577">
      <c r="A577" t="inlineStr">
        <is>
          <t>Lutsharel Geertruida</t>
        </is>
      </c>
      <c r="D577" t="inlineStr">
        <is>
          <t>DEF</t>
        </is>
      </c>
      <c r="F577" t="b">
        <v>0</v>
      </c>
      <c r="G577" t="b">
        <v>1</v>
      </c>
      <c r="L577" t="inlineStr">
        <is>
          <t>p247955</t>
        </is>
      </c>
      <c r="Q577" t="n">
        <v>1685</v>
      </c>
      <c r="R577" t="n">
        <v>28</v>
      </c>
      <c r="T577" t="n">
        <v>18.722</v>
      </c>
      <c r="U577" t="n">
        <v>60.2</v>
      </c>
      <c r="AD577" t="n">
        <v>0</v>
      </c>
      <c r="AE577" t="n">
        <v>0</v>
      </c>
      <c r="AG577" t="n">
        <v>218</v>
      </c>
      <c r="AH577" t="n">
        <v>-13</v>
      </c>
      <c r="AI577" t="n">
        <v>55</v>
      </c>
      <c r="AN577" t="n">
        <v>2</v>
      </c>
      <c r="AO577" t="n">
        <v>4</v>
      </c>
      <c r="AP577" t="n">
        <v>0.118</v>
      </c>
      <c r="AQ577" t="n">
        <v>0.118</v>
      </c>
      <c r="AR577" t="n">
        <v>0.059</v>
      </c>
      <c r="AS577" t="n">
        <v>0.447</v>
      </c>
      <c r="AT577" t="n">
        <v>0.607</v>
      </c>
      <c r="AU577" t="n">
        <v>23</v>
      </c>
      <c r="AV577" t="n">
        <v>0</v>
      </c>
      <c r="AW577" t="n">
        <v>1.63</v>
      </c>
      <c r="AX577" t="n">
        <v>6</v>
      </c>
      <c r="AZ577" t="n">
        <v>0.837</v>
      </c>
      <c r="BA577" t="n">
        <v>0.837</v>
      </c>
      <c r="BB577" t="n">
        <v>0.837</v>
      </c>
      <c r="BD577" t="n">
        <v>0.045</v>
      </c>
      <c r="BE577" t="n">
        <v>0.045</v>
      </c>
      <c r="BF577" t="n">
        <v>0.8</v>
      </c>
      <c r="BG577" t="n">
        <v>0.043</v>
      </c>
      <c r="BH577" t="n">
        <v>1.001</v>
      </c>
      <c r="BI577" t="n">
        <v>0.79</v>
      </c>
      <c r="BJ577" t="n">
        <v>0.791</v>
      </c>
      <c r="BK577" t="n">
        <v>0.042</v>
      </c>
      <c r="BP577" t="n">
        <v>11</v>
      </c>
      <c r="BQ577" t="n">
        <v>3</v>
      </c>
      <c r="BR577" t="n">
        <v>1</v>
      </c>
      <c r="BS577" t="n">
        <v>14</v>
      </c>
      <c r="BT577" t="n">
        <v>0.748</v>
      </c>
      <c r="BX577" t="n">
        <v>0.774</v>
      </c>
      <c r="BY577" t="n">
        <v>0.774</v>
      </c>
      <c r="BZ577" t="n">
        <v>0.041</v>
      </c>
      <c r="CA577" t="n">
        <v>1.611</v>
      </c>
      <c r="CB577" t="n">
        <v>0.08599999999999999</v>
      </c>
      <c r="CC577" t="n">
        <v>8</v>
      </c>
      <c r="CD577" t="n">
        <v>1</v>
      </c>
      <c r="CE577" t="n">
        <v>8</v>
      </c>
      <c r="CF577" t="n">
        <v>2</v>
      </c>
      <c r="CG577" t="n">
        <v>1</v>
      </c>
      <c r="CI577" t="n">
        <v>4.534</v>
      </c>
      <c r="CJ577" t="n">
        <v>3.29</v>
      </c>
      <c r="CN577" t="n">
        <v>21</v>
      </c>
      <c r="CO577" t="n">
        <v>19</v>
      </c>
      <c r="CP577" t="n">
        <v>47</v>
      </c>
      <c r="CQ577" t="n">
        <v>10</v>
      </c>
      <c r="CR577" t="n">
        <v>63</v>
      </c>
      <c r="CS577" t="n">
        <v>12</v>
      </c>
      <c r="CT577" t="n">
        <v>0.3</v>
      </c>
      <c r="CV577" t="n">
        <v>2</v>
      </c>
      <c r="DE577" t="n">
        <v>6.73</v>
      </c>
      <c r="DH577" t="n">
        <v>15</v>
      </c>
      <c r="DI577" t="n">
        <v>7</v>
      </c>
      <c r="DL577" t="n">
        <v>7</v>
      </c>
      <c r="DM577" t="n">
        <v>3</v>
      </c>
      <c r="DN577" t="n">
        <v>1</v>
      </c>
      <c r="EF577" t="n">
        <v>153.2</v>
      </c>
      <c r="EG577" t="n">
        <v>120.4</v>
      </c>
      <c r="EH577" t="n">
        <v>210.6</v>
      </c>
      <c r="EI577" t="n">
        <v>2012.6</v>
      </c>
      <c r="EJ577" t="n">
        <v>2177.7</v>
      </c>
      <c r="EK577" t="n">
        <v>1046</v>
      </c>
    </row>
    <row r="578">
      <c r="A578" t="inlineStr">
        <is>
          <t>Hamed Traoré</t>
        </is>
      </c>
      <c r="D578" t="inlineStr">
        <is>
          <t>MID</t>
        </is>
      </c>
      <c r="F578" t="b">
        <v>0</v>
      </c>
      <c r="G578" t="b">
        <v>1</v>
      </c>
      <c r="L578" t="inlineStr">
        <is>
          <t>p424044</t>
        </is>
      </c>
      <c r="Q578" t="n">
        <v>16</v>
      </c>
      <c r="R578" t="n">
        <v>1</v>
      </c>
      <c r="T578" t="n">
        <v>0.178</v>
      </c>
      <c r="U578" t="n">
        <v>16</v>
      </c>
      <c r="Z578" t="n">
        <v>1</v>
      </c>
      <c r="AD578" t="n">
        <v>0</v>
      </c>
      <c r="AE578" t="n">
        <v>0</v>
      </c>
      <c r="AG578" t="n">
        <v>12</v>
      </c>
      <c r="AH578" t="n">
        <v>0</v>
      </c>
      <c r="AI578" t="n">
        <v>4</v>
      </c>
      <c r="AN578" t="n">
        <v>0</v>
      </c>
      <c r="AO578" t="n">
        <v>0</v>
      </c>
      <c r="AS578" t="n">
        <v>0</v>
      </c>
      <c r="AT578" t="n">
        <v>0</v>
      </c>
      <c r="AU578" t="n">
        <v>0</v>
      </c>
      <c r="AV578" t="n">
        <v>0</v>
      </c>
      <c r="AW578" t="n">
        <v>0.65</v>
      </c>
      <c r="AX578" t="n">
        <v>4</v>
      </c>
      <c r="AZ578" t="n">
        <v>0</v>
      </c>
      <c r="BA578" t="n">
        <v>0</v>
      </c>
      <c r="BB578" t="n">
        <v>0</v>
      </c>
      <c r="BD578" t="n">
        <v>0</v>
      </c>
      <c r="BE578" t="n">
        <v>0</v>
      </c>
      <c r="BH578" t="n">
        <v>0.869</v>
      </c>
      <c r="BI578" t="n">
        <v>1.21</v>
      </c>
      <c r="BJ578" t="n">
        <v>0</v>
      </c>
      <c r="BK578" t="n">
        <v>0</v>
      </c>
      <c r="BX578" t="n">
        <v>0.096</v>
      </c>
      <c r="BY578" t="n">
        <v>0.096</v>
      </c>
      <c r="BZ578" t="n">
        <v>0.538</v>
      </c>
      <c r="CA578" t="n">
        <v>0.096</v>
      </c>
      <c r="CB578" t="n">
        <v>0.538</v>
      </c>
      <c r="CC578" t="n">
        <v>1</v>
      </c>
      <c r="CE578" t="n">
        <v>1</v>
      </c>
      <c r="CH578" t="n">
        <v>1</v>
      </c>
      <c r="CI578" t="n">
        <v>0.096</v>
      </c>
      <c r="CJ578" t="n">
        <v>0</v>
      </c>
      <c r="CP578" t="n">
        <v>1</v>
      </c>
      <c r="CR578" t="n">
        <v>1</v>
      </c>
      <c r="EH578" t="n">
        <v>16</v>
      </c>
      <c r="EJ578" t="n">
        <v>167.4</v>
      </c>
      <c r="EK578" t="n">
        <v>167.4</v>
      </c>
    </row>
    <row r="579">
      <c r="A579" t="inlineStr">
        <is>
          <t>Sasa Kalajdzic</t>
        </is>
      </c>
      <c r="D579" t="inlineStr">
        <is>
          <t>FWD</t>
        </is>
      </c>
      <c r="F579" t="b">
        <v>0</v>
      </c>
      <c r="G579" t="b">
        <v>1</v>
      </c>
      <c r="L579" t="inlineStr">
        <is>
          <t>p429414</t>
        </is>
      </c>
      <c r="Q579" t="n">
        <v>14</v>
      </c>
      <c r="R579" t="n">
        <v>1</v>
      </c>
      <c r="T579" t="n">
        <v>0.156</v>
      </c>
      <c r="U579" t="n">
        <v>14</v>
      </c>
      <c r="AD579" t="n">
        <v>0</v>
      </c>
      <c r="AE579" t="n">
        <v>0</v>
      </c>
      <c r="AG579" t="n">
        <v>1</v>
      </c>
      <c r="AH579" t="n">
        <v>0</v>
      </c>
      <c r="AI579" t="n">
        <v>1</v>
      </c>
      <c r="AN579" t="n">
        <v>0</v>
      </c>
      <c r="AO579" t="n">
        <v>0</v>
      </c>
      <c r="AS579" t="n">
        <v>0</v>
      </c>
      <c r="AT579" t="n">
        <v>0</v>
      </c>
      <c r="AU579" t="n">
        <v>1</v>
      </c>
      <c r="AV579" t="n">
        <v>0</v>
      </c>
      <c r="AW579" t="n">
        <v>0.16</v>
      </c>
      <c r="AX579" t="n">
        <v>1</v>
      </c>
      <c r="AZ579" t="n">
        <v>0</v>
      </c>
      <c r="BA579" t="n">
        <v>0</v>
      </c>
      <c r="BB579" t="n">
        <v>0</v>
      </c>
      <c r="BD579" t="n">
        <v>0</v>
      </c>
      <c r="BE579" t="n">
        <v>0</v>
      </c>
      <c r="BH579" t="n">
        <v>1.034</v>
      </c>
      <c r="BI579" t="n">
        <v>1.28</v>
      </c>
      <c r="BJ579" t="n">
        <v>0</v>
      </c>
      <c r="BK579" t="n">
        <v>0</v>
      </c>
      <c r="BS579" t="n">
        <v>1</v>
      </c>
      <c r="BT579" t="n">
        <v>6.429</v>
      </c>
      <c r="BX579" t="n">
        <v>0</v>
      </c>
      <c r="BY579" t="n">
        <v>0</v>
      </c>
      <c r="BZ579" t="n">
        <v>0</v>
      </c>
      <c r="CA579" t="n">
        <v>0</v>
      </c>
      <c r="CB579" t="n">
        <v>0</v>
      </c>
      <c r="CC579" t="n">
        <v>0</v>
      </c>
      <c r="CI579" t="n">
        <v>0</v>
      </c>
      <c r="CJ579" t="n">
        <v>0</v>
      </c>
      <c r="CO579" t="n">
        <v>1</v>
      </c>
      <c r="CR579" t="n">
        <v>2</v>
      </c>
      <c r="CS579" t="n">
        <v>2</v>
      </c>
      <c r="DM579" t="n">
        <v>1</v>
      </c>
      <c r="EG579" t="n">
        <v>14</v>
      </c>
    </row>
    <row r="580">
      <c r="A580" t="inlineStr">
        <is>
          <t>Ladislav Krejcí</t>
        </is>
      </c>
      <c r="D580" t="inlineStr">
        <is>
          <t>DEF</t>
        </is>
      </c>
      <c r="F580" t="b">
        <v>0</v>
      </c>
      <c r="G580" t="b">
        <v>1</v>
      </c>
      <c r="L580" t="inlineStr">
        <is>
          <t>p431248</t>
        </is>
      </c>
      <c r="Q580" t="n">
        <v>2361</v>
      </c>
      <c r="R580" t="n">
        <v>28</v>
      </c>
      <c r="T580" t="n">
        <v>26.233</v>
      </c>
      <c r="U580" t="n">
        <v>84.3</v>
      </c>
      <c r="Z580" t="n">
        <v>1</v>
      </c>
      <c r="AD580" t="n">
        <v>0</v>
      </c>
      <c r="AE580" t="n">
        <v>-1</v>
      </c>
      <c r="AG580" t="n">
        <v>206</v>
      </c>
      <c r="AH580" t="n">
        <v>-29</v>
      </c>
      <c r="AI580" t="n">
        <v>67</v>
      </c>
      <c r="AN580" t="n">
        <v>3</v>
      </c>
      <c r="AO580" t="n">
        <v>6</v>
      </c>
      <c r="AP580" t="n">
        <v>0.111</v>
      </c>
      <c r="AQ580" t="n">
        <v>0.111</v>
      </c>
      <c r="AR580" t="n">
        <v>0.037</v>
      </c>
      <c r="AS580" t="n">
        <v>0.711</v>
      </c>
      <c r="AT580" t="n">
        <v>0.964</v>
      </c>
      <c r="AU580" t="n">
        <v>20</v>
      </c>
      <c r="AV580" t="n">
        <v>0</v>
      </c>
      <c r="AW580" t="n">
        <v>2.52</v>
      </c>
      <c r="AX580" t="n">
        <v>8</v>
      </c>
      <c r="AZ580" t="n">
        <v>1.724</v>
      </c>
      <c r="BA580" t="n">
        <v>1.724</v>
      </c>
      <c r="BB580" t="n">
        <v>1.724</v>
      </c>
      <c r="BD580" t="n">
        <v>0.066</v>
      </c>
      <c r="BE580" t="n">
        <v>0.066</v>
      </c>
      <c r="BF580" t="n">
        <v>2.8</v>
      </c>
      <c r="BG580" t="n">
        <v>0.107</v>
      </c>
      <c r="BH580" t="n">
        <v>1.056</v>
      </c>
      <c r="BI580" t="n">
        <v>2.23</v>
      </c>
      <c r="BJ580" t="n">
        <v>2.354</v>
      </c>
      <c r="BK580" t="n">
        <v>0.09</v>
      </c>
      <c r="BP580" t="n">
        <v>21</v>
      </c>
      <c r="BQ580" t="n">
        <v>10</v>
      </c>
      <c r="BR580" t="n">
        <v>3</v>
      </c>
      <c r="BS580" t="n">
        <v>47</v>
      </c>
      <c r="BT580" t="n">
        <v>1.792</v>
      </c>
      <c r="BV580" t="n">
        <v>1</v>
      </c>
      <c r="BX580" t="n">
        <v>1.491</v>
      </c>
      <c r="BY580" t="n">
        <v>1.491</v>
      </c>
      <c r="BZ580" t="n">
        <v>0.057</v>
      </c>
      <c r="CA580" t="n">
        <v>3.215</v>
      </c>
      <c r="CB580" t="n">
        <v>0.123</v>
      </c>
      <c r="CC580" t="n">
        <v>9</v>
      </c>
      <c r="CD580" t="n">
        <v>2</v>
      </c>
      <c r="CE580" t="n">
        <v>9</v>
      </c>
      <c r="CF580" t="n">
        <v>4</v>
      </c>
      <c r="CG580" t="n">
        <v>1</v>
      </c>
      <c r="CI580" t="n">
        <v>4.149</v>
      </c>
      <c r="CJ580" t="n">
        <v>2.592</v>
      </c>
      <c r="CN580" t="n">
        <v>21</v>
      </c>
      <c r="CO580" t="n">
        <v>32</v>
      </c>
      <c r="CP580" t="n">
        <v>117</v>
      </c>
      <c r="CQ580" t="n">
        <v>15</v>
      </c>
      <c r="CR580" t="n">
        <v>104</v>
      </c>
      <c r="CS580" t="n">
        <v>64</v>
      </c>
      <c r="CT580" t="n">
        <v>0</v>
      </c>
      <c r="CU580" t="n">
        <v>1</v>
      </c>
      <c r="CV580" t="n">
        <v>3</v>
      </c>
      <c r="DE580" t="n">
        <v>6.56</v>
      </c>
      <c r="DH580" t="n">
        <v>33</v>
      </c>
      <c r="DI580" t="n">
        <v>7</v>
      </c>
      <c r="DL580" t="n">
        <v>2</v>
      </c>
      <c r="DM580" t="n">
        <v>8</v>
      </c>
      <c r="EF580" t="n">
        <v>112.4</v>
      </c>
      <c r="EG580" t="n">
        <v>50.2</v>
      </c>
      <c r="EH580" t="n">
        <v>262.3</v>
      </c>
      <c r="EI580" t="n">
        <v>1369.1</v>
      </c>
      <c r="EJ580" t="n">
        <v>1583.6</v>
      </c>
      <c r="EK580" t="n">
        <v>734.3</v>
      </c>
    </row>
    <row r="581">
      <c r="A581" t="inlineStr">
        <is>
          <t>Zian Flemming</t>
        </is>
      </c>
      <c r="D581" t="inlineStr">
        <is>
          <t>FWD</t>
        </is>
      </c>
      <c r="F581" t="b">
        <v>0</v>
      </c>
      <c r="G581" t="b">
        <v>1</v>
      </c>
      <c r="L581" t="inlineStr">
        <is>
          <t>p431639</t>
        </is>
      </c>
      <c r="Q581" t="n">
        <v>1776</v>
      </c>
      <c r="R581" t="n">
        <v>29</v>
      </c>
      <c r="T581" t="n">
        <v>19.733</v>
      </c>
      <c r="U581" t="n">
        <v>61.2</v>
      </c>
      <c r="AD581" t="n">
        <v>11</v>
      </c>
      <c r="AE581" t="n">
        <v>0</v>
      </c>
      <c r="AG581" t="n">
        <v>360</v>
      </c>
      <c r="AH581" t="n">
        <v>-11</v>
      </c>
      <c r="AI581" t="n">
        <v>99</v>
      </c>
      <c r="AN581" t="n">
        <v>0</v>
      </c>
      <c r="AO581" t="n">
        <v>0</v>
      </c>
      <c r="AP581" t="n">
        <v>0</v>
      </c>
      <c r="AQ581" t="n">
        <v>0</v>
      </c>
      <c r="AR581" t="n">
        <v>0</v>
      </c>
      <c r="AS581" t="n">
        <v>0.553</v>
      </c>
      <c r="AT581" t="n">
        <v>0.6899999999999999</v>
      </c>
      <c r="AU581" t="n">
        <v>19</v>
      </c>
      <c r="AV581" t="n">
        <v>1</v>
      </c>
      <c r="AW581" t="n">
        <v>3.12</v>
      </c>
      <c r="AX581" t="n">
        <v>13</v>
      </c>
      <c r="AZ581" t="n">
        <v>9.555</v>
      </c>
      <c r="BA581" t="n">
        <v>9.555</v>
      </c>
      <c r="BB581" t="n">
        <v>8.032</v>
      </c>
      <c r="BD581" t="n">
        <v>0.484</v>
      </c>
      <c r="BE581" t="n">
        <v>0.484</v>
      </c>
      <c r="BF581" t="n">
        <v>7.7</v>
      </c>
      <c r="BG581" t="n">
        <v>0.39</v>
      </c>
      <c r="BH581" t="n">
        <v>0.985</v>
      </c>
      <c r="BI581" t="n">
        <v>7.94</v>
      </c>
      <c r="BJ581" t="n">
        <v>7.82</v>
      </c>
      <c r="BK581" t="n">
        <v>0.396</v>
      </c>
      <c r="BP581" t="n">
        <v>53</v>
      </c>
      <c r="BQ581" t="n">
        <v>21</v>
      </c>
      <c r="BR581" t="n">
        <v>10</v>
      </c>
      <c r="BS581" t="n">
        <v>71</v>
      </c>
      <c r="BT581" t="n">
        <v>3.598</v>
      </c>
      <c r="BU581" t="n">
        <v>2</v>
      </c>
      <c r="BV581" t="n">
        <v>3</v>
      </c>
      <c r="BX581" t="n">
        <v>0.6850000000000001</v>
      </c>
      <c r="BY581" t="n">
        <v>0.6850000000000001</v>
      </c>
      <c r="BZ581" t="n">
        <v>0.035</v>
      </c>
      <c r="CA581" t="n">
        <v>10.24</v>
      </c>
      <c r="CB581" t="n">
        <v>0.519</v>
      </c>
      <c r="CC581" t="n">
        <v>10</v>
      </c>
      <c r="CE581" t="n">
        <v>10</v>
      </c>
      <c r="CF581" t="n">
        <v>1</v>
      </c>
      <c r="CI581" t="n">
        <v>7.825</v>
      </c>
      <c r="CJ581" t="n">
        <v>1.719</v>
      </c>
      <c r="CN581" t="n">
        <v>10</v>
      </c>
      <c r="CO581" t="n">
        <v>7</v>
      </c>
      <c r="CP581" t="n">
        <v>37</v>
      </c>
      <c r="CQ581" t="n">
        <v>5</v>
      </c>
      <c r="CR581" t="n">
        <v>114</v>
      </c>
      <c r="CS581" t="n">
        <v>68</v>
      </c>
      <c r="CT581" t="n">
        <v>0.2</v>
      </c>
      <c r="DE581" t="n">
        <v>6.72</v>
      </c>
      <c r="DH581" t="n">
        <v>50</v>
      </c>
      <c r="DI581" t="n">
        <v>26</v>
      </c>
      <c r="DL581" t="n">
        <v>4</v>
      </c>
      <c r="DM581" t="n">
        <v>17</v>
      </c>
      <c r="DN581" t="n">
        <v>3</v>
      </c>
      <c r="EF581" t="n">
        <v>33.5</v>
      </c>
      <c r="EG581" t="n">
        <v>25</v>
      </c>
      <c r="EH581" t="n">
        <v>177.6</v>
      </c>
      <c r="EI581" t="n">
        <v>185.9</v>
      </c>
      <c r="EJ581" t="n">
        <v>2593.3</v>
      </c>
      <c r="EK581" t="n">
        <v>173.4</v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n">
        <v>4</v>
      </c>
      <c r="F582" t="b">
        <v>1</v>
      </c>
      <c r="G582" t="b">
        <v>0</v>
      </c>
      <c r="H582" t="n">
        <v>25.1</v>
      </c>
      <c r="I582" t="inlineStr">
        <is>
          <t>i</t>
        </is>
      </c>
      <c r="J582" t="inlineStr">
        <is>
          <t>Knee injury - Unknown return date</t>
        </is>
      </c>
      <c r="K582" t="n">
        <v>0</v>
      </c>
      <c r="M582" t="n">
        <v>354</v>
      </c>
      <c r="DO582" t="n">
        <v>0</v>
      </c>
      <c r="DP582" t="n">
        <v>0</v>
      </c>
      <c r="DQ582" t="n">
        <v>0</v>
      </c>
      <c r="DR582" t="n">
        <v>0</v>
      </c>
      <c r="DS582" t="n">
        <v>0</v>
      </c>
      <c r="DT582" t="n">
        <v>0</v>
      </c>
      <c r="DU582" t="n">
        <v>0</v>
      </c>
      <c r="DV582" t="inlineStr">
        <is>
          <t>flat</t>
        </is>
      </c>
    </row>
    <row r="583">
      <c r="A583" t="inlineStr">
        <is>
          <t>Marshall Munetsi</t>
        </is>
      </c>
      <c r="D583" t="inlineStr">
        <is>
          <t>MID</t>
        </is>
      </c>
      <c r="F583" t="b">
        <v>0</v>
      </c>
      <c r="G583" t="b">
        <v>1</v>
      </c>
      <c r="L583" t="inlineStr">
        <is>
          <t>p433312</t>
        </is>
      </c>
      <c r="Q583" t="n">
        <v>873</v>
      </c>
      <c r="R583" t="n">
        <v>13</v>
      </c>
      <c r="T583" t="n">
        <v>9.699999999999999</v>
      </c>
      <c r="U583" t="n">
        <v>67.2</v>
      </c>
      <c r="Z583" t="n">
        <v>1</v>
      </c>
      <c r="AD583" t="n">
        <v>1</v>
      </c>
      <c r="AE583" t="n">
        <v>0</v>
      </c>
      <c r="AG583" t="n">
        <v>126</v>
      </c>
      <c r="AH583" t="n">
        <v>-5</v>
      </c>
      <c r="AI583" t="n">
        <v>38</v>
      </c>
      <c r="AN583" t="n">
        <v>3</v>
      </c>
      <c r="AO583" t="n">
        <v>6</v>
      </c>
      <c r="AP583" t="n">
        <v>0.333</v>
      </c>
      <c r="AQ583" t="n">
        <v>0.333</v>
      </c>
      <c r="AR583" t="n">
        <v>0.333</v>
      </c>
      <c r="AS583" t="n">
        <v>0.237</v>
      </c>
      <c r="AT583" t="n">
        <v>0.6919999999999999</v>
      </c>
      <c r="AU583" t="n">
        <v>7</v>
      </c>
      <c r="AV583" t="n">
        <v>0</v>
      </c>
      <c r="AW583" t="n">
        <v>1.93</v>
      </c>
      <c r="AX583" t="n">
        <v>8</v>
      </c>
      <c r="AZ583" t="n">
        <v>1.839</v>
      </c>
      <c r="BA583" t="n">
        <v>1.839</v>
      </c>
      <c r="BB583" t="n">
        <v>1.839</v>
      </c>
      <c r="BD583" t="n">
        <v>0.19</v>
      </c>
      <c r="BE583" t="n">
        <v>0.19</v>
      </c>
      <c r="BF583" t="n">
        <v>1.7</v>
      </c>
      <c r="BG583" t="n">
        <v>0.175</v>
      </c>
      <c r="BH583" t="n">
        <v>0.957</v>
      </c>
      <c r="BI583" t="n">
        <v>4.96</v>
      </c>
      <c r="BJ583" t="n">
        <v>1.569</v>
      </c>
      <c r="BK583" t="n">
        <v>0.162</v>
      </c>
      <c r="BP583" t="n">
        <v>14</v>
      </c>
      <c r="BQ583" t="n">
        <v>6</v>
      </c>
      <c r="BR583" t="n">
        <v>0</v>
      </c>
      <c r="BS583" t="n">
        <v>37</v>
      </c>
      <c r="BT583" t="n">
        <v>3.814</v>
      </c>
      <c r="BV583" t="n">
        <v>1</v>
      </c>
      <c r="BX583" t="n">
        <v>0.381</v>
      </c>
      <c r="BY583" t="n">
        <v>0.381</v>
      </c>
      <c r="BZ583" t="n">
        <v>0.039</v>
      </c>
      <c r="CA583" t="n">
        <v>2.22</v>
      </c>
      <c r="CB583" t="n">
        <v>0.229</v>
      </c>
      <c r="CC583" t="n">
        <v>3</v>
      </c>
      <c r="CD583" t="n">
        <v>1</v>
      </c>
      <c r="CE583" t="n">
        <v>3</v>
      </c>
      <c r="CF583" t="n">
        <v>3</v>
      </c>
      <c r="CI583" t="n">
        <v>3.097</v>
      </c>
      <c r="CJ583" t="n">
        <v>1.001</v>
      </c>
      <c r="CN583" t="n">
        <v>12</v>
      </c>
      <c r="CO583" t="n">
        <v>7</v>
      </c>
      <c r="CP583" t="n">
        <v>30</v>
      </c>
      <c r="CQ583" t="n">
        <v>2</v>
      </c>
      <c r="CR583" t="n">
        <v>65</v>
      </c>
      <c r="CS583" t="n">
        <v>30</v>
      </c>
      <c r="DH583" t="n">
        <v>19</v>
      </c>
      <c r="DI583" t="n">
        <v>10</v>
      </c>
      <c r="DL583" t="n">
        <v>5</v>
      </c>
      <c r="DM583" t="n">
        <v>11</v>
      </c>
      <c r="DN583" t="n">
        <v>4</v>
      </c>
      <c r="EF583" t="n">
        <v>62.4</v>
      </c>
      <c r="EG583" t="n">
        <v>23.6</v>
      </c>
      <c r="EH583" t="n">
        <v>291</v>
      </c>
      <c r="EI583" t="n">
        <v>474.7</v>
      </c>
      <c r="EJ583" t="n">
        <v>2292.2</v>
      </c>
      <c r="EK583" t="n">
        <v>393.3</v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n">
        <v>4</v>
      </c>
      <c r="F584" t="b">
        <v>1</v>
      </c>
      <c r="G584" t="b">
        <v>0</v>
      </c>
      <c r="H584" t="n">
        <v>24.7</v>
      </c>
      <c r="I584" t="inlineStr">
        <is>
          <t>i</t>
        </is>
      </c>
      <c r="J584" t="inlineStr">
        <is>
          <t>Hamstring injury - Expected back 29 Aug</t>
        </is>
      </c>
      <c r="K584" t="n">
        <v>0</v>
      </c>
      <c r="M584" t="n">
        <v>281</v>
      </c>
      <c r="DO584" t="n">
        <v>0</v>
      </c>
      <c r="DP584" t="n">
        <v>21.86</v>
      </c>
      <c r="DQ584" t="n">
        <v>10.76</v>
      </c>
      <c r="DR584" t="n">
        <v>21.52</v>
      </c>
      <c r="DS584" t="n">
        <v>0.34</v>
      </c>
      <c r="DT584" t="n">
        <v>619</v>
      </c>
      <c r="DU584" t="n">
        <v>16.29</v>
      </c>
      <c r="DV584" t="inlineStr">
        <is>
          <t>flat</t>
        </is>
      </c>
    </row>
    <row r="585">
      <c r="A585" t="inlineStr">
        <is>
          <t>Lyle Foster</t>
        </is>
      </c>
      <c r="D585" t="inlineStr">
        <is>
          <t>FWD</t>
        </is>
      </c>
      <c r="F585" t="b">
        <v>0</v>
      </c>
      <c r="G585" t="b">
        <v>1</v>
      </c>
      <c r="L585" t="inlineStr">
        <is>
          <t>p435973</t>
        </is>
      </c>
      <c r="Q585" t="n">
        <v>1372</v>
      </c>
      <c r="R585" t="n">
        <v>26</v>
      </c>
      <c r="T585" t="n">
        <v>15.244</v>
      </c>
      <c r="U585" t="n">
        <v>52.8</v>
      </c>
      <c r="Z585" t="n">
        <v>2</v>
      </c>
      <c r="AD585" t="n">
        <v>4</v>
      </c>
      <c r="AE585" t="n">
        <v>0</v>
      </c>
      <c r="AG585" t="n">
        <v>197</v>
      </c>
      <c r="AH585" t="n">
        <v>-5</v>
      </c>
      <c r="AI585" t="n">
        <v>58</v>
      </c>
      <c r="AN585" t="n">
        <v>0</v>
      </c>
      <c r="AO585" t="n">
        <v>0</v>
      </c>
      <c r="AP585" t="n">
        <v>0</v>
      </c>
      <c r="AQ585" t="n">
        <v>0</v>
      </c>
      <c r="AR585" t="n">
        <v>0</v>
      </c>
      <c r="AS585" t="n">
        <v>0.395</v>
      </c>
      <c r="AT585" t="n">
        <v>0.538</v>
      </c>
      <c r="AU585" t="n">
        <v>21</v>
      </c>
      <c r="AV585" t="n">
        <v>0</v>
      </c>
      <c r="AW585" t="n">
        <v>1.89</v>
      </c>
      <c r="AX585" t="n">
        <v>7</v>
      </c>
      <c r="AZ585" t="n">
        <v>3.592</v>
      </c>
      <c r="BA585" t="n">
        <v>3.592</v>
      </c>
      <c r="BB585" t="n">
        <v>3.592</v>
      </c>
      <c r="BD585" t="n">
        <v>0.236</v>
      </c>
      <c r="BE585" t="n">
        <v>0.236</v>
      </c>
      <c r="BF585" t="n">
        <v>3.3</v>
      </c>
      <c r="BG585" t="n">
        <v>0.216</v>
      </c>
      <c r="BH585" t="n">
        <v>1.123</v>
      </c>
      <c r="BI585" t="n">
        <v>7.58</v>
      </c>
      <c r="BJ585" t="n">
        <v>3.617</v>
      </c>
      <c r="BK585" t="n">
        <v>0.237</v>
      </c>
      <c r="BP585" t="n">
        <v>20</v>
      </c>
      <c r="BQ585" t="n">
        <v>6</v>
      </c>
      <c r="BR585" t="n">
        <v>3</v>
      </c>
      <c r="BS585" t="n">
        <v>55</v>
      </c>
      <c r="BT585" t="n">
        <v>3.608</v>
      </c>
      <c r="BX585" t="n">
        <v>1.146</v>
      </c>
      <c r="BY585" t="n">
        <v>1.146</v>
      </c>
      <c r="BZ585" t="n">
        <v>0.075</v>
      </c>
      <c r="CA585" t="n">
        <v>4.738</v>
      </c>
      <c r="CB585" t="n">
        <v>0.311</v>
      </c>
      <c r="CC585" t="n">
        <v>10</v>
      </c>
      <c r="CD585" t="n">
        <v>2</v>
      </c>
      <c r="CE585" t="n">
        <v>10</v>
      </c>
      <c r="CF585" t="n">
        <v>1</v>
      </c>
      <c r="CI585" t="n">
        <v>5.975</v>
      </c>
      <c r="CJ585" t="n">
        <v>2.13</v>
      </c>
      <c r="CN585" t="n">
        <v>12</v>
      </c>
      <c r="CO585" t="n">
        <v>4</v>
      </c>
      <c r="CP585" t="n">
        <v>20</v>
      </c>
      <c r="CQ585" t="n">
        <v>3</v>
      </c>
      <c r="CR585" t="n">
        <v>66</v>
      </c>
      <c r="CS585" t="n">
        <v>28</v>
      </c>
      <c r="CT585" t="n">
        <v>0.6</v>
      </c>
      <c r="DE585" t="n">
        <v>6.24</v>
      </c>
      <c r="DH585" t="n">
        <v>22</v>
      </c>
      <c r="DI585" t="n">
        <v>13</v>
      </c>
      <c r="DL585" t="n">
        <v>10</v>
      </c>
      <c r="DM585" t="n">
        <v>32</v>
      </c>
      <c r="DN585" t="n">
        <v>11</v>
      </c>
      <c r="EF585" t="n">
        <v>68.59999999999999</v>
      </c>
      <c r="EG585" t="n">
        <v>24.9</v>
      </c>
      <c r="EH585" t="n">
        <v>137.2</v>
      </c>
      <c r="EI585" t="n">
        <v>381.9</v>
      </c>
      <c r="EJ585" t="n">
        <v>1197.3</v>
      </c>
      <c r="EK585" t="n">
        <v>289.6</v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n">
        <v>4</v>
      </c>
      <c r="F586" t="b">
        <v>1</v>
      </c>
      <c r="G586" t="b">
        <v>0</v>
      </c>
      <c r="H586" t="n">
        <v>26.9</v>
      </c>
      <c r="I586" t="inlineStr">
        <is>
          <t>a</t>
        </is>
      </c>
      <c r="M586" t="n">
        <v>174</v>
      </c>
      <c r="DO586" t="n">
        <v>0.6</v>
      </c>
      <c r="DP586" t="n">
        <v>38.69</v>
      </c>
      <c r="DQ586" t="n">
        <v>19.35</v>
      </c>
      <c r="DR586" t="n">
        <v>38.7</v>
      </c>
      <c r="DS586" t="n">
        <v>-0.01</v>
      </c>
      <c r="DT586" t="n">
        <v>847</v>
      </c>
      <c r="DU586" t="n">
        <v>22.29</v>
      </c>
      <c r="DV586" t="inlineStr">
        <is>
          <t>flat</t>
        </is>
      </c>
    </row>
    <row r="587">
      <c r="A587" t="inlineStr">
        <is>
          <t>Mike Trésor</t>
        </is>
      </c>
      <c r="D587" t="inlineStr">
        <is>
          <t>MID</t>
        </is>
      </c>
      <c r="F587" t="b">
        <v>0</v>
      </c>
      <c r="G587" t="b">
        <v>1</v>
      </c>
      <c r="L587" t="inlineStr">
        <is>
          <t>p437748</t>
        </is>
      </c>
      <c r="Q587" t="n">
        <v>37</v>
      </c>
      <c r="R587" t="n">
        <v>6</v>
      </c>
      <c r="T587" t="n">
        <v>0.411</v>
      </c>
      <c r="U587" t="n">
        <v>6.2</v>
      </c>
      <c r="AD587" t="n">
        <v>0</v>
      </c>
      <c r="AE587" t="n">
        <v>0</v>
      </c>
      <c r="AG587" t="n">
        <v>18</v>
      </c>
      <c r="AH587" t="n">
        <v>0</v>
      </c>
      <c r="AI587" t="n">
        <v>6</v>
      </c>
      <c r="AN587" t="n">
        <v>0</v>
      </c>
      <c r="AO587" t="n">
        <v>0</v>
      </c>
      <c r="AS587" t="n">
        <v>0</v>
      </c>
      <c r="AT587" t="n">
        <v>0</v>
      </c>
      <c r="AU587" t="n">
        <v>6</v>
      </c>
      <c r="AV587" t="n">
        <v>0</v>
      </c>
      <c r="AW587" t="n">
        <v>0.37</v>
      </c>
      <c r="AX587" t="n">
        <v>1</v>
      </c>
      <c r="AZ587" t="n">
        <v>0</v>
      </c>
      <c r="BA587" t="n">
        <v>0</v>
      </c>
      <c r="BB587" t="n">
        <v>0</v>
      </c>
      <c r="BD587" t="n">
        <v>0</v>
      </c>
      <c r="BE587" t="n">
        <v>0</v>
      </c>
      <c r="BH587" t="n">
        <v>0.956</v>
      </c>
      <c r="BI587" t="n">
        <v>0.37</v>
      </c>
      <c r="BJ587" t="n">
        <v>0</v>
      </c>
      <c r="BK587" t="n">
        <v>0</v>
      </c>
      <c r="BS587" t="n">
        <v>1</v>
      </c>
      <c r="BT587" t="n">
        <v>2.432</v>
      </c>
      <c r="BX587" t="n">
        <v>0</v>
      </c>
      <c r="BY587" t="n">
        <v>0</v>
      </c>
      <c r="BZ587" t="n">
        <v>0</v>
      </c>
      <c r="CA587" t="n">
        <v>0</v>
      </c>
      <c r="CB587" t="n">
        <v>0</v>
      </c>
      <c r="CC587" t="n">
        <v>0</v>
      </c>
      <c r="CE587" t="n">
        <v>1</v>
      </c>
      <c r="CF587" t="n">
        <v>1</v>
      </c>
      <c r="CH587" t="n">
        <v>2</v>
      </c>
      <c r="CI587" t="n">
        <v>0.027</v>
      </c>
      <c r="CJ587" t="n">
        <v>0.027</v>
      </c>
      <c r="CN587" t="n">
        <v>1</v>
      </c>
      <c r="CR587" t="n">
        <v>1</v>
      </c>
      <c r="CS587" t="n">
        <v>0</v>
      </c>
      <c r="DM587" t="n">
        <v>2</v>
      </c>
      <c r="EG587" t="n">
        <v>37</v>
      </c>
      <c r="EH587" t="n">
        <v>37</v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n">
        <v>6.5</v>
      </c>
      <c r="F588" t="b">
        <v>1</v>
      </c>
      <c r="G588" t="b">
        <v>0</v>
      </c>
      <c r="H588" t="n">
        <v>24.6</v>
      </c>
      <c r="I588" t="inlineStr">
        <is>
          <t>a</t>
        </is>
      </c>
      <c r="M588" t="n">
        <v>557</v>
      </c>
      <c r="O588" t="n">
        <v>4</v>
      </c>
      <c r="DO588" t="n">
        <v>4.1</v>
      </c>
      <c r="DP588" t="n">
        <v>125.91</v>
      </c>
      <c r="DQ588" t="n">
        <v>63.17</v>
      </c>
      <c r="DR588" t="n">
        <v>126.34</v>
      </c>
      <c r="DS588" t="n">
        <v>-0.43</v>
      </c>
      <c r="DT588" t="n">
        <v>2155</v>
      </c>
      <c r="DU588" t="n">
        <v>56.7</v>
      </c>
      <c r="DV588" t="inlineStr">
        <is>
          <t>flat</t>
        </is>
      </c>
      <c r="DW588" t="n">
        <v>59.56</v>
      </c>
      <c r="DX588" t="n">
        <v>63.49</v>
      </c>
      <c r="DY588" t="n">
        <v>24.81</v>
      </c>
      <c r="DZ588" t="n">
        <v>16</v>
      </c>
      <c r="EA588" t="n">
        <v>120</v>
      </c>
      <c r="EB588" t="n">
        <v>138</v>
      </c>
      <c r="EC588" t="n">
        <v>66.3</v>
      </c>
      <c r="ED588" t="n">
        <v>6.1</v>
      </c>
      <c r="EE588" t="n">
        <v>55</v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n">
        <v>5</v>
      </c>
      <c r="F589" t="b">
        <v>1</v>
      </c>
      <c r="G589" t="b">
        <v>0</v>
      </c>
      <c r="H589" t="n">
        <v>26.4</v>
      </c>
      <c r="I589" t="inlineStr">
        <is>
          <t>a</t>
        </is>
      </c>
      <c r="M589" t="n">
        <v>187</v>
      </c>
      <c r="DO589" t="n">
        <v>0</v>
      </c>
      <c r="DP589" t="n">
        <v>28.36</v>
      </c>
      <c r="DQ589" t="n">
        <v>14.34</v>
      </c>
      <c r="DR589" t="n">
        <v>28.68</v>
      </c>
      <c r="DS589" t="n">
        <v>-0.32</v>
      </c>
      <c r="DT589" t="n">
        <v>192</v>
      </c>
      <c r="DU589" t="n">
        <v>5.04</v>
      </c>
      <c r="DV589" t="inlineStr">
        <is>
          <t>flat</t>
        </is>
      </c>
    </row>
    <row r="590">
      <c r="A590" t="inlineStr">
        <is>
          <t>Armando Broja</t>
        </is>
      </c>
      <c r="D590" t="inlineStr">
        <is>
          <t>FWD</t>
        </is>
      </c>
      <c r="F590" t="b">
        <v>0</v>
      </c>
      <c r="G590" t="b">
        <v>1</v>
      </c>
      <c r="L590" t="inlineStr">
        <is>
          <t>p440323</t>
        </is>
      </c>
      <c r="Q590" t="n">
        <v>849</v>
      </c>
      <c r="R590" t="n">
        <v>24</v>
      </c>
      <c r="T590" t="n">
        <v>9.433</v>
      </c>
      <c r="U590" t="n">
        <v>35.4</v>
      </c>
      <c r="Z590" t="n">
        <v>1</v>
      </c>
      <c r="AD590" t="n">
        <v>2</v>
      </c>
      <c r="AE590" t="n">
        <v>0</v>
      </c>
      <c r="AG590" t="n">
        <v>119</v>
      </c>
      <c r="AH590" t="n">
        <v>0</v>
      </c>
      <c r="AI590" t="n">
        <v>43</v>
      </c>
      <c r="AN590" t="n">
        <v>1</v>
      </c>
      <c r="AO590" t="n">
        <v>2</v>
      </c>
      <c r="AP590" t="n">
        <v>0.125</v>
      </c>
      <c r="AQ590" t="n">
        <v>0.125</v>
      </c>
      <c r="AR590" t="n">
        <v>0.125</v>
      </c>
      <c r="AS590" t="n">
        <v>0.211</v>
      </c>
      <c r="AT590" t="n">
        <v>0.333</v>
      </c>
      <c r="AU590" t="n">
        <v>22</v>
      </c>
      <c r="AV590" t="n">
        <v>0</v>
      </c>
      <c r="AW590" t="n">
        <v>1.58</v>
      </c>
      <c r="AX590" t="n">
        <v>7</v>
      </c>
      <c r="AZ590" t="n">
        <v>2.517</v>
      </c>
      <c r="BA590" t="n">
        <v>2.517</v>
      </c>
      <c r="BB590" t="n">
        <v>2.517</v>
      </c>
      <c r="BD590" t="n">
        <v>0.267</v>
      </c>
      <c r="BE590" t="n">
        <v>0.267</v>
      </c>
      <c r="BF590" t="n">
        <v>1.7</v>
      </c>
      <c r="BG590" t="n">
        <v>0.18</v>
      </c>
      <c r="BH590" t="n">
        <v>1.005</v>
      </c>
      <c r="BI590" t="n">
        <v>5.33</v>
      </c>
      <c r="BJ590" t="n">
        <v>2.151</v>
      </c>
      <c r="BK590" t="n">
        <v>0.228</v>
      </c>
      <c r="BP590" t="n">
        <v>16</v>
      </c>
      <c r="BQ590" t="n">
        <v>6</v>
      </c>
      <c r="BR590" t="n">
        <v>3</v>
      </c>
      <c r="BS590" t="n">
        <v>42</v>
      </c>
      <c r="BT590" t="n">
        <v>4.452</v>
      </c>
      <c r="BV590" t="n">
        <v>1</v>
      </c>
      <c r="BX590" t="n">
        <v>0.61</v>
      </c>
      <c r="BY590" t="n">
        <v>0.61</v>
      </c>
      <c r="BZ590" t="n">
        <v>0.065</v>
      </c>
      <c r="CA590" t="n">
        <v>3.126</v>
      </c>
      <c r="CB590" t="n">
        <v>0.331</v>
      </c>
      <c r="CC590" t="n">
        <v>5</v>
      </c>
      <c r="CD590" t="n">
        <v>1</v>
      </c>
      <c r="CE590" t="n">
        <v>5</v>
      </c>
      <c r="CF590" t="n">
        <v>1</v>
      </c>
      <c r="CI590" t="n">
        <v>2.686</v>
      </c>
      <c r="CJ590" t="n">
        <v>1.026</v>
      </c>
      <c r="CN590" t="n">
        <v>3</v>
      </c>
      <c r="CO590" t="n">
        <v>3</v>
      </c>
      <c r="CP590" t="n">
        <v>9</v>
      </c>
      <c r="CR590" t="n">
        <v>65</v>
      </c>
      <c r="CS590" t="n">
        <v>35</v>
      </c>
      <c r="CT590" t="n">
        <v>0.6</v>
      </c>
      <c r="DH590" t="n">
        <v>14</v>
      </c>
      <c r="DI590" t="n">
        <v>16</v>
      </c>
      <c r="DL590" t="n">
        <v>8</v>
      </c>
      <c r="DM590" t="n">
        <v>20</v>
      </c>
      <c r="DN590" t="n">
        <v>6</v>
      </c>
      <c r="EF590" t="n">
        <v>53.1</v>
      </c>
      <c r="EG590" t="n">
        <v>20.2</v>
      </c>
      <c r="EH590" t="n">
        <v>169.8</v>
      </c>
      <c r="EI590" t="n">
        <v>337.4</v>
      </c>
      <c r="EJ590" t="n">
        <v>1392.4</v>
      </c>
      <c r="EK590" t="n">
        <v>271.6</v>
      </c>
    </row>
    <row r="591">
      <c r="A591" t="inlineStr">
        <is>
          <t>Ki-Jana Hoever</t>
        </is>
      </c>
      <c r="D591" t="inlineStr">
        <is>
          <t>DEF</t>
        </is>
      </c>
      <c r="F591" t="b">
        <v>0</v>
      </c>
      <c r="G591" t="b">
        <v>1</v>
      </c>
      <c r="L591" t="inlineStr">
        <is>
          <t>p441271</t>
        </is>
      </c>
      <c r="Q591" t="n">
        <v>428</v>
      </c>
      <c r="R591" t="n">
        <v>8</v>
      </c>
      <c r="T591" t="n">
        <v>4.756</v>
      </c>
      <c r="U591" t="n">
        <v>53.5</v>
      </c>
      <c r="AD591" t="n">
        <v>0</v>
      </c>
      <c r="AE591" t="n">
        <v>0</v>
      </c>
      <c r="AG591" t="n">
        <v>35</v>
      </c>
      <c r="AH591" t="n">
        <v>-3</v>
      </c>
      <c r="AI591" t="n">
        <v>10</v>
      </c>
      <c r="AN591" t="n">
        <v>1</v>
      </c>
      <c r="AO591" t="n">
        <v>2</v>
      </c>
      <c r="AP591" t="n">
        <v>0.167</v>
      </c>
      <c r="AQ591" t="n">
        <v>0.167</v>
      </c>
      <c r="AR591" t="n">
        <v>0</v>
      </c>
      <c r="AS591" t="n">
        <v>0.158</v>
      </c>
      <c r="AT591" t="n">
        <v>0.5</v>
      </c>
      <c r="AU591" t="n">
        <v>7</v>
      </c>
      <c r="AV591" t="n">
        <v>0</v>
      </c>
      <c r="AW591" t="n">
        <v>0.72</v>
      </c>
      <c r="AX591" t="n">
        <v>4</v>
      </c>
      <c r="AZ591" t="n">
        <v>0.008999999999999999</v>
      </c>
      <c r="BA591" t="n">
        <v>0.008999999999999999</v>
      </c>
      <c r="BB591" t="n">
        <v>0.008999999999999999</v>
      </c>
      <c r="BD591" t="n">
        <v>0.002</v>
      </c>
      <c r="BE591" t="n">
        <v>0.002</v>
      </c>
      <c r="BF591" t="n">
        <v>0</v>
      </c>
      <c r="BG591" t="n">
        <v>0</v>
      </c>
      <c r="BH591" t="n">
        <v>0.998</v>
      </c>
      <c r="BI591" t="n">
        <v>0.02</v>
      </c>
      <c r="BJ591" t="n">
        <v>0.02</v>
      </c>
      <c r="BK591" t="n">
        <v>0.004</v>
      </c>
      <c r="BP591" t="n">
        <v>1</v>
      </c>
      <c r="BQ591" t="n">
        <v>1</v>
      </c>
      <c r="BS591" t="n">
        <v>3</v>
      </c>
      <c r="BT591" t="n">
        <v>0.631</v>
      </c>
      <c r="BX591" t="n">
        <v>0.339</v>
      </c>
      <c r="BY591" t="n">
        <v>0.339</v>
      </c>
      <c r="BZ591" t="n">
        <v>0.07099999999999999</v>
      </c>
      <c r="CA591" t="n">
        <v>0.348</v>
      </c>
      <c r="CB591" t="n">
        <v>0.073</v>
      </c>
      <c r="CC591" t="n">
        <v>5</v>
      </c>
      <c r="CD591" t="n">
        <v>2</v>
      </c>
      <c r="CE591" t="n">
        <v>5</v>
      </c>
      <c r="CF591" t="n">
        <v>7</v>
      </c>
      <c r="CI591" t="n">
        <v>1.378</v>
      </c>
      <c r="CJ591" t="n">
        <v>1.03</v>
      </c>
      <c r="CN591" t="n">
        <v>11</v>
      </c>
      <c r="CO591" t="n">
        <v>6</v>
      </c>
      <c r="CP591" t="n">
        <v>20</v>
      </c>
      <c r="CQ591" t="n">
        <v>1</v>
      </c>
      <c r="CR591" t="n">
        <v>27</v>
      </c>
      <c r="CS591" t="n">
        <v>6</v>
      </c>
      <c r="DH591" t="n">
        <v>3</v>
      </c>
      <c r="DI591" t="n">
        <v>3</v>
      </c>
      <c r="DL591" t="n">
        <v>5</v>
      </c>
      <c r="DM591" t="n">
        <v>3</v>
      </c>
      <c r="DN591" t="n">
        <v>1</v>
      </c>
      <c r="EF591" t="n">
        <v>428</v>
      </c>
      <c r="EG591" t="n">
        <v>142.7</v>
      </c>
      <c r="EH591" t="n">
        <v>85.59999999999999</v>
      </c>
      <c r="EI591" t="n">
        <v>46359.8</v>
      </c>
      <c r="EJ591" t="n">
        <v>1263.4</v>
      </c>
      <c r="EK591" t="n">
        <v>1229.9</v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n">
        <v>5.5</v>
      </c>
      <c r="F592" t="b">
        <v>1</v>
      </c>
      <c r="G592" t="b">
        <v>0</v>
      </c>
      <c r="H592" t="n">
        <v>28.8</v>
      </c>
      <c r="I592" t="inlineStr">
        <is>
          <t>a</t>
        </is>
      </c>
      <c r="M592" t="n">
        <v>562</v>
      </c>
      <c r="DO592" t="n">
        <v>0.5</v>
      </c>
      <c r="DP592" t="n">
        <v>112.72</v>
      </c>
      <c r="DQ592" t="n">
        <v>56.36</v>
      </c>
      <c r="DR592" t="n">
        <v>112.72</v>
      </c>
      <c r="DS592" t="n">
        <v>0</v>
      </c>
      <c r="DT592" t="n">
        <v>2502</v>
      </c>
      <c r="DU592" t="n">
        <v>65.84999999999999</v>
      </c>
      <c r="DV592" t="inlineStr">
        <is>
          <t>flat</t>
        </is>
      </c>
      <c r="DW592" t="n">
        <v>87.88</v>
      </c>
      <c r="DX592" t="n">
        <v>81</v>
      </c>
      <c r="DY592" t="n">
        <v>14.7</v>
      </c>
      <c r="DZ592" t="n">
        <v>70</v>
      </c>
      <c r="EA592" t="n">
        <v>111</v>
      </c>
      <c r="EB592" t="n">
        <v>9</v>
      </c>
      <c r="EC592" t="n">
        <v>4.3</v>
      </c>
      <c r="ED592" t="n">
        <v>10</v>
      </c>
      <c r="EE592" t="n">
        <v>213</v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n">
        <v>5.5</v>
      </c>
      <c r="F593" t="b">
        <v>1</v>
      </c>
      <c r="G593" t="b">
        <v>0</v>
      </c>
      <c r="H593" t="n">
        <v>25.7</v>
      </c>
      <c r="I593" t="inlineStr">
        <is>
          <t>a</t>
        </is>
      </c>
      <c r="M593" t="n">
        <v>313</v>
      </c>
      <c r="N593" t="n">
        <v>1</v>
      </c>
      <c r="O593" t="n">
        <v>3</v>
      </c>
      <c r="P593" t="n">
        <v>3</v>
      </c>
      <c r="DO593" t="n">
        <v>0.3</v>
      </c>
      <c r="DP593" t="n">
        <v>62.43</v>
      </c>
      <c r="DQ593" t="n">
        <v>31.23</v>
      </c>
      <c r="DR593" t="n">
        <v>62.46</v>
      </c>
      <c r="DS593" t="n">
        <v>-0.03</v>
      </c>
      <c r="DT593" t="n">
        <v>1060</v>
      </c>
      <c r="DU593" t="n">
        <v>27.9</v>
      </c>
      <c r="DV593" t="inlineStr">
        <is>
          <t>flat</t>
        </is>
      </c>
      <c r="DW593" t="n">
        <v>87</v>
      </c>
      <c r="DX593" t="n">
        <v>94</v>
      </c>
      <c r="DY593" t="n">
        <v>9.9</v>
      </c>
      <c r="DZ593" t="n">
        <v>80</v>
      </c>
      <c r="EA593" t="n">
        <v>94</v>
      </c>
      <c r="EB593" t="n">
        <v>2</v>
      </c>
      <c r="EC593" t="n">
        <v>1</v>
      </c>
      <c r="ED593" t="n">
        <v>0</v>
      </c>
      <c r="EE593" t="n">
        <v>210</v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n">
        <v>4</v>
      </c>
      <c r="F594" t="b">
        <v>1</v>
      </c>
      <c r="G594" t="b">
        <v>0</v>
      </c>
      <c r="H594" t="n">
        <v>23.5</v>
      </c>
      <c r="I594" t="inlineStr">
        <is>
          <t>a</t>
        </is>
      </c>
      <c r="M594" t="n">
        <v>276</v>
      </c>
      <c r="DO594" t="n">
        <v>0.2</v>
      </c>
      <c r="DP594" t="n">
        <v>0</v>
      </c>
      <c r="DQ594" t="n">
        <v>0</v>
      </c>
      <c r="DR594" t="n">
        <v>0</v>
      </c>
      <c r="DS594" t="n">
        <v>0</v>
      </c>
      <c r="DT594" t="n">
        <v>0</v>
      </c>
      <c r="DU594" t="n">
        <v>0</v>
      </c>
      <c r="DV594" t="inlineStr">
        <is>
          <t>flat</t>
        </is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n">
        <v>5</v>
      </c>
      <c r="F595" t="b">
        <v>1</v>
      </c>
      <c r="G595" t="b">
        <v>0</v>
      </c>
      <c r="H595" t="n">
        <v>31.3</v>
      </c>
      <c r="I595" t="inlineStr">
        <is>
          <t>a</t>
        </is>
      </c>
      <c r="M595" t="n">
        <v>563</v>
      </c>
      <c r="DO595" t="n">
        <v>0.1</v>
      </c>
      <c r="DP595" t="n">
        <v>86.53</v>
      </c>
      <c r="DQ595" t="n">
        <v>41.28</v>
      </c>
      <c r="DR595" t="n">
        <v>82.56</v>
      </c>
      <c r="DS595" t="n">
        <v>3.97</v>
      </c>
      <c r="DT595" t="n">
        <v>2525</v>
      </c>
      <c r="DU595" t="n">
        <v>66.45</v>
      </c>
      <c r="DV595" t="inlineStr">
        <is>
          <t>flat</t>
        </is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n">
        <v>5.5</v>
      </c>
      <c r="F596" t="b">
        <v>1</v>
      </c>
      <c r="G596" t="b">
        <v>0</v>
      </c>
      <c r="H596" t="n">
        <v>27.5</v>
      </c>
      <c r="I596" t="inlineStr">
        <is>
          <t>a</t>
        </is>
      </c>
      <c r="M596" t="n">
        <v>579</v>
      </c>
      <c r="DO596" t="n">
        <v>0.7</v>
      </c>
      <c r="DP596" t="n">
        <v>89.81</v>
      </c>
      <c r="DQ596" t="n">
        <v>45.9</v>
      </c>
      <c r="DR596" t="n">
        <v>91.8</v>
      </c>
      <c r="DS596" t="n">
        <v>-1.99</v>
      </c>
      <c r="DT596" t="n">
        <v>1984</v>
      </c>
      <c r="DU596" t="n">
        <v>52.2</v>
      </c>
      <c r="DV596" t="inlineStr">
        <is>
          <t>flat</t>
        </is>
      </c>
      <c r="DW596" t="n">
        <v>81.31999999999999</v>
      </c>
      <c r="DX596" t="n">
        <v>88</v>
      </c>
      <c r="DY596" t="n">
        <v>20.62</v>
      </c>
      <c r="DZ596" t="n">
        <v>46.4</v>
      </c>
      <c r="EA596" t="n">
        <v>112</v>
      </c>
      <c r="EB596" t="n">
        <v>31</v>
      </c>
      <c r="EC596" t="n">
        <v>14.9</v>
      </c>
      <c r="ED596" t="n">
        <v>6.1</v>
      </c>
      <c r="EE596" t="n">
        <v>219</v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n">
        <v>4</v>
      </c>
      <c r="F597" t="b">
        <v>1</v>
      </c>
      <c r="G597" t="b">
        <v>0</v>
      </c>
      <c r="H597" t="n">
        <v>25.2</v>
      </c>
      <c r="I597" t="inlineStr">
        <is>
          <t>d</t>
        </is>
      </c>
      <c r="J597" t="inlineStr">
        <is>
          <t>Hip injury - 75% chance of playing</t>
        </is>
      </c>
      <c r="K597" t="n">
        <v>75</v>
      </c>
      <c r="M597" t="n">
        <v>283</v>
      </c>
      <c r="DO597" t="n">
        <v>0</v>
      </c>
      <c r="DP597" t="n">
        <v>7.46</v>
      </c>
      <c r="DQ597" t="n">
        <v>3.7</v>
      </c>
      <c r="DR597" t="n">
        <v>7.4</v>
      </c>
      <c r="DS597" t="n">
        <v>0.06</v>
      </c>
      <c r="DT597" t="n">
        <v>38</v>
      </c>
      <c r="DU597" t="n">
        <v>1</v>
      </c>
      <c r="DV597" t="inlineStr">
        <is>
          <t>flat</t>
        </is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n">
        <v>4</v>
      </c>
      <c r="F598" t="b">
        <v>1</v>
      </c>
      <c r="G598" t="b">
        <v>0</v>
      </c>
      <c r="H598" t="n">
        <v>25.9</v>
      </c>
      <c r="I598" t="inlineStr">
        <is>
          <t>a</t>
        </is>
      </c>
      <c r="M598" t="n">
        <v>306</v>
      </c>
      <c r="DO598" t="n">
        <v>0.7</v>
      </c>
      <c r="DP598" t="n">
        <v>57.86</v>
      </c>
      <c r="DQ598" t="n">
        <v>28.93</v>
      </c>
      <c r="DR598" t="n">
        <v>57.86</v>
      </c>
      <c r="DS598" t="n">
        <v>0</v>
      </c>
      <c r="DT598" t="n">
        <v>1533</v>
      </c>
      <c r="DU598" t="n">
        <v>40.35</v>
      </c>
      <c r="DV598" t="inlineStr">
        <is>
          <t>flat</t>
        </is>
      </c>
    </row>
    <row r="599">
      <c r="A599" t="inlineStr">
        <is>
          <t>Crysencio Summerville</t>
        </is>
      </c>
      <c r="D599" t="inlineStr">
        <is>
          <t>MID</t>
        </is>
      </c>
      <c r="F599" t="b">
        <v>0</v>
      </c>
      <c r="G599" t="b">
        <v>1</v>
      </c>
      <c r="L599" t="inlineStr">
        <is>
          <t>p450070</t>
        </is>
      </c>
      <c r="Q599" t="n">
        <v>2480</v>
      </c>
      <c r="R599" t="n">
        <v>31</v>
      </c>
      <c r="T599" t="n">
        <v>27.556</v>
      </c>
      <c r="U599" t="n">
        <v>80</v>
      </c>
      <c r="Z599" t="n">
        <v>2</v>
      </c>
      <c r="AD599" t="n">
        <v>9</v>
      </c>
      <c r="AE599" t="n">
        <v>-1</v>
      </c>
      <c r="AG599" t="n">
        <v>402</v>
      </c>
      <c r="AH599" t="n">
        <v>-10</v>
      </c>
      <c r="AI599" t="n">
        <v>109</v>
      </c>
      <c r="AN599" t="n">
        <v>1</v>
      </c>
      <c r="AO599" t="n">
        <v>2</v>
      </c>
      <c r="AP599" t="n">
        <v>0.034</v>
      </c>
      <c r="AQ599" t="n">
        <v>0.207</v>
      </c>
      <c r="AR599" t="n">
        <v>0.034</v>
      </c>
      <c r="AS599" t="n">
        <v>0.763</v>
      </c>
      <c r="AT599" t="n">
        <v>0.903</v>
      </c>
      <c r="AU599" t="n">
        <v>17</v>
      </c>
      <c r="AV599" t="n">
        <v>3</v>
      </c>
      <c r="AW599" t="n">
        <v>3.08</v>
      </c>
      <c r="AX599" t="n">
        <v>11</v>
      </c>
      <c r="AZ599" t="n">
        <v>5.699</v>
      </c>
      <c r="BA599" t="n">
        <v>5.699</v>
      </c>
      <c r="BB599" t="n">
        <v>5.699</v>
      </c>
      <c r="BD599" t="n">
        <v>0.207</v>
      </c>
      <c r="BE599" t="n">
        <v>0.207</v>
      </c>
      <c r="BF599" t="n">
        <v>4.5</v>
      </c>
      <c r="BG599" t="n">
        <v>0.163</v>
      </c>
      <c r="BH599" t="n">
        <v>1.03</v>
      </c>
      <c r="BI599" t="n">
        <v>9.869999999999999</v>
      </c>
      <c r="BJ599" t="n">
        <v>5.591</v>
      </c>
      <c r="BK599" t="n">
        <v>0.203</v>
      </c>
      <c r="BP599" t="n">
        <v>54</v>
      </c>
      <c r="BQ599" t="n">
        <v>15</v>
      </c>
      <c r="BR599" t="n">
        <v>7</v>
      </c>
      <c r="BS599" t="n">
        <v>116</v>
      </c>
      <c r="BT599" t="n">
        <v>4.21</v>
      </c>
      <c r="BV599" t="n">
        <v>1</v>
      </c>
      <c r="BX599" t="n">
        <v>3.236</v>
      </c>
      <c r="BY599" t="n">
        <v>3.236</v>
      </c>
      <c r="BZ599" t="n">
        <v>0.117</v>
      </c>
      <c r="CA599" t="n">
        <v>8.935</v>
      </c>
      <c r="CB599" t="n">
        <v>0.324</v>
      </c>
      <c r="CC599" t="n">
        <v>28</v>
      </c>
      <c r="CD599" t="n">
        <v>4</v>
      </c>
      <c r="CE599" t="n">
        <v>28</v>
      </c>
      <c r="CF599" t="n">
        <v>14</v>
      </c>
      <c r="CG599" t="n">
        <v>1</v>
      </c>
      <c r="CH599" t="n">
        <v>30</v>
      </c>
      <c r="CI599" t="n">
        <v>11.091</v>
      </c>
      <c r="CJ599" t="n">
        <v>3.963</v>
      </c>
      <c r="CN599" t="n">
        <v>25</v>
      </c>
      <c r="CO599" t="n">
        <v>16</v>
      </c>
      <c r="CP599" t="n">
        <v>30</v>
      </c>
      <c r="CQ599" t="n">
        <v>4</v>
      </c>
      <c r="CR599" t="n">
        <v>170</v>
      </c>
      <c r="CS599" t="n">
        <v>7</v>
      </c>
      <c r="CT599" t="n">
        <v>0.5</v>
      </c>
      <c r="CV599" t="n">
        <v>1</v>
      </c>
      <c r="DE599" t="n">
        <v>7.04</v>
      </c>
      <c r="DH599" t="n">
        <v>49</v>
      </c>
      <c r="DI599" t="n">
        <v>67</v>
      </c>
      <c r="DJ599" t="n">
        <v>1</v>
      </c>
      <c r="DL599" t="n">
        <v>51</v>
      </c>
      <c r="DM599" t="n">
        <v>39</v>
      </c>
      <c r="DN599" t="n">
        <v>6</v>
      </c>
      <c r="EF599" t="n">
        <v>45.9</v>
      </c>
      <c r="EG599" t="n">
        <v>21.4</v>
      </c>
      <c r="EH599" t="n">
        <v>88.59999999999999</v>
      </c>
      <c r="EI599" t="n">
        <v>435.2</v>
      </c>
      <c r="EJ599" t="n">
        <v>766.4</v>
      </c>
      <c r="EK599" t="n">
        <v>277.6</v>
      </c>
    </row>
    <row r="600">
      <c r="A600" t="inlineStr">
        <is>
          <t>Myles Peart-Harris</t>
        </is>
      </c>
      <c r="D600" t="inlineStr">
        <is>
          <t>MID</t>
        </is>
      </c>
      <c r="F600" t="b">
        <v>0</v>
      </c>
      <c r="G600" t="b">
        <v>1</v>
      </c>
      <c r="L600" t="inlineStr">
        <is>
          <t>p450539</t>
        </is>
      </c>
      <c r="Q600" t="n">
        <v>1</v>
      </c>
      <c r="R600" t="n">
        <v>1</v>
      </c>
      <c r="T600" t="n">
        <v>0.011</v>
      </c>
      <c r="U600" t="n">
        <v>1</v>
      </c>
      <c r="AD600" t="n">
        <v>0</v>
      </c>
      <c r="AE600" t="n">
        <v>0</v>
      </c>
      <c r="AG600" t="n">
        <v>2</v>
      </c>
      <c r="AH600" t="n">
        <v>0</v>
      </c>
      <c r="AI600" t="n">
        <v>1</v>
      </c>
      <c r="AN600" t="n">
        <v>0</v>
      </c>
      <c r="AO600" t="n">
        <v>0</v>
      </c>
      <c r="AS600" t="n">
        <v>0</v>
      </c>
      <c r="AT600" t="n">
        <v>0</v>
      </c>
      <c r="AU600" t="n">
        <v>1</v>
      </c>
      <c r="AV600" t="n">
        <v>0</v>
      </c>
      <c r="AW600" t="n">
        <v>0.16</v>
      </c>
      <c r="AX600" t="n">
        <v>1</v>
      </c>
      <c r="AZ600" t="n">
        <v>0</v>
      </c>
      <c r="BA600" t="n">
        <v>0</v>
      </c>
      <c r="BB600" t="n">
        <v>0</v>
      </c>
      <c r="BD600" t="n">
        <v>0</v>
      </c>
      <c r="BE600" t="n">
        <v>0</v>
      </c>
      <c r="BH600" t="n">
        <v>1</v>
      </c>
      <c r="BI600" t="n">
        <v>0</v>
      </c>
      <c r="BJ600" t="n">
        <v>0</v>
      </c>
      <c r="BK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I600" t="n">
        <v>0</v>
      </c>
      <c r="CJ600" t="n">
        <v>0</v>
      </c>
      <c r="DH600" t="n">
        <v>1</v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n">
        <v>4</v>
      </c>
      <c r="F601" t="b">
        <v>1</v>
      </c>
      <c r="G601" t="b">
        <v>0</v>
      </c>
      <c r="H601" t="n">
        <v>25.9</v>
      </c>
      <c r="I601" t="inlineStr">
        <is>
          <t>a</t>
        </is>
      </c>
      <c r="M601" t="n">
        <v>175</v>
      </c>
      <c r="DO601" t="n">
        <v>15.4</v>
      </c>
      <c r="DP601" t="n">
        <v>106.68</v>
      </c>
      <c r="DQ601" t="n">
        <v>53.34</v>
      </c>
      <c r="DR601" t="n">
        <v>106.68</v>
      </c>
      <c r="DS601" t="n">
        <v>0</v>
      </c>
      <c r="DT601" t="n">
        <v>3342</v>
      </c>
      <c r="DU601" t="n">
        <v>87.95999999999999</v>
      </c>
      <c r="DV601" t="inlineStr">
        <is>
          <t>flat</t>
        </is>
      </c>
      <c r="DW601" t="n">
        <v>102.66</v>
      </c>
      <c r="DX601" t="n">
        <v>96.75</v>
      </c>
      <c r="DY601" t="n">
        <v>12.61</v>
      </c>
      <c r="DZ601" t="n">
        <v>78.40000000000001</v>
      </c>
      <c r="EA601" t="n">
        <v>117.6</v>
      </c>
      <c r="EB601" t="n">
        <v>17</v>
      </c>
      <c r="EC601" t="n">
        <v>8.199999999999999</v>
      </c>
      <c r="ED601" t="n">
        <v>15</v>
      </c>
      <c r="EE601" t="n">
        <v>540</v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n">
        <v>4.5</v>
      </c>
      <c r="F602" t="b">
        <v>1</v>
      </c>
      <c r="G602" t="b">
        <v>0</v>
      </c>
      <c r="H602" t="n">
        <v>26.4</v>
      </c>
      <c r="I602" t="inlineStr">
        <is>
          <t>a</t>
        </is>
      </c>
      <c r="M602" t="n">
        <v>119</v>
      </c>
      <c r="DO602" t="n">
        <v>0</v>
      </c>
      <c r="DP602" t="n">
        <v>28.36</v>
      </c>
      <c r="DQ602" t="n">
        <v>14.17</v>
      </c>
      <c r="DR602" t="n">
        <v>28.34</v>
      </c>
      <c r="DS602" t="n">
        <v>0.02</v>
      </c>
      <c r="DT602" t="n">
        <v>346</v>
      </c>
      <c r="DU602" t="n">
        <v>9.109999999999999</v>
      </c>
      <c r="DV602" t="inlineStr">
        <is>
          <t>flat</t>
        </is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n">
        <v>5</v>
      </c>
      <c r="F603" t="b">
        <v>1</v>
      </c>
      <c r="G603" t="b">
        <v>0</v>
      </c>
      <c r="H603" t="n">
        <v>27.8</v>
      </c>
      <c r="I603" t="inlineStr">
        <is>
          <t>a</t>
        </is>
      </c>
      <c r="M603" t="n">
        <v>120</v>
      </c>
      <c r="DO603" t="n">
        <v>0.1</v>
      </c>
      <c r="DP603" t="n">
        <v>17.3</v>
      </c>
      <c r="DQ603" t="n">
        <v>8.69</v>
      </c>
      <c r="DR603" t="n">
        <v>17.38</v>
      </c>
      <c r="DS603" t="n">
        <v>-0.08</v>
      </c>
      <c r="DT603" t="n">
        <v>148</v>
      </c>
      <c r="DU603" t="n">
        <v>3.89</v>
      </c>
      <c r="DV603" t="inlineStr">
        <is>
          <t>flat</t>
        </is>
      </c>
      <c r="DW603" t="n">
        <v>116.92</v>
      </c>
      <c r="DZ603" t="n">
        <v>116.92</v>
      </c>
      <c r="EA603" t="n">
        <v>116.92</v>
      </c>
      <c r="EB603" t="n">
        <v>1</v>
      </c>
      <c r="EC603" t="n">
        <v>0.5</v>
      </c>
      <c r="ED603" t="n">
        <v>50</v>
      </c>
      <c r="EE603" t="n">
        <v>336</v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n">
        <v>4</v>
      </c>
      <c r="F604" t="b">
        <v>1</v>
      </c>
      <c r="G604" t="b">
        <v>0</v>
      </c>
      <c r="H604" t="n">
        <v>26.6</v>
      </c>
      <c r="I604" t="inlineStr">
        <is>
          <t>a</t>
        </is>
      </c>
      <c r="M604" t="n">
        <v>305</v>
      </c>
      <c r="O604" t="n">
        <v>2</v>
      </c>
      <c r="P604" t="n">
        <v>2</v>
      </c>
      <c r="DO604" t="n">
        <v>5</v>
      </c>
      <c r="DP604" t="n">
        <v>100.42</v>
      </c>
      <c r="DQ604" t="n">
        <v>50.21</v>
      </c>
      <c r="DR604" t="n">
        <v>100.42</v>
      </c>
      <c r="DS604" t="n">
        <v>0</v>
      </c>
      <c r="DT604" t="n">
        <v>3186</v>
      </c>
      <c r="DU604" t="n">
        <v>83.84999999999999</v>
      </c>
      <c r="DV604" t="inlineStr">
        <is>
          <t>flat</t>
        </is>
      </c>
      <c r="DW604" t="n">
        <v>95.95</v>
      </c>
      <c r="DX604" t="n">
        <v>108.5</v>
      </c>
      <c r="DY604" t="n">
        <v>14.11</v>
      </c>
      <c r="DZ604" t="n">
        <v>72.56999999999999</v>
      </c>
      <c r="EA604" t="n">
        <v>114.91</v>
      </c>
      <c r="EB604" t="n">
        <v>11</v>
      </c>
      <c r="EC604" t="n">
        <v>5.3</v>
      </c>
      <c r="ED604" t="n">
        <v>0</v>
      </c>
      <c r="EE604" t="n">
        <v>567</v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n">
        <v>4</v>
      </c>
      <c r="F605" t="b">
        <v>1</v>
      </c>
      <c r="G605" t="b">
        <v>0</v>
      </c>
      <c r="H605" t="n">
        <v>25.6</v>
      </c>
      <c r="I605" t="inlineStr">
        <is>
          <t>a</t>
        </is>
      </c>
      <c r="M605" t="n">
        <v>173</v>
      </c>
      <c r="DO605" t="n">
        <v>8.199999999999999</v>
      </c>
      <c r="DP605" t="n">
        <v>116.02</v>
      </c>
      <c r="DQ605" t="n">
        <v>58.01</v>
      </c>
      <c r="DR605" t="n">
        <v>116.02</v>
      </c>
      <c r="DS605" t="n">
        <v>0</v>
      </c>
      <c r="DT605" t="n">
        <v>3135</v>
      </c>
      <c r="DU605" t="n">
        <v>82.5</v>
      </c>
      <c r="DV605" t="inlineStr">
        <is>
          <t>flat</t>
        </is>
      </c>
      <c r="DW605" t="n">
        <v>105.6</v>
      </c>
      <c r="DZ605" t="n">
        <v>105.6</v>
      </c>
      <c r="EA605" t="n">
        <v>105.6</v>
      </c>
      <c r="EB605" t="n">
        <v>1</v>
      </c>
      <c r="EC605" t="n">
        <v>0.5</v>
      </c>
      <c r="ED605" t="n">
        <v>66.7</v>
      </c>
      <c r="EE605" t="n">
        <v>538</v>
      </c>
    </row>
    <row r="606">
      <c r="A606" t="inlineStr">
        <is>
          <t>Bashir Humphreys</t>
        </is>
      </c>
      <c r="D606" t="inlineStr">
        <is>
          <t>DEF</t>
        </is>
      </c>
      <c r="F606" t="b">
        <v>0</v>
      </c>
      <c r="G606" t="b">
        <v>1</v>
      </c>
      <c r="L606" t="inlineStr">
        <is>
          <t>p461188</t>
        </is>
      </c>
      <c r="Q606" t="n">
        <v>1578</v>
      </c>
      <c r="R606" t="n">
        <v>20</v>
      </c>
      <c r="T606" t="n">
        <v>17.533</v>
      </c>
      <c r="U606" t="n">
        <v>78.90000000000001</v>
      </c>
      <c r="AD606" t="n">
        <v>0</v>
      </c>
      <c r="AE606" t="n">
        <v>-1</v>
      </c>
      <c r="AG606" t="n">
        <v>189</v>
      </c>
      <c r="AH606" t="n">
        <v>-21</v>
      </c>
      <c r="AI606" t="n">
        <v>46</v>
      </c>
      <c r="AN606" t="n">
        <v>6</v>
      </c>
      <c r="AO606" t="n">
        <v>12</v>
      </c>
      <c r="AP606" t="n">
        <v>0.353</v>
      </c>
      <c r="AQ606" t="n">
        <v>0.353</v>
      </c>
      <c r="AR606" t="n">
        <v>0.059</v>
      </c>
      <c r="AS606" t="n">
        <v>0.447</v>
      </c>
      <c r="AT606" t="n">
        <v>0.9</v>
      </c>
      <c r="AU606" t="n">
        <v>14</v>
      </c>
      <c r="AV606" t="n">
        <v>0</v>
      </c>
      <c r="AW606" t="n">
        <v>1.99</v>
      </c>
      <c r="AX606" t="n">
        <v>8</v>
      </c>
      <c r="AZ606" t="n">
        <v>0.526</v>
      </c>
      <c r="BA606" t="n">
        <v>0.526</v>
      </c>
      <c r="BB606" t="n">
        <v>0.526</v>
      </c>
      <c r="BD606" t="n">
        <v>0.03</v>
      </c>
      <c r="BE606" t="n">
        <v>0.03</v>
      </c>
      <c r="BF606" t="n">
        <v>0.6</v>
      </c>
      <c r="BG606" t="n">
        <v>0.034</v>
      </c>
      <c r="BH606" t="n">
        <v>1.021</v>
      </c>
      <c r="BI606" t="n">
        <v>0.42</v>
      </c>
      <c r="BJ606" t="n">
        <v>0.429</v>
      </c>
      <c r="BK606" t="n">
        <v>0.024</v>
      </c>
      <c r="BP606" t="n">
        <v>9</v>
      </c>
      <c r="BQ606" t="n">
        <v>3</v>
      </c>
      <c r="BR606" t="n">
        <v>1</v>
      </c>
      <c r="BS606" t="n">
        <v>24</v>
      </c>
      <c r="BT606" t="n">
        <v>1.369</v>
      </c>
      <c r="BX606" t="n">
        <v>0.864</v>
      </c>
      <c r="BY606" t="n">
        <v>0.864</v>
      </c>
      <c r="BZ606" t="n">
        <v>0.049</v>
      </c>
      <c r="CA606" t="n">
        <v>1.391</v>
      </c>
      <c r="CB606" t="n">
        <v>0.079</v>
      </c>
      <c r="CC606" t="n">
        <v>9</v>
      </c>
      <c r="CD606" t="n">
        <v>1</v>
      </c>
      <c r="CE606" t="n">
        <v>9</v>
      </c>
      <c r="CF606" t="n">
        <v>3</v>
      </c>
      <c r="CI606" t="n">
        <v>3.338</v>
      </c>
      <c r="CJ606" t="n">
        <v>2.934</v>
      </c>
      <c r="CN606" t="n">
        <v>18</v>
      </c>
      <c r="CO606" t="n">
        <v>11</v>
      </c>
      <c r="CP606" t="n">
        <v>84</v>
      </c>
      <c r="CQ606" t="n">
        <v>19</v>
      </c>
      <c r="CR606" t="n">
        <v>69</v>
      </c>
      <c r="CS606" t="n">
        <v>26</v>
      </c>
      <c r="CT606" t="n">
        <v>0.1</v>
      </c>
      <c r="CV606" t="n">
        <v>2</v>
      </c>
      <c r="DH606" t="n">
        <v>14</v>
      </c>
      <c r="DI606" t="n">
        <v>10</v>
      </c>
      <c r="DL606" t="n">
        <v>6</v>
      </c>
      <c r="DM606" t="n">
        <v>6</v>
      </c>
      <c r="DN606" t="n">
        <v>2</v>
      </c>
      <c r="EF606" t="n">
        <v>175.3</v>
      </c>
      <c r="EG606" t="n">
        <v>65.8</v>
      </c>
      <c r="EH606" t="n">
        <v>175.3</v>
      </c>
      <c r="EI606" t="n">
        <v>2999.2</v>
      </c>
      <c r="EJ606" t="n">
        <v>1825.5</v>
      </c>
      <c r="EK606" t="n">
        <v>1134.8</v>
      </c>
    </row>
    <row r="607">
      <c r="A607" t="inlineStr">
        <is>
          <t>Dennis Cirkin</t>
        </is>
      </c>
      <c r="D607" t="inlineStr">
        <is>
          <t>DEF</t>
        </is>
      </c>
      <c r="F607" t="b">
        <v>0</v>
      </c>
      <c r="G607" t="b">
        <v>1</v>
      </c>
      <c r="L607" t="inlineStr">
        <is>
          <t>p461195</t>
        </is>
      </c>
      <c r="Q607" t="n">
        <v>320</v>
      </c>
      <c r="R607" t="n">
        <v>8</v>
      </c>
      <c r="T607" t="n">
        <v>3.556</v>
      </c>
      <c r="U607" t="n">
        <v>40</v>
      </c>
      <c r="AD607" t="n">
        <v>0</v>
      </c>
      <c r="AE607" t="n">
        <v>0</v>
      </c>
      <c r="AG607" t="n">
        <v>37</v>
      </c>
      <c r="AH607" t="n">
        <v>-6</v>
      </c>
      <c r="AI607" t="n">
        <v>14</v>
      </c>
      <c r="AN607" t="n">
        <v>1</v>
      </c>
      <c r="AO607" t="n">
        <v>2</v>
      </c>
      <c r="AP607" t="n">
        <v>0.333</v>
      </c>
      <c r="AQ607" t="n">
        <v>0.333</v>
      </c>
      <c r="AR607" t="n">
        <v>0</v>
      </c>
      <c r="AS607" t="n">
        <v>0.079</v>
      </c>
      <c r="AT607" t="n">
        <v>0.25</v>
      </c>
      <c r="AU607" t="n">
        <v>7</v>
      </c>
      <c r="AV607" t="n">
        <v>0</v>
      </c>
      <c r="AW607" t="n">
        <v>1.34</v>
      </c>
      <c r="AX607" t="n">
        <v>8</v>
      </c>
      <c r="AZ607" t="n">
        <v>0.066</v>
      </c>
      <c r="BA607" t="n">
        <v>0.066</v>
      </c>
      <c r="BB607" t="n">
        <v>0.066</v>
      </c>
      <c r="BD607" t="n">
        <v>0.019</v>
      </c>
      <c r="BE607" t="n">
        <v>0.019</v>
      </c>
      <c r="BH607" t="n">
        <v>0.99</v>
      </c>
      <c r="BI607" t="n">
        <v>0.08</v>
      </c>
      <c r="BJ607" t="n">
        <v>0.079</v>
      </c>
      <c r="BK607" t="n">
        <v>0.022</v>
      </c>
      <c r="BP607" t="n">
        <v>1</v>
      </c>
      <c r="BS607" t="n">
        <v>4</v>
      </c>
      <c r="BT607" t="n">
        <v>1.125</v>
      </c>
      <c r="BX607" t="n">
        <v>0</v>
      </c>
      <c r="BY607" t="n">
        <v>0</v>
      </c>
      <c r="BZ607" t="n">
        <v>0</v>
      </c>
      <c r="CA607" t="n">
        <v>0.066</v>
      </c>
      <c r="CB607" t="n">
        <v>0.019</v>
      </c>
      <c r="CC607" t="n">
        <v>0</v>
      </c>
      <c r="CF607" t="n">
        <v>1</v>
      </c>
      <c r="CI607" t="n">
        <v>0.603</v>
      </c>
      <c r="CJ607" t="n">
        <v>0.536</v>
      </c>
      <c r="CN607" t="n">
        <v>5</v>
      </c>
      <c r="CO607" t="n">
        <v>5</v>
      </c>
      <c r="CP607" t="n">
        <v>14</v>
      </c>
      <c r="CQ607" t="n">
        <v>1</v>
      </c>
      <c r="CR607" t="n">
        <v>18</v>
      </c>
      <c r="CS607" t="n">
        <v>5</v>
      </c>
      <c r="DH607" t="n">
        <v>4</v>
      </c>
      <c r="DI607" t="n">
        <v>2</v>
      </c>
      <c r="DL607" t="n">
        <v>3</v>
      </c>
      <c r="DM607" t="n">
        <v>5</v>
      </c>
      <c r="EF607" t="n">
        <v>320</v>
      </c>
      <c r="EG607" t="n">
        <v>80</v>
      </c>
      <c r="EI607" t="n">
        <v>4822.3</v>
      </c>
      <c r="EK607" t="n">
        <v>4822.3</v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n">
        <v>4.5</v>
      </c>
      <c r="F608" t="b">
        <v>1</v>
      </c>
      <c r="G608" t="b">
        <v>0</v>
      </c>
      <c r="H608" t="n">
        <v>24.7</v>
      </c>
      <c r="I608" t="inlineStr">
        <is>
          <t>a</t>
        </is>
      </c>
      <c r="M608" t="n">
        <v>323</v>
      </c>
      <c r="DO608" t="n">
        <v>1.5</v>
      </c>
      <c r="DP608" t="n">
        <v>0</v>
      </c>
      <c r="DQ608" t="n">
        <v>0</v>
      </c>
      <c r="DR608" t="n">
        <v>0</v>
      </c>
      <c r="DS608" t="n">
        <v>0</v>
      </c>
      <c r="DT608" t="n">
        <v>0</v>
      </c>
      <c r="DU608" t="n">
        <v>0</v>
      </c>
      <c r="DV608" t="inlineStr">
        <is>
          <t>flat</t>
        </is>
      </c>
    </row>
    <row r="609">
      <c r="A609" t="inlineStr">
        <is>
          <t>Jean-Clair Todibo</t>
        </is>
      </c>
      <c r="D609" t="inlineStr">
        <is>
          <t>DEF</t>
        </is>
      </c>
      <c r="F609" t="b">
        <v>0</v>
      </c>
      <c r="G609" t="b">
        <v>1</v>
      </c>
      <c r="L609" t="inlineStr">
        <is>
          <t>p462116</t>
        </is>
      </c>
      <c r="Q609" t="n">
        <v>1817</v>
      </c>
      <c r="R609" t="n">
        <v>23</v>
      </c>
      <c r="T609" t="n">
        <v>20.189</v>
      </c>
      <c r="U609" t="n">
        <v>79</v>
      </c>
      <c r="Z609" t="n">
        <v>1</v>
      </c>
      <c r="AD609" t="n">
        <v>1</v>
      </c>
      <c r="AE609" t="n">
        <v>0</v>
      </c>
      <c r="AG609" t="n">
        <v>136</v>
      </c>
      <c r="AH609" t="n">
        <v>-24</v>
      </c>
      <c r="AI609" t="n">
        <v>46</v>
      </c>
      <c r="AN609" t="n">
        <v>8</v>
      </c>
      <c r="AO609" t="n">
        <v>16</v>
      </c>
      <c r="AP609" t="n">
        <v>0.364</v>
      </c>
      <c r="AQ609" t="n">
        <v>0.364</v>
      </c>
      <c r="AR609" t="n">
        <v>0.091</v>
      </c>
      <c r="AS609" t="n">
        <v>0.579</v>
      </c>
      <c r="AT609" t="n">
        <v>0.826</v>
      </c>
      <c r="AU609" t="n">
        <v>17</v>
      </c>
      <c r="AV609" t="n">
        <v>0</v>
      </c>
      <c r="AW609" t="n">
        <v>1.92</v>
      </c>
      <c r="AX609" t="n">
        <v>9</v>
      </c>
      <c r="AZ609" t="n">
        <v>0.656</v>
      </c>
      <c r="BA609" t="n">
        <v>0.656</v>
      </c>
      <c r="BB609" t="n">
        <v>0.656</v>
      </c>
      <c r="BD609" t="n">
        <v>0.032</v>
      </c>
      <c r="BE609" t="n">
        <v>0.032</v>
      </c>
      <c r="BH609" t="n">
        <v>0.929</v>
      </c>
      <c r="BI609" t="n">
        <v>0.61</v>
      </c>
      <c r="BJ609" t="n">
        <v>0.232</v>
      </c>
      <c r="BK609" t="n">
        <v>0.011</v>
      </c>
      <c r="BP609" t="n">
        <v>2</v>
      </c>
      <c r="BR609" t="n">
        <v>1</v>
      </c>
      <c r="BS609" t="n">
        <v>9</v>
      </c>
      <c r="BT609" t="n">
        <v>0.446</v>
      </c>
      <c r="BX609" t="n">
        <v>0.38</v>
      </c>
      <c r="BY609" t="n">
        <v>0.38</v>
      </c>
      <c r="BZ609" t="n">
        <v>0.019</v>
      </c>
      <c r="CA609" t="n">
        <v>1.036</v>
      </c>
      <c r="CB609" t="n">
        <v>0.051</v>
      </c>
      <c r="CC609" t="n">
        <v>5</v>
      </c>
      <c r="CE609" t="n">
        <v>5</v>
      </c>
      <c r="CI609" t="n">
        <v>1.825</v>
      </c>
      <c r="CJ609" t="n">
        <v>1.6</v>
      </c>
      <c r="CN609" t="n">
        <v>24</v>
      </c>
      <c r="CO609" t="n">
        <v>17</v>
      </c>
      <c r="CP609" t="n">
        <v>98</v>
      </c>
      <c r="CQ609" t="n">
        <v>13</v>
      </c>
      <c r="CR609" t="n">
        <v>69</v>
      </c>
      <c r="CS609" t="n">
        <v>25</v>
      </c>
      <c r="CT609" t="n">
        <v>0</v>
      </c>
      <c r="CV609" t="n">
        <v>2</v>
      </c>
      <c r="DE609" t="n">
        <v>6.66</v>
      </c>
      <c r="DH609" t="n">
        <v>8</v>
      </c>
      <c r="DI609" t="n">
        <v>3</v>
      </c>
      <c r="DL609" t="n">
        <v>4</v>
      </c>
      <c r="DM609" t="n">
        <v>1</v>
      </c>
      <c r="DN609" t="n">
        <v>1</v>
      </c>
      <c r="EF609" t="n">
        <v>908.5</v>
      </c>
      <c r="EG609" t="n">
        <v>201.9</v>
      </c>
      <c r="EH609" t="n">
        <v>363.4</v>
      </c>
      <c r="EI609" t="n">
        <v>2769.8</v>
      </c>
      <c r="EJ609" t="n">
        <v>4782.1</v>
      </c>
      <c r="EK609" t="n">
        <v>1753.9</v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n">
        <v>5</v>
      </c>
      <c r="F610" t="b">
        <v>1</v>
      </c>
      <c r="G610" t="b">
        <v>0</v>
      </c>
      <c r="H610" t="n">
        <v>24.5</v>
      </c>
      <c r="I610" t="inlineStr">
        <is>
          <t>a</t>
        </is>
      </c>
      <c r="M610" t="n">
        <v>322</v>
      </c>
      <c r="DO610" t="n">
        <v>0.2</v>
      </c>
      <c r="DP610" t="n">
        <v>38.74</v>
      </c>
      <c r="DQ610" t="n">
        <v>19.37</v>
      </c>
      <c r="DR610" t="n">
        <v>38.74</v>
      </c>
      <c r="DS610" t="n">
        <v>0</v>
      </c>
      <c r="DT610" t="n">
        <v>38</v>
      </c>
      <c r="DU610" t="n">
        <v>1</v>
      </c>
      <c r="DV610" t="inlineStr">
        <is>
          <t>flat</t>
        </is>
      </c>
      <c r="DW610" t="n">
        <v>105.5</v>
      </c>
      <c r="DZ610" t="n">
        <v>105.5</v>
      </c>
      <c r="EA610" t="n">
        <v>105.5</v>
      </c>
      <c r="EB610" t="n">
        <v>1</v>
      </c>
      <c r="EC610" t="n">
        <v>0.5</v>
      </c>
      <c r="ED610" t="n">
        <v>0</v>
      </c>
      <c r="EE610" t="n">
        <v>363</v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n">
        <v>5</v>
      </c>
      <c r="F611" t="b">
        <v>1</v>
      </c>
      <c r="G611" t="b">
        <v>0</v>
      </c>
      <c r="H611" t="n">
        <v>22.8</v>
      </c>
      <c r="I611" t="inlineStr">
        <is>
          <t>a</t>
        </is>
      </c>
      <c r="M611" t="n">
        <v>580</v>
      </c>
      <c r="DO611" t="n">
        <v>0.1</v>
      </c>
      <c r="DP611" t="n">
        <v>52.5</v>
      </c>
      <c r="DQ611" t="n">
        <v>26.26</v>
      </c>
      <c r="DR611" t="n">
        <v>52.52</v>
      </c>
      <c r="DS611" t="n">
        <v>-0.02</v>
      </c>
      <c r="DT611" t="n">
        <v>1305</v>
      </c>
      <c r="DU611" t="n">
        <v>34.35</v>
      </c>
      <c r="DV611" t="inlineStr">
        <is>
          <t>flat</t>
        </is>
      </c>
      <c r="DW611" t="n">
        <v>113</v>
      </c>
      <c r="DZ611" t="n">
        <v>113</v>
      </c>
      <c r="EA611" t="n">
        <v>113</v>
      </c>
      <c r="EB611" t="n">
        <v>1</v>
      </c>
      <c r="EC611" t="n">
        <v>0.5</v>
      </c>
      <c r="ED611" t="n">
        <v>0</v>
      </c>
      <c r="EE611" t="n">
        <v>386</v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n">
        <v>4</v>
      </c>
      <c r="F612" t="b">
        <v>1</v>
      </c>
      <c r="G612" t="b">
        <v>0</v>
      </c>
      <c r="H612" t="n">
        <v>23</v>
      </c>
      <c r="I612" t="inlineStr">
        <is>
          <t>a</t>
        </is>
      </c>
      <c r="M612" t="n">
        <v>355</v>
      </c>
      <c r="DO612" t="n">
        <v>0.1</v>
      </c>
      <c r="DP612" t="n">
        <v>0</v>
      </c>
      <c r="DQ612" t="n">
        <v>0</v>
      </c>
      <c r="DR612" t="n">
        <v>0</v>
      </c>
      <c r="DS612" t="n">
        <v>0</v>
      </c>
      <c r="DT612" t="n">
        <v>0</v>
      </c>
      <c r="DU612" t="n">
        <v>0</v>
      </c>
      <c r="DV612" t="inlineStr">
        <is>
          <t>flat</t>
        </is>
      </c>
      <c r="DW612" t="n">
        <v>119</v>
      </c>
      <c r="DX612" t="n">
        <v>119</v>
      </c>
      <c r="DZ612" t="n">
        <v>119</v>
      </c>
      <c r="EA612" t="n">
        <v>119</v>
      </c>
      <c r="EB612" t="n">
        <v>1</v>
      </c>
      <c r="EC612" t="n">
        <v>0.5</v>
      </c>
      <c r="ED612" t="n">
        <v>0</v>
      </c>
      <c r="EE612" t="n">
        <v>573</v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n">
        <v>4</v>
      </c>
      <c r="F613" t="b">
        <v>1</v>
      </c>
      <c r="G613" t="b">
        <v>0</v>
      </c>
      <c r="H613" t="n">
        <v>23.8</v>
      </c>
      <c r="I613" t="inlineStr">
        <is>
          <t>a</t>
        </is>
      </c>
      <c r="M613" t="n">
        <v>177</v>
      </c>
      <c r="DO613" t="n">
        <v>0.1</v>
      </c>
      <c r="DP613" t="n">
        <v>16.49</v>
      </c>
      <c r="DQ613" t="n">
        <v>8.25</v>
      </c>
      <c r="DR613" t="n">
        <v>16.5</v>
      </c>
      <c r="DS613" t="n">
        <v>-0.01</v>
      </c>
      <c r="DT613" t="n">
        <v>253</v>
      </c>
      <c r="DU613" t="n">
        <v>6.66</v>
      </c>
      <c r="DV613" t="inlineStr">
        <is>
          <t>flat</t>
        </is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n">
        <v>4.5</v>
      </c>
      <c r="F614" t="b">
        <v>1</v>
      </c>
      <c r="G614" t="b">
        <v>0</v>
      </c>
      <c r="H614" t="n">
        <v>24.5</v>
      </c>
      <c r="I614" t="inlineStr">
        <is>
          <t>i</t>
        </is>
      </c>
      <c r="J614" t="inlineStr">
        <is>
          <t>Knee injury - Unknown return date</t>
        </is>
      </c>
      <c r="K614" t="n">
        <v>0</v>
      </c>
      <c r="M614" t="n">
        <v>291</v>
      </c>
      <c r="DO614" t="n">
        <v>0</v>
      </c>
      <c r="DP614" t="n">
        <v>0</v>
      </c>
      <c r="DQ614" t="n">
        <v>0</v>
      </c>
      <c r="DR614" t="n">
        <v>0</v>
      </c>
      <c r="DS614" t="n">
        <v>0</v>
      </c>
      <c r="DT614" t="n">
        <v>0</v>
      </c>
      <c r="DU614" t="n">
        <v>0</v>
      </c>
      <c r="DV614" t="inlineStr">
        <is>
          <t>flat</t>
        </is>
      </c>
    </row>
    <row r="615">
      <c r="A615" t="inlineStr">
        <is>
          <t>Hannibal Mejbri</t>
        </is>
      </c>
      <c r="D615" t="inlineStr">
        <is>
          <t>MID</t>
        </is>
      </c>
      <c r="F615" t="b">
        <v>0</v>
      </c>
      <c r="G615" t="b">
        <v>1</v>
      </c>
      <c r="L615" t="inlineStr">
        <is>
          <t>p465527</t>
        </is>
      </c>
      <c r="Q615" t="n">
        <v>1231</v>
      </c>
      <c r="R615" t="n">
        <v>27</v>
      </c>
      <c r="T615" t="n">
        <v>13.678</v>
      </c>
      <c r="U615" t="n">
        <v>45.6</v>
      </c>
      <c r="Z615" t="n">
        <v>4</v>
      </c>
      <c r="AD615" t="n">
        <v>4</v>
      </c>
      <c r="AE615" t="n">
        <v>0</v>
      </c>
      <c r="AG615" t="n">
        <v>255</v>
      </c>
      <c r="AH615" t="n">
        <v>-6</v>
      </c>
      <c r="AI615" t="n">
        <v>59</v>
      </c>
      <c r="AN615" t="n">
        <v>2</v>
      </c>
      <c r="AO615" t="n">
        <v>4</v>
      </c>
      <c r="AP615" t="n">
        <v>0.133</v>
      </c>
      <c r="AQ615" t="n">
        <v>0.2</v>
      </c>
      <c r="AR615" t="n">
        <v>0.133</v>
      </c>
      <c r="AS615" t="n">
        <v>0.395</v>
      </c>
      <c r="AT615" t="n">
        <v>0.444</v>
      </c>
      <c r="AU615" t="n">
        <v>21</v>
      </c>
      <c r="AV615" t="n">
        <v>2</v>
      </c>
      <c r="AW615" t="n">
        <v>2.45</v>
      </c>
      <c r="AX615" t="n">
        <v>10</v>
      </c>
      <c r="AZ615" t="n">
        <v>0.75</v>
      </c>
      <c r="BA615" t="n">
        <v>0.75</v>
      </c>
      <c r="BB615" t="n">
        <v>0.75</v>
      </c>
      <c r="BD615" t="n">
        <v>0.055</v>
      </c>
      <c r="BE615" t="n">
        <v>0.055</v>
      </c>
      <c r="BF615" t="n">
        <v>0.7</v>
      </c>
      <c r="BG615" t="n">
        <v>0.051</v>
      </c>
      <c r="BH615" t="n">
        <v>0.996</v>
      </c>
      <c r="BI615" t="n">
        <v>0.9399999999999999</v>
      </c>
      <c r="BJ615" t="n">
        <v>0.906</v>
      </c>
      <c r="BK615" t="n">
        <v>0.066</v>
      </c>
      <c r="BP615" t="n">
        <v>19</v>
      </c>
      <c r="BQ615" t="n">
        <v>5</v>
      </c>
      <c r="BS615" t="n">
        <v>22</v>
      </c>
      <c r="BT615" t="n">
        <v>1.608</v>
      </c>
      <c r="BX615" t="n">
        <v>2.838</v>
      </c>
      <c r="BY615" t="n">
        <v>2.838</v>
      </c>
      <c r="BZ615" t="n">
        <v>0.208</v>
      </c>
      <c r="CA615" t="n">
        <v>3.588</v>
      </c>
      <c r="CB615" t="n">
        <v>0.262</v>
      </c>
      <c r="CC615" t="n">
        <v>21</v>
      </c>
      <c r="CD615" t="n">
        <v>5</v>
      </c>
      <c r="CE615" t="n">
        <v>21</v>
      </c>
      <c r="CF615" t="n">
        <v>11</v>
      </c>
      <c r="CG615" t="n">
        <v>3</v>
      </c>
      <c r="CH615" t="n">
        <v>1</v>
      </c>
      <c r="CI615" t="n">
        <v>5.953</v>
      </c>
      <c r="CJ615" t="n">
        <v>3.376</v>
      </c>
      <c r="CN615" t="n">
        <v>17</v>
      </c>
      <c r="CO615" t="n">
        <v>8</v>
      </c>
      <c r="CP615" t="n">
        <v>7</v>
      </c>
      <c r="CQ615" t="n">
        <v>3</v>
      </c>
      <c r="CR615" t="n">
        <v>102</v>
      </c>
      <c r="CS615" t="n">
        <v>6</v>
      </c>
      <c r="CT615" t="n">
        <v>0.9</v>
      </c>
      <c r="CV615" t="n">
        <v>2</v>
      </c>
      <c r="DE615" t="n">
        <v>6.64</v>
      </c>
      <c r="DH615" t="n">
        <v>24</v>
      </c>
      <c r="DI615" t="n">
        <v>47</v>
      </c>
      <c r="DK615" t="n">
        <v>1</v>
      </c>
      <c r="DL615" t="n">
        <v>20</v>
      </c>
      <c r="DM615" t="n">
        <v>33</v>
      </c>
      <c r="DN615" t="n">
        <v>3</v>
      </c>
      <c r="EF615" t="n">
        <v>64.8</v>
      </c>
      <c r="EG615" t="n">
        <v>56</v>
      </c>
      <c r="EH615" t="n">
        <v>58.6</v>
      </c>
      <c r="EI615" t="n">
        <v>1641.7</v>
      </c>
      <c r="EJ615" t="n">
        <v>433.7</v>
      </c>
      <c r="EK615" t="n">
        <v>343.1</v>
      </c>
    </row>
    <row r="616">
      <c r="A616" t="inlineStr">
        <is>
          <t>Mads Hermansen</t>
        </is>
      </c>
      <c r="D616" t="inlineStr">
        <is>
          <t>GKP</t>
        </is>
      </c>
      <c r="F616" t="b">
        <v>0</v>
      </c>
      <c r="G616" t="b">
        <v>1</v>
      </c>
      <c r="L616" t="inlineStr">
        <is>
          <t>p467189</t>
        </is>
      </c>
      <c r="Q616" t="n">
        <v>1620</v>
      </c>
      <c r="R616" t="n">
        <v>18</v>
      </c>
      <c r="T616" t="n">
        <v>18</v>
      </c>
      <c r="U616" t="n">
        <v>90</v>
      </c>
      <c r="Z616" t="n">
        <v>1</v>
      </c>
      <c r="AD616" t="n">
        <v>8</v>
      </c>
      <c r="AE616" t="n">
        <v>0</v>
      </c>
      <c r="AG616" t="n">
        <v>277</v>
      </c>
      <c r="AH616" t="n">
        <v>-5</v>
      </c>
      <c r="AI616" t="n">
        <v>76</v>
      </c>
      <c r="AN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0.474</v>
      </c>
      <c r="AT616" t="n">
        <v>1</v>
      </c>
      <c r="AU616" t="n">
        <v>9</v>
      </c>
      <c r="AV616" t="n">
        <v>2</v>
      </c>
      <c r="AW616" t="n">
        <v>3.15</v>
      </c>
      <c r="AX616" t="n">
        <v>10</v>
      </c>
      <c r="AZ616" t="n">
        <v>0</v>
      </c>
      <c r="BA616" t="n">
        <v>0</v>
      </c>
      <c r="BB616" t="n">
        <v>0</v>
      </c>
      <c r="BD616" t="n">
        <v>0</v>
      </c>
      <c r="BE616" t="n">
        <v>0</v>
      </c>
      <c r="BH616" t="n">
        <v>1</v>
      </c>
      <c r="BI616" t="n">
        <v>0</v>
      </c>
      <c r="BJ616" t="n">
        <v>0</v>
      </c>
      <c r="BK616" t="n">
        <v>0</v>
      </c>
      <c r="BX616" t="n">
        <v>0.037</v>
      </c>
      <c r="BY616" t="n">
        <v>0.037</v>
      </c>
      <c r="BZ616" t="n">
        <v>0.002</v>
      </c>
      <c r="CA616" t="n">
        <v>0.037</v>
      </c>
      <c r="CB616" t="n">
        <v>0.002</v>
      </c>
      <c r="CC616" t="n">
        <v>2</v>
      </c>
      <c r="CE616" t="n">
        <v>2</v>
      </c>
      <c r="CI616" t="n">
        <v>2.042</v>
      </c>
      <c r="CJ616" t="n">
        <v>2.005</v>
      </c>
      <c r="CN616" t="n">
        <v>0</v>
      </c>
      <c r="CP616" t="n">
        <v>20</v>
      </c>
      <c r="CR616" t="n">
        <v>11</v>
      </c>
      <c r="CS616" t="n">
        <v>10</v>
      </c>
      <c r="CU616" t="n">
        <v>3</v>
      </c>
      <c r="CV616" t="n">
        <v>1</v>
      </c>
      <c r="DC616" t="n">
        <v>23</v>
      </c>
      <c r="DD616" t="n">
        <v>12</v>
      </c>
      <c r="DI616" t="n">
        <v>2</v>
      </c>
      <c r="EH616" t="n">
        <v>810</v>
      </c>
      <c r="EJ616" t="n">
        <v>43552.6</v>
      </c>
      <c r="EK616" t="n">
        <v>43552.6</v>
      </c>
    </row>
    <row r="617">
      <c r="A617" t="inlineStr">
        <is>
          <t>Lorenzo Lucca</t>
        </is>
      </c>
      <c r="D617" t="inlineStr">
        <is>
          <t>FWD</t>
        </is>
      </c>
      <c r="F617" t="b">
        <v>0</v>
      </c>
      <c r="G617" t="b">
        <v>1</v>
      </c>
      <c r="L617" t="inlineStr">
        <is>
          <t>p469130</t>
        </is>
      </c>
      <c r="Q617" t="n">
        <v>127</v>
      </c>
      <c r="R617" t="n">
        <v>4</v>
      </c>
      <c r="T617" t="n">
        <v>1.411</v>
      </c>
      <c r="U617" t="n">
        <v>31.8</v>
      </c>
      <c r="AD617" t="n">
        <v>0</v>
      </c>
      <c r="AE617" t="n">
        <v>0</v>
      </c>
      <c r="AG617" t="n">
        <v>31</v>
      </c>
      <c r="AH617" t="n">
        <v>-2</v>
      </c>
      <c r="AI617" t="n">
        <v>9</v>
      </c>
      <c r="AN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0.026</v>
      </c>
      <c r="AT617" t="n">
        <v>0.25</v>
      </c>
      <c r="AU617" t="n">
        <v>3</v>
      </c>
      <c r="AV617" t="n">
        <v>0</v>
      </c>
      <c r="AW617" t="n">
        <v>1.35</v>
      </c>
      <c r="AX617" t="n">
        <v>5</v>
      </c>
      <c r="AZ617" t="n">
        <v>1.185</v>
      </c>
      <c r="BA617" t="n">
        <v>1.185</v>
      </c>
      <c r="BB617" t="n">
        <v>1.185</v>
      </c>
      <c r="BD617" t="n">
        <v>0.839</v>
      </c>
      <c r="BE617" t="n">
        <v>0.839</v>
      </c>
      <c r="BF617" t="n">
        <v>0.2</v>
      </c>
      <c r="BG617" t="n">
        <v>0.142</v>
      </c>
      <c r="BH617" t="n">
        <v>0.9330000000000001</v>
      </c>
      <c r="BI617" t="n">
        <v>0.79</v>
      </c>
      <c r="BJ617" t="n">
        <v>0.737</v>
      </c>
      <c r="BK617" t="n">
        <v>0.522</v>
      </c>
      <c r="BP617" t="n">
        <v>4</v>
      </c>
      <c r="BQ617" t="n">
        <v>1</v>
      </c>
      <c r="BR617" t="n">
        <v>1</v>
      </c>
      <c r="BS617" t="n">
        <v>9</v>
      </c>
      <c r="BT617" t="n">
        <v>6.378</v>
      </c>
      <c r="BV617" t="n">
        <v>1</v>
      </c>
      <c r="BX617" t="n">
        <v>0.037</v>
      </c>
      <c r="BY617" t="n">
        <v>0.037</v>
      </c>
      <c r="BZ617" t="n">
        <v>0.026</v>
      </c>
      <c r="CA617" t="n">
        <v>1.221</v>
      </c>
      <c r="CB617" t="n">
        <v>0.865</v>
      </c>
      <c r="CC617" t="n">
        <v>1</v>
      </c>
      <c r="CE617" t="n">
        <v>1</v>
      </c>
      <c r="CI617" t="n">
        <v>1.672</v>
      </c>
      <c r="CJ617" t="n">
        <v>0.488</v>
      </c>
      <c r="CO617" t="n">
        <v>1</v>
      </c>
      <c r="CP617" t="n">
        <v>3</v>
      </c>
      <c r="CR617" t="n">
        <v>7</v>
      </c>
      <c r="CS617" t="n">
        <v>5</v>
      </c>
      <c r="DH617" t="n">
        <v>1</v>
      </c>
      <c r="DI617" t="n">
        <v>2</v>
      </c>
      <c r="DM617" t="n">
        <v>3</v>
      </c>
      <c r="DN617" t="n">
        <v>2</v>
      </c>
      <c r="EF617" t="n">
        <v>31.8</v>
      </c>
      <c r="EG617" t="n">
        <v>14.1</v>
      </c>
      <c r="EH617" t="n">
        <v>127</v>
      </c>
      <c r="EI617" t="n">
        <v>107.2</v>
      </c>
      <c r="EJ617" t="n">
        <v>3465.7</v>
      </c>
      <c r="EK617" t="n">
        <v>104</v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n">
        <v>5</v>
      </c>
      <c r="F618" t="b">
        <v>1</v>
      </c>
      <c r="G618" t="b">
        <v>0</v>
      </c>
      <c r="H618" t="n">
        <v>24.1</v>
      </c>
      <c r="I618" t="inlineStr">
        <is>
          <t>a</t>
        </is>
      </c>
      <c r="M618" t="n">
        <v>567</v>
      </c>
      <c r="DO618" t="n">
        <v>0.5</v>
      </c>
      <c r="DP618" t="n">
        <v>124.44</v>
      </c>
      <c r="DQ618" t="n">
        <v>62.22</v>
      </c>
      <c r="DR618" t="n">
        <v>124.44</v>
      </c>
      <c r="DS618" t="n">
        <v>0</v>
      </c>
      <c r="DT618" t="n">
        <v>3374</v>
      </c>
      <c r="DU618" t="n">
        <v>88.8</v>
      </c>
      <c r="DV618" t="inlineStr">
        <is>
          <t>flat</t>
        </is>
      </c>
      <c r="DW618" t="n">
        <v>107.61</v>
      </c>
      <c r="DX618" t="n">
        <v>113.67</v>
      </c>
      <c r="DY618" t="n">
        <v>16.57</v>
      </c>
      <c r="DZ618" t="n">
        <v>41.71</v>
      </c>
      <c r="EA618" t="n">
        <v>120</v>
      </c>
      <c r="EB618" t="n">
        <v>71</v>
      </c>
      <c r="EC618" t="n">
        <v>34.1</v>
      </c>
      <c r="ED618" t="n">
        <v>6.6</v>
      </c>
      <c r="EE618" t="n">
        <v>376</v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n">
        <v>4.5</v>
      </c>
      <c r="F619" t="b">
        <v>1</v>
      </c>
      <c r="G619" t="b">
        <v>0</v>
      </c>
      <c r="H619" t="n">
        <v>23.8</v>
      </c>
      <c r="I619" t="inlineStr">
        <is>
          <t>a</t>
        </is>
      </c>
      <c r="M619" t="n">
        <v>572</v>
      </c>
      <c r="DO619" t="n">
        <v>0.3</v>
      </c>
      <c r="DP619" t="n">
        <v>109.89</v>
      </c>
      <c r="DQ619" t="n">
        <v>55.05</v>
      </c>
      <c r="DR619" t="n">
        <v>110.1</v>
      </c>
      <c r="DS619" t="n">
        <v>-0.21</v>
      </c>
      <c r="DT619" t="n">
        <v>3385</v>
      </c>
      <c r="DU619" t="n">
        <v>89.08</v>
      </c>
      <c r="DV619" t="inlineStr">
        <is>
          <t>flat</t>
        </is>
      </c>
      <c r="DW619" t="n">
        <v>114.87</v>
      </c>
      <c r="DY619" t="n">
        <v>4.21</v>
      </c>
      <c r="DZ619" t="n">
        <v>106</v>
      </c>
      <c r="EA619" t="n">
        <v>119.27</v>
      </c>
      <c r="EB619" t="n">
        <v>12</v>
      </c>
      <c r="EC619" t="n">
        <v>5.8</v>
      </c>
      <c r="ED619" t="n">
        <v>0</v>
      </c>
      <c r="EE619" t="n">
        <v>516</v>
      </c>
    </row>
    <row r="620">
      <c r="A620" t="inlineStr">
        <is>
          <t>Maxime Estève</t>
        </is>
      </c>
      <c r="D620" t="inlineStr">
        <is>
          <t>DEF</t>
        </is>
      </c>
      <c r="F620" t="b">
        <v>0</v>
      </c>
      <c r="G620" t="b">
        <v>1</v>
      </c>
      <c r="L620" t="inlineStr">
        <is>
          <t>p477717</t>
        </is>
      </c>
      <c r="Q620" t="n">
        <v>2937</v>
      </c>
      <c r="R620" t="n">
        <v>34</v>
      </c>
      <c r="T620" t="n">
        <v>32.633</v>
      </c>
      <c r="U620" t="n">
        <v>86.40000000000001</v>
      </c>
      <c r="AD620" t="n">
        <v>0</v>
      </c>
      <c r="AE620" t="n">
        <v>0</v>
      </c>
      <c r="AG620" t="n">
        <v>215</v>
      </c>
      <c r="AH620" t="n">
        <v>-49</v>
      </c>
      <c r="AI620" t="n">
        <v>85</v>
      </c>
      <c r="AN620" t="n">
        <v>19</v>
      </c>
      <c r="AO620" t="n">
        <v>38</v>
      </c>
      <c r="AP620" t="n">
        <v>0.5590000000000001</v>
      </c>
      <c r="AQ620" t="n">
        <v>0.5590000000000001</v>
      </c>
      <c r="AR620" t="n">
        <v>0.294</v>
      </c>
      <c r="AS620" t="n">
        <v>0.895</v>
      </c>
      <c r="AT620" t="n">
        <v>0.971</v>
      </c>
      <c r="AU620" t="n">
        <v>16</v>
      </c>
      <c r="AV620" t="n">
        <v>0</v>
      </c>
      <c r="AW620" t="n">
        <v>1.95</v>
      </c>
      <c r="AX620" t="n">
        <v>8</v>
      </c>
      <c r="AZ620" t="n">
        <v>0.452</v>
      </c>
      <c r="BA620" t="n">
        <v>0.452</v>
      </c>
      <c r="BB620" t="n">
        <v>0.452</v>
      </c>
      <c r="BD620" t="n">
        <v>0.014</v>
      </c>
      <c r="BE620" t="n">
        <v>0.014</v>
      </c>
      <c r="BF620" t="n">
        <v>0.1</v>
      </c>
      <c r="BG620" t="n">
        <v>0.003</v>
      </c>
      <c r="BH620" t="n">
        <v>0.9</v>
      </c>
      <c r="BI620" t="n">
        <v>1</v>
      </c>
      <c r="BJ620" t="n">
        <v>0.657</v>
      </c>
      <c r="BK620" t="n">
        <v>0.02</v>
      </c>
      <c r="BP620" t="n">
        <v>10</v>
      </c>
      <c r="BQ620" t="n">
        <v>1</v>
      </c>
      <c r="BR620" t="n">
        <v>0</v>
      </c>
      <c r="BS620" t="n">
        <v>30</v>
      </c>
      <c r="BT620" t="n">
        <v>0.919</v>
      </c>
      <c r="BX620" t="n">
        <v>0.702</v>
      </c>
      <c r="BY620" t="n">
        <v>0.702</v>
      </c>
      <c r="BZ620" t="n">
        <v>0.022</v>
      </c>
      <c r="CA620" t="n">
        <v>1.154</v>
      </c>
      <c r="CB620" t="n">
        <v>0.035</v>
      </c>
      <c r="CC620" t="n">
        <v>6</v>
      </c>
      <c r="CD620" t="n">
        <v>1</v>
      </c>
      <c r="CE620" t="n">
        <v>7</v>
      </c>
      <c r="CF620" t="n">
        <v>2</v>
      </c>
      <c r="CI620" t="n">
        <v>4.438</v>
      </c>
      <c r="CJ620" t="n">
        <v>4.29</v>
      </c>
      <c r="CN620" t="n">
        <v>26</v>
      </c>
      <c r="CO620" t="n">
        <v>37</v>
      </c>
      <c r="CP620" t="n">
        <v>221</v>
      </c>
      <c r="CQ620" t="n">
        <v>33</v>
      </c>
      <c r="CR620" t="n">
        <v>139</v>
      </c>
      <c r="CS620" t="n">
        <v>80</v>
      </c>
      <c r="CT620" t="n">
        <v>0.1</v>
      </c>
      <c r="CU620" t="n">
        <v>2</v>
      </c>
      <c r="CV620" t="n">
        <v>1</v>
      </c>
      <c r="DE620" t="n">
        <v>6.44</v>
      </c>
      <c r="DH620" t="n">
        <v>13</v>
      </c>
      <c r="DI620" t="n">
        <v>12</v>
      </c>
      <c r="DL620" t="n">
        <v>3</v>
      </c>
      <c r="DM620" t="n">
        <v>3</v>
      </c>
      <c r="DN620" t="n">
        <v>0</v>
      </c>
      <c r="EF620" t="n">
        <v>293.7</v>
      </c>
      <c r="EG620" t="n">
        <v>97.90000000000001</v>
      </c>
      <c r="EH620" t="n">
        <v>419.6</v>
      </c>
      <c r="EI620" t="n">
        <v>6503.4</v>
      </c>
      <c r="EJ620" t="n">
        <v>4183.1</v>
      </c>
      <c r="EK620" t="n">
        <v>2545.7</v>
      </c>
    </row>
    <row r="621">
      <c r="A621" t="inlineStr">
        <is>
          <t>Hjalmar Ekdal</t>
        </is>
      </c>
      <c r="D621" t="inlineStr">
        <is>
          <t>DEF</t>
        </is>
      </c>
      <c r="F621" t="b">
        <v>0</v>
      </c>
      <c r="G621" t="b">
        <v>1</v>
      </c>
      <c r="L621" t="inlineStr">
        <is>
          <t>p478969</t>
        </is>
      </c>
      <c r="Q621" t="n">
        <v>1539</v>
      </c>
      <c r="R621" t="n">
        <v>19</v>
      </c>
      <c r="T621" t="n">
        <v>17.1</v>
      </c>
      <c r="U621" t="n">
        <v>81</v>
      </c>
      <c r="AD621" t="n">
        <v>2</v>
      </c>
      <c r="AE621" t="n">
        <v>0</v>
      </c>
      <c r="AG621" t="n">
        <v>133</v>
      </c>
      <c r="AH621" t="n">
        <v>-26</v>
      </c>
      <c r="AI621" t="n">
        <v>52</v>
      </c>
      <c r="AN621" t="n">
        <v>9</v>
      </c>
      <c r="AO621" t="n">
        <v>18</v>
      </c>
      <c r="AP621" t="n">
        <v>0.529</v>
      </c>
      <c r="AQ621" t="n">
        <v>0.529</v>
      </c>
      <c r="AR621" t="n">
        <v>0.353</v>
      </c>
      <c r="AS621" t="n">
        <v>0.447</v>
      </c>
      <c r="AT621" t="n">
        <v>0.895</v>
      </c>
      <c r="AU621" t="n">
        <v>10</v>
      </c>
      <c r="AV621" t="n">
        <v>0</v>
      </c>
      <c r="AW621" t="n">
        <v>2.28</v>
      </c>
      <c r="AX621" t="n">
        <v>9</v>
      </c>
      <c r="AZ621" t="n">
        <v>0.608</v>
      </c>
      <c r="BA621" t="n">
        <v>0.608</v>
      </c>
      <c r="BB621" t="n">
        <v>0.608</v>
      </c>
      <c r="BD621" t="n">
        <v>0.036</v>
      </c>
      <c r="BE621" t="n">
        <v>0.036</v>
      </c>
      <c r="BF621" t="n">
        <v>0.1</v>
      </c>
      <c r="BG621" t="n">
        <v>0.006</v>
      </c>
      <c r="BH621" t="n">
        <v>0.975</v>
      </c>
      <c r="BI621" t="n">
        <v>0.31</v>
      </c>
      <c r="BJ621" t="n">
        <v>0.244</v>
      </c>
      <c r="BK621" t="n">
        <v>0.014</v>
      </c>
      <c r="BP621" t="n">
        <v>6</v>
      </c>
      <c r="BQ621" t="n">
        <v>1</v>
      </c>
      <c r="BR621" t="n">
        <v>1</v>
      </c>
      <c r="BS621" t="n">
        <v>21</v>
      </c>
      <c r="BT621" t="n">
        <v>1.228</v>
      </c>
      <c r="BX621" t="n">
        <v>0.168</v>
      </c>
      <c r="BY621" t="n">
        <v>0.168</v>
      </c>
      <c r="BZ621" t="n">
        <v>0.01</v>
      </c>
      <c r="CA621" t="n">
        <v>0.776</v>
      </c>
      <c r="CB621" t="n">
        <v>0.045</v>
      </c>
      <c r="CC621" t="n">
        <v>4</v>
      </c>
      <c r="CE621" t="n">
        <v>4</v>
      </c>
      <c r="CI621" t="n">
        <v>2.712</v>
      </c>
      <c r="CJ621" t="n">
        <v>2.587</v>
      </c>
      <c r="CN621" t="n">
        <v>16</v>
      </c>
      <c r="CO621" t="n">
        <v>12</v>
      </c>
      <c r="CP621" t="n">
        <v>125</v>
      </c>
      <c r="CQ621" t="n">
        <v>13</v>
      </c>
      <c r="CR621" t="n">
        <v>83</v>
      </c>
      <c r="CS621" t="n">
        <v>52</v>
      </c>
      <c r="CU621" t="n">
        <v>1</v>
      </c>
      <c r="CV621" t="n">
        <v>1</v>
      </c>
      <c r="DH621" t="n">
        <v>5</v>
      </c>
      <c r="DI621" t="n">
        <v>7</v>
      </c>
      <c r="DL621" t="n">
        <v>2</v>
      </c>
      <c r="DM621" t="n">
        <v>4</v>
      </c>
      <c r="DN621" t="n">
        <v>2</v>
      </c>
      <c r="EF621" t="n">
        <v>256.5</v>
      </c>
      <c r="EG621" t="n">
        <v>73.3</v>
      </c>
      <c r="EH621" t="n">
        <v>384.8</v>
      </c>
      <c r="EI621" t="n">
        <v>2530.4</v>
      </c>
      <c r="EJ621" t="n">
        <v>9152.799999999999</v>
      </c>
      <c r="EK621" t="n">
        <v>1982.3</v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n">
        <v>5</v>
      </c>
      <c r="F622" t="b">
        <v>1</v>
      </c>
      <c r="G622" t="b">
        <v>0</v>
      </c>
      <c r="H622" t="n">
        <v>25.2</v>
      </c>
      <c r="I622" t="inlineStr">
        <is>
          <t>d</t>
        </is>
      </c>
      <c r="J622" t="inlineStr">
        <is>
          <t>Shoulder injury - 75% chance of playing</t>
        </is>
      </c>
      <c r="K622" t="n">
        <v>75</v>
      </c>
      <c r="M622" t="n">
        <v>183</v>
      </c>
      <c r="O622" t="n">
        <v>3</v>
      </c>
      <c r="P622" t="n">
        <v>1</v>
      </c>
      <c r="DO622" t="n">
        <v>0.2</v>
      </c>
      <c r="DP622" t="n">
        <v>40.99</v>
      </c>
      <c r="DQ622" t="n">
        <v>20.08</v>
      </c>
      <c r="DR622" t="n">
        <v>40.16</v>
      </c>
      <c r="DS622" t="n">
        <v>0.83</v>
      </c>
      <c r="DT622" t="n">
        <v>948</v>
      </c>
      <c r="DU622" t="n">
        <v>24.95</v>
      </c>
      <c r="DV622" t="inlineStr">
        <is>
          <t>flat</t>
        </is>
      </c>
      <c r="DW622" t="n">
        <v>89.59999999999999</v>
      </c>
      <c r="DZ622" t="n">
        <v>89.59999999999999</v>
      </c>
      <c r="EA622" t="n">
        <v>89.59999999999999</v>
      </c>
      <c r="EB622" t="n">
        <v>1</v>
      </c>
      <c r="EC622" t="n">
        <v>0.5</v>
      </c>
      <c r="ED622" t="n">
        <v>50</v>
      </c>
      <c r="EE622" t="n">
        <v>340</v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n">
        <v>5.5</v>
      </c>
      <c r="F623" t="b">
        <v>1</v>
      </c>
      <c r="G623" t="b">
        <v>0</v>
      </c>
      <c r="H623" t="n">
        <v>24.5</v>
      </c>
      <c r="I623" t="inlineStr">
        <is>
          <t>a</t>
        </is>
      </c>
      <c r="M623" t="n">
        <v>318</v>
      </c>
      <c r="N623" t="n">
        <v>4</v>
      </c>
      <c r="O623" t="n">
        <v>4</v>
      </c>
      <c r="DO623" t="n">
        <v>0.2</v>
      </c>
      <c r="DP623" t="n">
        <v>55.14</v>
      </c>
      <c r="DQ623" t="n">
        <v>27.57</v>
      </c>
      <c r="DR623" t="n">
        <v>55.14</v>
      </c>
      <c r="DS623" t="n">
        <v>0</v>
      </c>
      <c r="DT623" t="n">
        <v>958</v>
      </c>
      <c r="DU623" t="n">
        <v>25.2</v>
      </c>
      <c r="DV623" t="inlineStr">
        <is>
          <t>flat</t>
        </is>
      </c>
      <c r="DW623" t="n">
        <v>92.14</v>
      </c>
      <c r="DY623" t="n">
        <v>15.18</v>
      </c>
      <c r="DZ623" t="n">
        <v>81.33</v>
      </c>
      <c r="EA623" t="n">
        <v>109.5</v>
      </c>
      <c r="EB623" t="n">
        <v>3</v>
      </c>
      <c r="EC623" t="n">
        <v>1.4</v>
      </c>
      <c r="ED623" t="n">
        <v>0</v>
      </c>
      <c r="EE623" t="n">
        <v>216</v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n">
        <v>5</v>
      </c>
      <c r="F624" t="b">
        <v>1</v>
      </c>
      <c r="G624" t="b">
        <v>0</v>
      </c>
      <c r="H624" t="n">
        <v>22.8</v>
      </c>
      <c r="I624" t="inlineStr">
        <is>
          <t>a</t>
        </is>
      </c>
      <c r="M624" t="n">
        <v>566</v>
      </c>
      <c r="DO624" t="n">
        <v>0.2</v>
      </c>
      <c r="DP624" t="n">
        <v>139.88</v>
      </c>
      <c r="DQ624" t="n">
        <v>69.94</v>
      </c>
      <c r="DR624" t="n">
        <v>139.88</v>
      </c>
      <c r="DS624" t="n">
        <v>0</v>
      </c>
      <c r="DT624" t="n">
        <v>3175</v>
      </c>
      <c r="DU624" t="n">
        <v>83.55</v>
      </c>
      <c r="DV624" t="inlineStr">
        <is>
          <t>flat</t>
        </is>
      </c>
      <c r="DW624" t="n">
        <v>97.06</v>
      </c>
      <c r="DX624" t="n">
        <v>111</v>
      </c>
      <c r="DY624" t="n">
        <v>12.77</v>
      </c>
      <c r="DZ624" t="n">
        <v>74</v>
      </c>
      <c r="EA624" t="n">
        <v>119</v>
      </c>
      <c r="EB624" t="n">
        <v>21</v>
      </c>
      <c r="EC624" t="n">
        <v>10.1</v>
      </c>
      <c r="ED624" t="n">
        <v>8.699999999999999</v>
      </c>
      <c r="EE624" t="n">
        <v>381</v>
      </c>
    </row>
    <row r="625">
      <c r="A625" t="inlineStr">
        <is>
          <t>Rodrigo Gomes</t>
        </is>
      </c>
      <c r="D625" t="inlineStr">
        <is>
          <t>DEF</t>
        </is>
      </c>
      <c r="F625" t="b">
        <v>0</v>
      </c>
      <c r="G625" t="b">
        <v>1</v>
      </c>
      <c r="L625" t="inlineStr">
        <is>
          <t>p483081</t>
        </is>
      </c>
      <c r="Q625" t="n">
        <v>960</v>
      </c>
      <c r="R625" t="n">
        <v>22</v>
      </c>
      <c r="T625" t="n">
        <v>10.667</v>
      </c>
      <c r="U625" t="n">
        <v>43.6</v>
      </c>
      <c r="AD625" t="n">
        <v>0</v>
      </c>
      <c r="AE625" t="n">
        <v>0</v>
      </c>
      <c r="AG625" t="n">
        <v>96</v>
      </c>
      <c r="AH625" t="n">
        <v>-4</v>
      </c>
      <c r="AI625" t="n">
        <v>48</v>
      </c>
      <c r="AN625" t="n">
        <v>0</v>
      </c>
      <c r="AO625" t="n">
        <v>0</v>
      </c>
      <c r="AP625" t="n">
        <v>0</v>
      </c>
      <c r="AQ625" t="n">
        <v>0</v>
      </c>
      <c r="AR625" t="n">
        <v>0</v>
      </c>
      <c r="AS625" t="n">
        <v>0.237</v>
      </c>
      <c r="AT625" t="n">
        <v>0.318</v>
      </c>
      <c r="AU625" t="n">
        <v>18</v>
      </c>
      <c r="AV625" t="n">
        <v>0</v>
      </c>
      <c r="AW625" t="n">
        <v>2.04</v>
      </c>
      <c r="AX625" t="n">
        <v>7</v>
      </c>
      <c r="AZ625" t="n">
        <v>2.284</v>
      </c>
      <c r="BA625" t="n">
        <v>2.284</v>
      </c>
      <c r="BB625" t="n">
        <v>2.284</v>
      </c>
      <c r="BD625" t="n">
        <v>0.214</v>
      </c>
      <c r="BE625" t="n">
        <v>0.214</v>
      </c>
      <c r="BF625" t="n">
        <v>1.5</v>
      </c>
      <c r="BG625" t="n">
        <v>0.141</v>
      </c>
      <c r="BH625" t="n">
        <v>0.9399999999999999</v>
      </c>
      <c r="BI625" t="n">
        <v>2.85</v>
      </c>
      <c r="BJ625" t="n">
        <v>2.002</v>
      </c>
      <c r="BK625" t="n">
        <v>0.188</v>
      </c>
      <c r="BP625" t="n">
        <v>20</v>
      </c>
      <c r="BQ625" t="n">
        <v>6</v>
      </c>
      <c r="BR625" t="n">
        <v>2</v>
      </c>
      <c r="BS625" t="n">
        <v>50</v>
      </c>
      <c r="BT625" t="n">
        <v>4.688</v>
      </c>
      <c r="BX625" t="n">
        <v>0.151</v>
      </c>
      <c r="BY625" t="n">
        <v>0.151</v>
      </c>
      <c r="BZ625" t="n">
        <v>0.014</v>
      </c>
      <c r="CA625" t="n">
        <v>2.436</v>
      </c>
      <c r="CB625" t="n">
        <v>0.228</v>
      </c>
      <c r="CC625" t="n">
        <v>3</v>
      </c>
      <c r="CE625" t="n">
        <v>3</v>
      </c>
      <c r="CF625" t="n">
        <v>3</v>
      </c>
      <c r="CI625" t="n">
        <v>3.377</v>
      </c>
      <c r="CJ625" t="n">
        <v>1.008</v>
      </c>
      <c r="CN625" t="n">
        <v>18</v>
      </c>
      <c r="CO625" t="n">
        <v>9</v>
      </c>
      <c r="CP625" t="n">
        <v>13</v>
      </c>
      <c r="CQ625" t="n">
        <v>2</v>
      </c>
      <c r="CR625" t="n">
        <v>45</v>
      </c>
      <c r="CS625" t="n">
        <v>6</v>
      </c>
      <c r="CT625" t="n">
        <v>0.5</v>
      </c>
      <c r="DE625" t="n">
        <v>6.43</v>
      </c>
      <c r="DH625" t="n">
        <v>6</v>
      </c>
      <c r="DI625" t="n">
        <v>8</v>
      </c>
      <c r="DL625" t="n">
        <v>8</v>
      </c>
      <c r="DM625" t="n">
        <v>7</v>
      </c>
      <c r="DN625" t="n">
        <v>3</v>
      </c>
      <c r="EF625" t="n">
        <v>48</v>
      </c>
      <c r="EG625" t="n">
        <v>19.2</v>
      </c>
      <c r="EH625" t="n">
        <v>320</v>
      </c>
      <c r="EI625" t="n">
        <v>420.2</v>
      </c>
      <c r="EJ625" t="n">
        <v>6344.4</v>
      </c>
      <c r="EK625" t="n">
        <v>394.1</v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n">
        <v>4</v>
      </c>
      <c r="F626" t="b">
        <v>1</v>
      </c>
      <c r="G626" t="b">
        <v>0</v>
      </c>
      <c r="H626" t="n">
        <v>24.1</v>
      </c>
      <c r="I626" t="inlineStr">
        <is>
          <t>a</t>
        </is>
      </c>
      <c r="M626" t="n">
        <v>171</v>
      </c>
      <c r="DO626" t="n">
        <v>2.3</v>
      </c>
      <c r="DP626" t="n">
        <v>0</v>
      </c>
      <c r="DQ626" t="n">
        <v>0</v>
      </c>
      <c r="DR626" t="n">
        <v>0</v>
      </c>
      <c r="DS626" t="n">
        <v>0</v>
      </c>
      <c r="DT626" t="n">
        <v>0</v>
      </c>
      <c r="DU626" t="n">
        <v>0</v>
      </c>
      <c r="DV626" t="inlineStr">
        <is>
          <t>flat</t>
        </is>
      </c>
      <c r="DW626" t="n">
        <v>114.4</v>
      </c>
      <c r="DZ626" t="n">
        <v>114.4</v>
      </c>
      <c r="EA626" t="n">
        <v>114.4</v>
      </c>
      <c r="EB626" t="n">
        <v>1</v>
      </c>
      <c r="EC626" t="n">
        <v>0.5</v>
      </c>
      <c r="ED626" t="n">
        <v>0</v>
      </c>
      <c r="EE626" t="n">
        <v>537</v>
      </c>
    </row>
    <row r="627">
      <c r="A627" t="inlineStr">
        <is>
          <t>Tolu Arokodare</t>
        </is>
      </c>
      <c r="D627" t="inlineStr">
        <is>
          <t>FWD</t>
        </is>
      </c>
      <c r="F627" t="b">
        <v>0</v>
      </c>
      <c r="G627" t="b">
        <v>1</v>
      </c>
      <c r="L627" t="inlineStr">
        <is>
          <t>p488213</t>
        </is>
      </c>
      <c r="Q627" t="n">
        <v>1407</v>
      </c>
      <c r="R627" t="n">
        <v>33</v>
      </c>
      <c r="T627" t="n">
        <v>15.633</v>
      </c>
      <c r="U627" t="n">
        <v>42.6</v>
      </c>
      <c r="Z627" t="n">
        <v>1</v>
      </c>
      <c r="AD627" t="n">
        <v>5</v>
      </c>
      <c r="AE627" t="n">
        <v>1</v>
      </c>
      <c r="AG627" t="n">
        <v>211</v>
      </c>
      <c r="AH627" t="n">
        <v>-10</v>
      </c>
      <c r="AI627" t="n">
        <v>67</v>
      </c>
      <c r="AN627" t="n">
        <v>0</v>
      </c>
      <c r="AO627" t="n">
        <v>0</v>
      </c>
      <c r="AP627" t="n">
        <v>0</v>
      </c>
      <c r="AQ627" t="n">
        <v>0.077</v>
      </c>
      <c r="AR627" t="n">
        <v>0</v>
      </c>
      <c r="AS627" t="n">
        <v>0.342</v>
      </c>
      <c r="AT627" t="n">
        <v>0.424</v>
      </c>
      <c r="AU627" t="n">
        <v>28</v>
      </c>
      <c r="AV627" t="n">
        <v>0</v>
      </c>
      <c r="AW627" t="n">
        <v>1.81</v>
      </c>
      <c r="AX627" t="n">
        <v>8</v>
      </c>
      <c r="AZ627" t="n">
        <v>7.427</v>
      </c>
      <c r="BA627" t="n">
        <v>7.427</v>
      </c>
      <c r="BB627" t="n">
        <v>6.665</v>
      </c>
      <c r="BD627" t="n">
        <v>0.475</v>
      </c>
      <c r="BE627" t="n">
        <v>0.475</v>
      </c>
      <c r="BF627" t="n">
        <v>4</v>
      </c>
      <c r="BG627" t="n">
        <v>0.256</v>
      </c>
      <c r="BH627" t="n">
        <v>0.89</v>
      </c>
      <c r="BI627" t="n">
        <v>5.49</v>
      </c>
      <c r="BJ627" t="n">
        <v>4.884</v>
      </c>
      <c r="BK627" t="n">
        <v>0.312</v>
      </c>
      <c r="BP627" t="n">
        <v>47</v>
      </c>
      <c r="BQ627" t="n">
        <v>16</v>
      </c>
      <c r="BR627" t="n">
        <v>11</v>
      </c>
      <c r="BS627" t="n">
        <v>101</v>
      </c>
      <c r="BT627" t="n">
        <v>6.461</v>
      </c>
      <c r="BV627" t="n">
        <v>2</v>
      </c>
      <c r="BX627" t="n">
        <v>1.16</v>
      </c>
      <c r="BY627" t="n">
        <v>1.16</v>
      </c>
      <c r="BZ627" t="n">
        <v>0.074</v>
      </c>
      <c r="CA627" t="n">
        <v>8.586</v>
      </c>
      <c r="CB627" t="n">
        <v>0.549</v>
      </c>
      <c r="CC627" t="n">
        <v>11</v>
      </c>
      <c r="CD627" t="n">
        <v>1</v>
      </c>
      <c r="CE627" t="n">
        <v>12</v>
      </c>
      <c r="CI627" t="n">
        <v>5.404</v>
      </c>
      <c r="CJ627" t="n">
        <v>1.102</v>
      </c>
      <c r="CN627" t="n">
        <v>5</v>
      </c>
      <c r="CO627" t="n">
        <v>5</v>
      </c>
      <c r="CP627" t="n">
        <v>43</v>
      </c>
      <c r="CQ627" t="n">
        <v>2</v>
      </c>
      <c r="CR627" t="n">
        <v>141</v>
      </c>
      <c r="CS627" t="n">
        <v>99</v>
      </c>
      <c r="CT627" t="n">
        <v>0.5</v>
      </c>
      <c r="DE627" t="n">
        <v>6.59</v>
      </c>
      <c r="DH627" t="n">
        <v>17</v>
      </c>
      <c r="DI627" t="n">
        <v>17</v>
      </c>
      <c r="DL627" t="n">
        <v>18</v>
      </c>
      <c r="DM627" t="n">
        <v>22</v>
      </c>
      <c r="DN627" t="n">
        <v>6</v>
      </c>
      <c r="EF627" t="n">
        <v>29.9</v>
      </c>
      <c r="EG627" t="n">
        <v>13.9</v>
      </c>
      <c r="EH627" t="n">
        <v>117.2</v>
      </c>
      <c r="EI627" t="n">
        <v>189.5</v>
      </c>
      <c r="EJ627" t="n">
        <v>1213.3</v>
      </c>
      <c r="EK627" t="n">
        <v>163.9</v>
      </c>
    </row>
    <row r="628">
      <c r="A628" t="inlineStr">
        <is>
          <t>Freddie Potts</t>
        </is>
      </c>
      <c r="D628" t="inlineStr">
        <is>
          <t>MID</t>
        </is>
      </c>
      <c r="F628" t="b">
        <v>0</v>
      </c>
      <c r="G628" t="b">
        <v>1</v>
      </c>
      <c r="L628" t="inlineStr">
        <is>
          <t>p490142</t>
        </is>
      </c>
      <c r="Q628" t="n">
        <v>1167</v>
      </c>
      <c r="R628" t="n">
        <v>22</v>
      </c>
      <c r="T628" t="n">
        <v>12.967</v>
      </c>
      <c r="U628" t="n">
        <v>53</v>
      </c>
      <c r="Z628" t="n">
        <v>1</v>
      </c>
      <c r="AD628" t="n">
        <v>0</v>
      </c>
      <c r="AE628" t="n">
        <v>0</v>
      </c>
      <c r="AG628" t="n">
        <v>207</v>
      </c>
      <c r="AH628" t="n">
        <v>-8</v>
      </c>
      <c r="AI628" t="n">
        <v>37</v>
      </c>
      <c r="AN628" t="n">
        <v>1</v>
      </c>
      <c r="AO628" t="n">
        <v>2</v>
      </c>
      <c r="AP628" t="n">
        <v>0.083</v>
      </c>
      <c r="AQ628" t="n">
        <v>0.333</v>
      </c>
      <c r="AR628" t="n">
        <v>0.083</v>
      </c>
      <c r="AS628" t="n">
        <v>0.316</v>
      </c>
      <c r="AT628" t="n">
        <v>0.455</v>
      </c>
      <c r="AU628" t="n">
        <v>19</v>
      </c>
      <c r="AV628" t="n">
        <v>0</v>
      </c>
      <c r="AW628" t="n">
        <v>1.2</v>
      </c>
      <c r="AX628" t="n">
        <v>5</v>
      </c>
      <c r="AZ628" t="n">
        <v>0.213</v>
      </c>
      <c r="BA628" t="n">
        <v>0.213</v>
      </c>
      <c r="BB628" t="n">
        <v>0.213</v>
      </c>
      <c r="BD628" t="n">
        <v>0.016</v>
      </c>
      <c r="BE628" t="n">
        <v>0.016</v>
      </c>
      <c r="BF628" t="n">
        <v>0.5</v>
      </c>
      <c r="BG628" t="n">
        <v>0.039</v>
      </c>
      <c r="BH628" t="n">
        <v>1.035</v>
      </c>
      <c r="BI628" t="n">
        <v>0.21</v>
      </c>
      <c r="BJ628" t="n">
        <v>0.217</v>
      </c>
      <c r="BK628" t="n">
        <v>0.017</v>
      </c>
      <c r="BP628" t="n">
        <v>3</v>
      </c>
      <c r="BQ628" t="n">
        <v>1</v>
      </c>
      <c r="BS628" t="n">
        <v>8</v>
      </c>
      <c r="BT628" t="n">
        <v>0.617</v>
      </c>
      <c r="BX628" t="n">
        <v>1.208</v>
      </c>
      <c r="BY628" t="n">
        <v>1.208</v>
      </c>
      <c r="BZ628" t="n">
        <v>0.093</v>
      </c>
      <c r="CA628" t="n">
        <v>1.42</v>
      </c>
      <c r="CB628" t="n">
        <v>0.11</v>
      </c>
      <c r="CC628" t="n">
        <v>8</v>
      </c>
      <c r="CD628" t="n">
        <v>2</v>
      </c>
      <c r="CE628" t="n">
        <v>8</v>
      </c>
      <c r="CF628" t="n">
        <v>6</v>
      </c>
      <c r="CH628" t="n">
        <v>25</v>
      </c>
      <c r="CI628" t="n">
        <v>3.165</v>
      </c>
      <c r="CJ628" t="n">
        <v>2.265</v>
      </c>
      <c r="CN628" t="n">
        <v>17</v>
      </c>
      <c r="CO628" t="n">
        <v>17</v>
      </c>
      <c r="CP628" t="n">
        <v>31</v>
      </c>
      <c r="CQ628" t="n">
        <v>3</v>
      </c>
      <c r="CR628" t="n">
        <v>65</v>
      </c>
      <c r="CS628" t="n">
        <v>20</v>
      </c>
      <c r="DE628" t="n">
        <v>6.61</v>
      </c>
      <c r="DH628" t="n">
        <v>15</v>
      </c>
      <c r="DI628" t="n">
        <v>14</v>
      </c>
      <c r="DL628" t="n">
        <v>2</v>
      </c>
      <c r="DM628" t="n">
        <v>5</v>
      </c>
      <c r="EF628" t="n">
        <v>389</v>
      </c>
      <c r="EG628" t="n">
        <v>145.9</v>
      </c>
      <c r="EH628" t="n">
        <v>145.9</v>
      </c>
      <c r="EI628" t="n">
        <v>5488.3</v>
      </c>
      <c r="EJ628" t="n">
        <v>966.5</v>
      </c>
      <c r="EK628" t="n">
        <v>821.7</v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n">
        <v>5</v>
      </c>
      <c r="F629" t="b">
        <v>1</v>
      </c>
      <c r="G629" t="b">
        <v>0</v>
      </c>
      <c r="H629" t="n">
        <v>23.1</v>
      </c>
      <c r="I629" t="inlineStr">
        <is>
          <t>u</t>
        </is>
      </c>
      <c r="J629" t="inlineStr">
        <is>
          <t>Has joined Portsmouth permanently</t>
        </is>
      </c>
      <c r="K629" t="n">
        <v>0</v>
      </c>
      <c r="M629" t="n">
        <v>293</v>
      </c>
      <c r="DO629" t="n">
        <v>0</v>
      </c>
    </row>
    <row r="630">
      <c r="A630" t="inlineStr">
        <is>
          <t>Hugo Bueno</t>
        </is>
      </c>
      <c r="D630" t="inlineStr">
        <is>
          <t>DEF</t>
        </is>
      </c>
      <c r="F630" t="b">
        <v>0</v>
      </c>
      <c r="G630" t="b">
        <v>1</v>
      </c>
      <c r="L630" t="inlineStr">
        <is>
          <t>p490721</t>
        </is>
      </c>
      <c r="Q630" t="n">
        <v>2364</v>
      </c>
      <c r="R630" t="n">
        <v>35</v>
      </c>
      <c r="T630" t="n">
        <v>26.267</v>
      </c>
      <c r="U630" t="n">
        <v>67.5</v>
      </c>
      <c r="Z630" t="n">
        <v>2</v>
      </c>
      <c r="AD630" t="n">
        <v>5</v>
      </c>
      <c r="AE630" t="n">
        <v>1</v>
      </c>
      <c r="AG630" t="n">
        <v>303</v>
      </c>
      <c r="AH630" t="n">
        <v>-22</v>
      </c>
      <c r="AI630" t="n">
        <v>84</v>
      </c>
      <c r="AN630" t="n">
        <v>3</v>
      </c>
      <c r="AO630" t="n">
        <v>6</v>
      </c>
      <c r="AP630" t="n">
        <v>0.115</v>
      </c>
      <c r="AQ630" t="n">
        <v>0.115</v>
      </c>
      <c r="AR630" t="n">
        <v>0.077</v>
      </c>
      <c r="AS630" t="n">
        <v>0.6840000000000001</v>
      </c>
      <c r="AT630" t="n">
        <v>0.6860000000000001</v>
      </c>
      <c r="AU630" t="n">
        <v>25</v>
      </c>
      <c r="AV630" t="n">
        <v>1</v>
      </c>
      <c r="AW630" t="n">
        <v>2.58</v>
      </c>
      <c r="AX630" t="n">
        <v>11</v>
      </c>
      <c r="AZ630" t="n">
        <v>0.896</v>
      </c>
      <c r="BA630" t="n">
        <v>0.896</v>
      </c>
      <c r="BB630" t="n">
        <v>0.896</v>
      </c>
      <c r="BD630" t="n">
        <v>0.034</v>
      </c>
      <c r="BE630" t="n">
        <v>0.034</v>
      </c>
      <c r="BF630" t="n">
        <v>1.2</v>
      </c>
      <c r="BG630" t="n">
        <v>0.046</v>
      </c>
      <c r="BH630" t="n">
        <v>0.996</v>
      </c>
      <c r="BI630" t="n">
        <v>1.34</v>
      </c>
      <c r="BJ630" t="n">
        <v>0.856</v>
      </c>
      <c r="BK630" t="n">
        <v>0.033</v>
      </c>
      <c r="BP630" t="n">
        <v>16</v>
      </c>
      <c r="BQ630" t="n">
        <v>6</v>
      </c>
      <c r="BR630" t="n">
        <v>0</v>
      </c>
      <c r="BS630" t="n">
        <v>47</v>
      </c>
      <c r="BT630" t="n">
        <v>1.789</v>
      </c>
      <c r="BX630" t="n">
        <v>3.683</v>
      </c>
      <c r="BY630" t="n">
        <v>3.683</v>
      </c>
      <c r="BZ630" t="n">
        <v>0.14</v>
      </c>
      <c r="CA630" t="n">
        <v>4.58</v>
      </c>
      <c r="CB630" t="n">
        <v>0.174</v>
      </c>
      <c r="CC630" t="n">
        <v>38</v>
      </c>
      <c r="CD630" t="n">
        <v>6</v>
      </c>
      <c r="CE630" t="n">
        <v>38</v>
      </c>
      <c r="CF630" t="n">
        <v>58</v>
      </c>
      <c r="CH630" t="n">
        <v>45</v>
      </c>
      <c r="CI630" t="n">
        <v>5.543</v>
      </c>
      <c r="CJ630" t="n">
        <v>2.929</v>
      </c>
      <c r="CN630" t="n">
        <v>39</v>
      </c>
      <c r="CO630" t="n">
        <v>38</v>
      </c>
      <c r="CP630" t="n">
        <v>67</v>
      </c>
      <c r="CQ630" t="n">
        <v>4</v>
      </c>
      <c r="CR630" t="n">
        <v>141</v>
      </c>
      <c r="CS630" t="n">
        <v>19</v>
      </c>
      <c r="CT630" t="n">
        <v>0.2</v>
      </c>
      <c r="CV630" t="n">
        <v>2</v>
      </c>
      <c r="DE630" t="n">
        <v>6.8</v>
      </c>
      <c r="DH630" t="n">
        <v>18</v>
      </c>
      <c r="DI630" t="n">
        <v>24</v>
      </c>
      <c r="DK630" t="n">
        <v>1</v>
      </c>
      <c r="DL630" t="n">
        <v>31</v>
      </c>
      <c r="DM630" t="n">
        <v>32</v>
      </c>
      <c r="DN630" t="n">
        <v>3</v>
      </c>
      <c r="EF630" t="n">
        <v>147.8</v>
      </c>
      <c r="EG630" t="n">
        <v>50.3</v>
      </c>
      <c r="EH630" t="n">
        <v>62.2</v>
      </c>
      <c r="EI630" t="n">
        <v>2637.8</v>
      </c>
      <c r="EJ630" t="n">
        <v>641.8</v>
      </c>
      <c r="EK630" t="n">
        <v>516.2</v>
      </c>
    </row>
    <row r="631">
      <c r="A631" t="inlineStr">
        <is>
          <t>George Earthy</t>
        </is>
      </c>
      <c r="D631" t="inlineStr">
        <is>
          <t>MID</t>
        </is>
      </c>
      <c r="F631" t="b">
        <v>0</v>
      </c>
      <c r="G631" t="b">
        <v>1</v>
      </c>
      <c r="L631" t="inlineStr">
        <is>
          <t>p490885</t>
        </is>
      </c>
      <c r="Q631" t="n">
        <v>8</v>
      </c>
      <c r="R631" t="n">
        <v>1</v>
      </c>
      <c r="T631" t="n">
        <v>0.089</v>
      </c>
      <c r="U631" t="n">
        <v>8</v>
      </c>
      <c r="AD631" t="n">
        <v>0</v>
      </c>
      <c r="AE631" t="n">
        <v>0</v>
      </c>
      <c r="AG631" t="n">
        <v>3</v>
      </c>
      <c r="AH631" t="n">
        <v>0</v>
      </c>
      <c r="AI631" t="n">
        <v>1</v>
      </c>
      <c r="AN631" t="n">
        <v>0</v>
      </c>
      <c r="AO631" t="n">
        <v>0</v>
      </c>
      <c r="AS631" t="n">
        <v>0</v>
      </c>
      <c r="AT631" t="n">
        <v>0</v>
      </c>
      <c r="AU631" t="n">
        <v>1</v>
      </c>
      <c r="AV631" t="n">
        <v>0</v>
      </c>
      <c r="AW631" t="n">
        <v>0.16</v>
      </c>
      <c r="AX631" t="n">
        <v>1</v>
      </c>
      <c r="AZ631" t="n">
        <v>0</v>
      </c>
      <c r="BA631" t="n">
        <v>0</v>
      </c>
      <c r="BB631" t="n">
        <v>0</v>
      </c>
      <c r="BD631" t="n">
        <v>0</v>
      </c>
      <c r="BE631" t="n">
        <v>0</v>
      </c>
      <c r="BH631" t="n">
        <v>1.054</v>
      </c>
      <c r="BI631" t="n">
        <v>0.35</v>
      </c>
      <c r="BJ631" t="n">
        <v>0</v>
      </c>
      <c r="BK631" t="n">
        <v>0</v>
      </c>
      <c r="BS631" t="n">
        <v>1</v>
      </c>
      <c r="BT631" t="n">
        <v>11.25</v>
      </c>
      <c r="BX631" t="n">
        <v>0</v>
      </c>
      <c r="BY631" t="n">
        <v>0</v>
      </c>
      <c r="BZ631" t="n">
        <v>0</v>
      </c>
      <c r="CA631" t="n">
        <v>0</v>
      </c>
      <c r="CB631" t="n">
        <v>0</v>
      </c>
      <c r="CC631" t="n">
        <v>0</v>
      </c>
      <c r="CI631" t="n">
        <v>0</v>
      </c>
      <c r="CJ631" t="n">
        <v>0</v>
      </c>
      <c r="EG631" t="n">
        <v>8</v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n">
        <v>4.5</v>
      </c>
      <c r="F632" t="b">
        <v>1</v>
      </c>
      <c r="G632" t="b">
        <v>0</v>
      </c>
      <c r="H632" t="n">
        <v>22.9</v>
      </c>
      <c r="I632" t="inlineStr">
        <is>
          <t>a</t>
        </is>
      </c>
      <c r="M632" t="n">
        <v>191</v>
      </c>
      <c r="DO632" t="n">
        <v>0.2</v>
      </c>
      <c r="DP632" t="n">
        <v>0</v>
      </c>
      <c r="DQ632" t="n">
        <v>0</v>
      </c>
      <c r="DR632" t="n">
        <v>0</v>
      </c>
      <c r="DS632" t="n">
        <v>0</v>
      </c>
      <c r="DT632" t="n">
        <v>0</v>
      </c>
      <c r="DU632" t="n">
        <v>0</v>
      </c>
      <c r="DV632" t="inlineStr">
        <is>
          <t>flat</t>
        </is>
      </c>
    </row>
    <row r="633">
      <c r="A633" t="inlineStr">
        <is>
          <t>Zeki Amdouni</t>
        </is>
      </c>
      <c r="D633" t="inlineStr">
        <is>
          <t>FWD</t>
        </is>
      </c>
      <c r="F633" t="b">
        <v>0</v>
      </c>
      <c r="G633" t="b">
        <v>1</v>
      </c>
      <c r="L633" t="inlineStr">
        <is>
          <t>p492831</t>
        </is>
      </c>
      <c r="Q633" t="n">
        <v>69</v>
      </c>
      <c r="R633" t="n">
        <v>4</v>
      </c>
      <c r="T633" t="n">
        <v>0.767</v>
      </c>
      <c r="U633" t="n">
        <v>17.2</v>
      </c>
      <c r="AD633" t="n">
        <v>0</v>
      </c>
      <c r="AE633" t="n">
        <v>0</v>
      </c>
      <c r="AG633" t="n">
        <v>10</v>
      </c>
      <c r="AH633" t="n">
        <v>0</v>
      </c>
      <c r="AI633" t="n">
        <v>4</v>
      </c>
      <c r="AN633" t="n">
        <v>0</v>
      </c>
      <c r="AO633" t="n">
        <v>0</v>
      </c>
      <c r="AS633" t="n">
        <v>0</v>
      </c>
      <c r="AT633" t="n">
        <v>0</v>
      </c>
      <c r="AU633" t="n">
        <v>4</v>
      </c>
      <c r="AV633" t="n">
        <v>0</v>
      </c>
      <c r="AW633" t="n">
        <v>0.31</v>
      </c>
      <c r="AX633" t="n">
        <v>1</v>
      </c>
      <c r="AZ633" t="n">
        <v>0.173</v>
      </c>
      <c r="BA633" t="n">
        <v>0.173</v>
      </c>
      <c r="BB633" t="n">
        <v>0.173</v>
      </c>
      <c r="BD633" t="n">
        <v>0.225</v>
      </c>
      <c r="BE633" t="n">
        <v>0.225</v>
      </c>
      <c r="BF633" t="n">
        <v>0</v>
      </c>
      <c r="BG633" t="n">
        <v>0</v>
      </c>
      <c r="BH633" t="n">
        <v>1.022</v>
      </c>
      <c r="BI633" t="n">
        <v>5.79</v>
      </c>
      <c r="BJ633" t="n">
        <v>0.245</v>
      </c>
      <c r="BK633" t="n">
        <v>0.32</v>
      </c>
      <c r="BP633" t="n">
        <v>3</v>
      </c>
      <c r="BQ633" t="n">
        <v>1</v>
      </c>
      <c r="BS633" t="n">
        <v>4</v>
      </c>
      <c r="BT633" t="n">
        <v>5.217</v>
      </c>
      <c r="BX633" t="n">
        <v>0</v>
      </c>
      <c r="BY633" t="n">
        <v>0</v>
      </c>
      <c r="BZ633" t="n">
        <v>0</v>
      </c>
      <c r="CA633" t="n">
        <v>0.173</v>
      </c>
      <c r="CB633" t="n">
        <v>0.225</v>
      </c>
      <c r="CC633" t="n">
        <v>0</v>
      </c>
      <c r="CI633" t="n">
        <v>0.255</v>
      </c>
      <c r="CJ633" t="n">
        <v>0.083</v>
      </c>
      <c r="CR633" t="n">
        <v>3</v>
      </c>
      <c r="CS633" t="n">
        <v>1</v>
      </c>
      <c r="DH633" t="n">
        <v>1</v>
      </c>
      <c r="DI633" t="n">
        <v>1</v>
      </c>
      <c r="DL633" t="n">
        <v>1</v>
      </c>
      <c r="DM633" t="n">
        <v>1</v>
      </c>
      <c r="EF633" t="n">
        <v>23</v>
      </c>
      <c r="EG633" t="n">
        <v>17.2</v>
      </c>
      <c r="EI633" t="n">
        <v>399.3</v>
      </c>
      <c r="EK633" t="n">
        <v>399.3</v>
      </c>
    </row>
    <row r="634">
      <c r="A634" t="inlineStr">
        <is>
          <t>Radu Dragusin</t>
        </is>
      </c>
      <c r="D634" t="inlineStr">
        <is>
          <t>DEF</t>
        </is>
      </c>
      <c r="F634" t="b">
        <v>0</v>
      </c>
      <c r="G634" t="b">
        <v>1</v>
      </c>
      <c r="L634" t="inlineStr">
        <is>
          <t>p493125</t>
        </is>
      </c>
      <c r="Q634" t="n">
        <v>515</v>
      </c>
      <c r="R634" t="n">
        <v>10</v>
      </c>
      <c r="T634" t="n">
        <v>5.722</v>
      </c>
      <c r="U634" t="n">
        <v>51.5</v>
      </c>
      <c r="AD634" t="n">
        <v>0</v>
      </c>
      <c r="AE634" t="n">
        <v>0</v>
      </c>
      <c r="AG634" t="n">
        <v>21</v>
      </c>
      <c r="AH634" t="n">
        <v>-13</v>
      </c>
      <c r="AI634" t="n">
        <v>17</v>
      </c>
      <c r="AN634" t="n">
        <v>4</v>
      </c>
      <c r="AO634" t="n">
        <v>8</v>
      </c>
      <c r="AP634" t="n">
        <v>0.8</v>
      </c>
      <c r="AQ634" t="n">
        <v>0.8</v>
      </c>
      <c r="AR634" t="n">
        <v>0.8</v>
      </c>
      <c r="AS634" t="n">
        <v>0.132</v>
      </c>
      <c r="AT634" t="n">
        <v>0.5</v>
      </c>
      <c r="AU634" t="n">
        <v>7</v>
      </c>
      <c r="AV634" t="n">
        <v>0</v>
      </c>
      <c r="AW634" t="n">
        <v>0.98</v>
      </c>
      <c r="AX634" t="n">
        <v>4</v>
      </c>
      <c r="AZ634" t="n">
        <v>0.208</v>
      </c>
      <c r="BA634" t="n">
        <v>0.208</v>
      </c>
      <c r="BB634" t="n">
        <v>0.208</v>
      </c>
      <c r="BD634" t="n">
        <v>0.036</v>
      </c>
      <c r="BE634" t="n">
        <v>0.036</v>
      </c>
      <c r="BH634" t="n">
        <v>0.9320000000000001</v>
      </c>
      <c r="BI634" t="n">
        <v>0.58</v>
      </c>
      <c r="BJ634" t="n">
        <v>0.289</v>
      </c>
      <c r="BK634" t="n">
        <v>0.051</v>
      </c>
      <c r="BP634" t="n">
        <v>4</v>
      </c>
      <c r="BQ634" t="n">
        <v>0</v>
      </c>
      <c r="BS634" t="n">
        <v>9</v>
      </c>
      <c r="BT634" t="n">
        <v>1.573</v>
      </c>
      <c r="BX634" t="n">
        <v>0</v>
      </c>
      <c r="BY634" t="n">
        <v>0</v>
      </c>
      <c r="BZ634" t="n">
        <v>0</v>
      </c>
      <c r="CA634" t="n">
        <v>0.208</v>
      </c>
      <c r="CB634" t="n">
        <v>0.036</v>
      </c>
      <c r="CC634" t="n">
        <v>0</v>
      </c>
      <c r="CI634" t="n">
        <v>0.8120000000000001</v>
      </c>
      <c r="CJ634" t="n">
        <v>0.8120000000000001</v>
      </c>
      <c r="CN634" t="n">
        <v>2</v>
      </c>
      <c r="CO634" t="n">
        <v>16</v>
      </c>
      <c r="CP634" t="n">
        <v>46</v>
      </c>
      <c r="CQ634" t="n">
        <v>8</v>
      </c>
      <c r="CR634" t="n">
        <v>26</v>
      </c>
      <c r="CS634" t="n">
        <v>19</v>
      </c>
      <c r="CU634" t="n">
        <v>2</v>
      </c>
      <c r="CV634" t="n">
        <v>1</v>
      </c>
      <c r="DH634" t="n">
        <v>9</v>
      </c>
      <c r="DI634" t="n">
        <v>1</v>
      </c>
      <c r="DL634" t="n">
        <v>1</v>
      </c>
      <c r="DM634" t="n">
        <v>2</v>
      </c>
      <c r="EF634" t="n">
        <v>128.8</v>
      </c>
      <c r="EG634" t="n">
        <v>57.2</v>
      </c>
      <c r="EI634" t="n">
        <v>2478.8</v>
      </c>
      <c r="EK634" t="n">
        <v>2478.8</v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n">
        <v>4.5</v>
      </c>
      <c r="F635" t="b">
        <v>1</v>
      </c>
      <c r="G635" t="b">
        <v>0</v>
      </c>
      <c r="H635" t="n">
        <v>23</v>
      </c>
      <c r="I635" t="inlineStr">
        <is>
          <t>a</t>
        </is>
      </c>
      <c r="M635" t="n">
        <v>573</v>
      </c>
      <c r="DO635" t="n">
        <v>0.1</v>
      </c>
      <c r="DP635" t="n">
        <v>134</v>
      </c>
      <c r="DQ635" t="n">
        <v>67.04000000000001</v>
      </c>
      <c r="DR635" t="n">
        <v>134.08</v>
      </c>
      <c r="DS635" t="n">
        <v>-0.08</v>
      </c>
      <c r="DT635" t="n">
        <v>3098</v>
      </c>
      <c r="DU635" t="n">
        <v>81.53</v>
      </c>
      <c r="DV635" t="inlineStr">
        <is>
          <t>flat</t>
        </is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n">
        <v>4</v>
      </c>
      <c r="F636" t="b">
        <v>1</v>
      </c>
      <c r="G636" t="b">
        <v>0</v>
      </c>
      <c r="H636" t="n">
        <v>24.3</v>
      </c>
      <c r="I636" t="inlineStr">
        <is>
          <t>u</t>
        </is>
      </c>
      <c r="J636" t="inlineStr">
        <is>
          <t>Has joined Grimsby Town on loan for the rest of the season</t>
        </is>
      </c>
      <c r="K636" t="n">
        <v>0</v>
      </c>
      <c r="M636" t="n">
        <v>275</v>
      </c>
      <c r="DO636" t="n">
        <v>0.1</v>
      </c>
    </row>
    <row r="637">
      <c r="A637" t="inlineStr">
        <is>
          <t>Quilindschy Hartman</t>
        </is>
      </c>
      <c r="D637" t="inlineStr">
        <is>
          <t>DEF</t>
        </is>
      </c>
      <c r="F637" t="b">
        <v>0</v>
      </c>
      <c r="G637" t="b">
        <v>1</v>
      </c>
      <c r="L637" t="inlineStr">
        <is>
          <t>p494960</t>
        </is>
      </c>
      <c r="Q637" t="n">
        <v>1830</v>
      </c>
      <c r="R637" t="n">
        <v>21</v>
      </c>
      <c r="T637" t="n">
        <v>20.333</v>
      </c>
      <c r="U637" t="n">
        <v>87.09999999999999</v>
      </c>
      <c r="Z637" t="n">
        <v>5</v>
      </c>
      <c r="AD637" t="n">
        <v>0</v>
      </c>
      <c r="AE637" t="n">
        <v>0</v>
      </c>
      <c r="AG637" t="n">
        <v>210</v>
      </c>
      <c r="AH637" t="n">
        <v>-18</v>
      </c>
      <c r="AI637" t="n">
        <v>63</v>
      </c>
      <c r="AN637" t="n">
        <v>3</v>
      </c>
      <c r="AO637" t="n">
        <v>6</v>
      </c>
      <c r="AP637" t="n">
        <v>0.143</v>
      </c>
      <c r="AQ637" t="n">
        <v>0.143</v>
      </c>
      <c r="AR637" t="n">
        <v>0.143</v>
      </c>
      <c r="AS637" t="n">
        <v>0.553</v>
      </c>
      <c r="AT637" t="n">
        <v>1</v>
      </c>
      <c r="AU637" t="n">
        <v>10</v>
      </c>
      <c r="AV637" t="n">
        <v>0</v>
      </c>
      <c r="AW637" t="n">
        <v>2.1</v>
      </c>
      <c r="AX637" t="n">
        <v>7</v>
      </c>
      <c r="AZ637" t="n">
        <v>0.377</v>
      </c>
      <c r="BA637" t="n">
        <v>0.377</v>
      </c>
      <c r="BB637" t="n">
        <v>0.377</v>
      </c>
      <c r="BD637" t="n">
        <v>0.019</v>
      </c>
      <c r="BE637" t="n">
        <v>0.019</v>
      </c>
      <c r="BF637" t="n">
        <v>0.2</v>
      </c>
      <c r="BG637" t="n">
        <v>0.01</v>
      </c>
      <c r="BH637" t="n">
        <v>0.986</v>
      </c>
      <c r="BI637" t="n">
        <v>0.32</v>
      </c>
      <c r="BJ637" t="n">
        <v>0.315</v>
      </c>
      <c r="BK637" t="n">
        <v>0.015</v>
      </c>
      <c r="BP637" t="n">
        <v>9</v>
      </c>
      <c r="BQ637" t="n">
        <v>3</v>
      </c>
      <c r="BR637" t="n">
        <v>1</v>
      </c>
      <c r="BS637" t="n">
        <v>26</v>
      </c>
      <c r="BT637" t="n">
        <v>1.279</v>
      </c>
      <c r="BX637" t="n">
        <v>2.79</v>
      </c>
      <c r="BY637" t="n">
        <v>2.79</v>
      </c>
      <c r="BZ637" t="n">
        <v>0.137</v>
      </c>
      <c r="CA637" t="n">
        <v>3.168</v>
      </c>
      <c r="CB637" t="n">
        <v>0.156</v>
      </c>
      <c r="CC637" t="n">
        <v>20</v>
      </c>
      <c r="CD637" t="n">
        <v>6</v>
      </c>
      <c r="CE637" t="n">
        <v>20</v>
      </c>
      <c r="CF637" t="n">
        <v>11</v>
      </c>
      <c r="CG637" t="n">
        <v>0</v>
      </c>
      <c r="CH637" t="n">
        <v>21</v>
      </c>
      <c r="CI637" t="n">
        <v>5.235</v>
      </c>
      <c r="CJ637" t="n">
        <v>4.076</v>
      </c>
      <c r="CN637" t="n">
        <v>32</v>
      </c>
      <c r="CO637" t="n">
        <v>31</v>
      </c>
      <c r="CP637" t="n">
        <v>66</v>
      </c>
      <c r="CQ637" t="n">
        <v>4</v>
      </c>
      <c r="CR637" t="n">
        <v>70</v>
      </c>
      <c r="CS637" t="n">
        <v>10</v>
      </c>
      <c r="CU637" t="n">
        <v>1</v>
      </c>
      <c r="CV637" t="n">
        <v>1</v>
      </c>
      <c r="DE637" t="n">
        <v>6.77</v>
      </c>
      <c r="DH637" t="n">
        <v>13</v>
      </c>
      <c r="DI637" t="n">
        <v>3</v>
      </c>
      <c r="DL637" t="n">
        <v>5</v>
      </c>
      <c r="DM637" t="n">
        <v>6</v>
      </c>
      <c r="DN637" t="n">
        <v>1</v>
      </c>
      <c r="EF637" t="n">
        <v>203.3</v>
      </c>
      <c r="EG637" t="n">
        <v>70.40000000000001</v>
      </c>
      <c r="EH637" t="n">
        <v>91.5</v>
      </c>
      <c r="EI637" t="n">
        <v>4848.1</v>
      </c>
      <c r="EJ637" t="n">
        <v>655.9</v>
      </c>
      <c r="EK637" t="n">
        <v>577.7</v>
      </c>
    </row>
    <row r="638">
      <c r="A638" t="inlineStr">
        <is>
          <t>Tawanda Chirewa</t>
        </is>
      </c>
      <c r="D638" t="inlineStr">
        <is>
          <t>MID</t>
        </is>
      </c>
      <c r="F638" t="b">
        <v>0</v>
      </c>
      <c r="G638" t="b">
        <v>1</v>
      </c>
      <c r="L638" t="inlineStr">
        <is>
          <t>p497606</t>
        </is>
      </c>
      <c r="Q638" t="n">
        <v>25</v>
      </c>
      <c r="R638" t="n">
        <v>2</v>
      </c>
      <c r="T638" t="n">
        <v>0.278</v>
      </c>
      <c r="U638" t="n">
        <v>12.5</v>
      </c>
      <c r="AD638" t="n">
        <v>0</v>
      </c>
      <c r="AE638" t="n">
        <v>0</v>
      </c>
      <c r="AG638" t="n">
        <v>4</v>
      </c>
      <c r="AH638" t="n">
        <v>0</v>
      </c>
      <c r="AI638" t="n">
        <v>2</v>
      </c>
      <c r="AN638" t="n">
        <v>0</v>
      </c>
      <c r="AO638" t="n">
        <v>0</v>
      </c>
      <c r="AS638" t="n">
        <v>0</v>
      </c>
      <c r="AT638" t="n">
        <v>0</v>
      </c>
      <c r="AU638" t="n">
        <v>2</v>
      </c>
      <c r="AV638" t="n">
        <v>0</v>
      </c>
      <c r="AW638" t="n">
        <v>0.23</v>
      </c>
      <c r="AX638" t="n">
        <v>1</v>
      </c>
      <c r="AZ638" t="n">
        <v>0</v>
      </c>
      <c r="BA638" t="n">
        <v>0</v>
      </c>
      <c r="BB638" t="n">
        <v>0</v>
      </c>
      <c r="BD638" t="n">
        <v>0</v>
      </c>
      <c r="BE638" t="n">
        <v>0</v>
      </c>
      <c r="BH638" t="n">
        <v>0.993</v>
      </c>
      <c r="BI638" t="n">
        <v>0.16</v>
      </c>
      <c r="BJ638" t="n">
        <v>0</v>
      </c>
      <c r="BK638" t="n">
        <v>0</v>
      </c>
      <c r="BX638" t="n">
        <v>0</v>
      </c>
      <c r="BY638" t="n">
        <v>0</v>
      </c>
      <c r="BZ638" t="n">
        <v>0</v>
      </c>
      <c r="CA638" t="n">
        <v>0</v>
      </c>
      <c r="CB638" t="n">
        <v>0</v>
      </c>
      <c r="CC638" t="n">
        <v>0</v>
      </c>
      <c r="CI638" t="n">
        <v>0</v>
      </c>
      <c r="CJ638" t="n">
        <v>0</v>
      </c>
      <c r="CO638" t="n">
        <v>0</v>
      </c>
      <c r="CP638" t="n">
        <v>1</v>
      </c>
      <c r="CR638" t="n">
        <v>4</v>
      </c>
      <c r="DH638" t="n">
        <v>3</v>
      </c>
      <c r="DI638" t="n">
        <v>1</v>
      </c>
    </row>
    <row r="639">
      <c r="A639" t="inlineStr">
        <is>
          <t>David Møller Wolfe</t>
        </is>
      </c>
      <c r="D639" t="inlineStr">
        <is>
          <t>DEF</t>
        </is>
      </c>
      <c r="F639" t="b">
        <v>0</v>
      </c>
      <c r="G639" t="b">
        <v>1</v>
      </c>
      <c r="L639" t="inlineStr">
        <is>
          <t>p497949</t>
        </is>
      </c>
      <c r="Q639" t="n">
        <v>1049</v>
      </c>
      <c r="R639" t="n">
        <v>22</v>
      </c>
      <c r="T639" t="n">
        <v>11.656</v>
      </c>
      <c r="U639" t="n">
        <v>47.7</v>
      </c>
      <c r="Z639" t="n">
        <v>2</v>
      </c>
      <c r="AD639" t="n">
        <v>0</v>
      </c>
      <c r="AE639" t="n">
        <v>0</v>
      </c>
      <c r="AG639" t="n">
        <v>73</v>
      </c>
      <c r="AH639" t="n">
        <v>-5</v>
      </c>
      <c r="AI639" t="n">
        <v>35</v>
      </c>
      <c r="AN639" t="n">
        <v>0</v>
      </c>
      <c r="AO639" t="n">
        <v>0</v>
      </c>
      <c r="AP639" t="n">
        <v>0</v>
      </c>
      <c r="AQ639" t="n">
        <v>0</v>
      </c>
      <c r="AR639" t="n">
        <v>0</v>
      </c>
      <c r="AS639" t="n">
        <v>0.289</v>
      </c>
      <c r="AT639" t="n">
        <v>0.455</v>
      </c>
      <c r="AU639" t="n">
        <v>19</v>
      </c>
      <c r="AV639" t="n">
        <v>0</v>
      </c>
      <c r="AW639" t="n">
        <v>1.24</v>
      </c>
      <c r="AX639" t="n">
        <v>6</v>
      </c>
      <c r="AZ639" t="n">
        <v>0.083</v>
      </c>
      <c r="BA639" t="n">
        <v>0.083</v>
      </c>
      <c r="BB639" t="n">
        <v>0.083</v>
      </c>
      <c r="BD639" t="n">
        <v>0.007</v>
      </c>
      <c r="BE639" t="n">
        <v>0.007</v>
      </c>
      <c r="BH639" t="n">
        <v>0.984</v>
      </c>
      <c r="BI639" t="n">
        <v>0.13</v>
      </c>
      <c r="BJ639" t="n">
        <v>0.128</v>
      </c>
      <c r="BK639" t="n">
        <v>0.011</v>
      </c>
      <c r="BP639" t="n">
        <v>3</v>
      </c>
      <c r="BS639" t="n">
        <v>19</v>
      </c>
      <c r="BT639" t="n">
        <v>1.63</v>
      </c>
      <c r="BX639" t="n">
        <v>1.305</v>
      </c>
      <c r="BY639" t="n">
        <v>1.305</v>
      </c>
      <c r="BZ639" t="n">
        <v>0.112</v>
      </c>
      <c r="CA639" t="n">
        <v>1.387</v>
      </c>
      <c r="CB639" t="n">
        <v>0.119</v>
      </c>
      <c r="CC639" t="n">
        <v>8</v>
      </c>
      <c r="CD639" t="n">
        <v>3</v>
      </c>
      <c r="CE639" t="n">
        <v>8</v>
      </c>
      <c r="CF639" t="n">
        <v>8</v>
      </c>
      <c r="CH639" t="n">
        <v>3</v>
      </c>
      <c r="CI639" t="n">
        <v>1.79</v>
      </c>
      <c r="CJ639" t="n">
        <v>1.297</v>
      </c>
      <c r="CN639" t="n">
        <v>5</v>
      </c>
      <c r="CO639" t="n">
        <v>7</v>
      </c>
      <c r="CP639" t="n">
        <v>31</v>
      </c>
      <c r="CQ639" t="n">
        <v>2</v>
      </c>
      <c r="CR639" t="n">
        <v>30</v>
      </c>
      <c r="CS639" t="n">
        <v>11</v>
      </c>
      <c r="CT639" t="n">
        <v>0.2</v>
      </c>
      <c r="DH639" t="n">
        <v>10</v>
      </c>
      <c r="DI639" t="n">
        <v>4</v>
      </c>
      <c r="DL639" t="n">
        <v>5</v>
      </c>
      <c r="DM639" t="n">
        <v>2</v>
      </c>
      <c r="EF639" t="n">
        <v>349.7</v>
      </c>
      <c r="EG639" t="n">
        <v>55.2</v>
      </c>
      <c r="EH639" t="n">
        <v>131.1</v>
      </c>
      <c r="EI639" t="n">
        <v>12706.2</v>
      </c>
      <c r="EJ639" t="n">
        <v>804</v>
      </c>
      <c r="EK639" t="n">
        <v>756.2</v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n">
        <v>5</v>
      </c>
      <c r="F640" t="b">
        <v>1</v>
      </c>
      <c r="G640" t="b">
        <v>0</v>
      </c>
      <c r="H640" t="n">
        <v>28.4</v>
      </c>
      <c r="I640" t="inlineStr">
        <is>
          <t>a</t>
        </is>
      </c>
      <c r="M640" t="n">
        <v>583</v>
      </c>
      <c r="DO640" t="n">
        <v>0.1</v>
      </c>
      <c r="DP640" t="n">
        <v>35.34</v>
      </c>
      <c r="DQ640" t="n">
        <v>17.7</v>
      </c>
      <c r="DR640" t="n">
        <v>35.4</v>
      </c>
      <c r="DS640" t="n">
        <v>-0.06</v>
      </c>
      <c r="DT640" t="n">
        <v>534</v>
      </c>
      <c r="DU640" t="n">
        <v>14.04</v>
      </c>
      <c r="DV640" t="inlineStr">
        <is>
          <t>flat</t>
        </is>
      </c>
      <c r="DW640" t="n">
        <v>108.1</v>
      </c>
      <c r="DY640" t="n">
        <v>6.33</v>
      </c>
      <c r="DZ640" t="n">
        <v>100.8</v>
      </c>
      <c r="EA640" t="n">
        <v>112</v>
      </c>
      <c r="EB640" t="n">
        <v>3</v>
      </c>
      <c r="EC640" t="n">
        <v>1.4</v>
      </c>
      <c r="ED640" t="n">
        <v>0</v>
      </c>
      <c r="EE640" t="n">
        <v>387</v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n">
        <v>4.5</v>
      </c>
      <c r="F641" t="b">
        <v>1</v>
      </c>
      <c r="G641" t="b">
        <v>0</v>
      </c>
      <c r="H641" t="n">
        <v>24.2</v>
      </c>
      <c r="I641" t="inlineStr">
        <is>
          <t>a</t>
        </is>
      </c>
      <c r="M641" t="n">
        <v>298</v>
      </c>
      <c r="DO641" t="n">
        <v>2.3</v>
      </c>
      <c r="DP641" t="n">
        <v>26.3</v>
      </c>
      <c r="DQ641" t="n">
        <v>12.56</v>
      </c>
      <c r="DR641" t="n">
        <v>25.12</v>
      </c>
      <c r="DS641" t="n">
        <v>1.18</v>
      </c>
      <c r="DT641" t="n">
        <v>93</v>
      </c>
      <c r="DU641" t="n">
        <v>2.45</v>
      </c>
      <c r="DV641" t="inlineStr">
        <is>
          <t>flat</t>
        </is>
      </c>
      <c r="DW641" t="n">
        <v>117</v>
      </c>
      <c r="DX641" t="n">
        <v>117</v>
      </c>
      <c r="DZ641" t="n">
        <v>117</v>
      </c>
      <c r="EA641" t="n">
        <v>117</v>
      </c>
      <c r="EB641" t="n">
        <v>1</v>
      </c>
      <c r="EC641" t="n">
        <v>0.5</v>
      </c>
      <c r="ED641" t="n">
        <v>0</v>
      </c>
      <c r="EE641" t="n">
        <v>496</v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n">
        <v>5</v>
      </c>
      <c r="F642" t="b">
        <v>1</v>
      </c>
      <c r="G642" t="b">
        <v>0</v>
      </c>
      <c r="H642" t="n">
        <v>26.5</v>
      </c>
      <c r="I642" t="inlineStr">
        <is>
          <t>a</t>
        </is>
      </c>
      <c r="M642" t="n">
        <v>309</v>
      </c>
      <c r="O642" t="n">
        <v>1</v>
      </c>
      <c r="P642" t="n">
        <v>1</v>
      </c>
      <c r="DO642" t="n">
        <v>0.2</v>
      </c>
      <c r="DP642" t="n">
        <v>114.84</v>
      </c>
      <c r="DQ642" t="n">
        <v>57.47</v>
      </c>
      <c r="DR642" t="n">
        <v>114.94</v>
      </c>
      <c r="DS642" t="n">
        <v>-0.1</v>
      </c>
      <c r="DT642" t="n">
        <v>2736</v>
      </c>
      <c r="DU642" t="n">
        <v>72</v>
      </c>
      <c r="DV642" t="inlineStr">
        <is>
          <t>flat</t>
        </is>
      </c>
      <c r="DW642" t="n">
        <v>105.33</v>
      </c>
      <c r="DZ642" t="n">
        <v>105.33</v>
      </c>
      <c r="EA642" t="n">
        <v>105.33</v>
      </c>
      <c r="EB642" t="n">
        <v>1</v>
      </c>
      <c r="EC642" t="n">
        <v>0.5</v>
      </c>
      <c r="ED642" t="n">
        <v>0</v>
      </c>
      <c r="EE642" t="n">
        <v>356</v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n">
        <v>5</v>
      </c>
      <c r="F643" t="b">
        <v>1</v>
      </c>
      <c r="G643" t="b">
        <v>0</v>
      </c>
      <c r="H643" t="n">
        <v>29.8</v>
      </c>
      <c r="I643" t="inlineStr">
        <is>
          <t>a</t>
        </is>
      </c>
      <c r="M643" t="n">
        <v>185</v>
      </c>
      <c r="DO643" t="n">
        <v>0.2</v>
      </c>
      <c r="DP643" t="n">
        <v>75.39</v>
      </c>
      <c r="DQ643" t="n">
        <v>37.95</v>
      </c>
      <c r="DR643" t="n">
        <v>75.90000000000001</v>
      </c>
      <c r="DS643" t="n">
        <v>-0.51</v>
      </c>
      <c r="DT643" t="n">
        <v>1927</v>
      </c>
      <c r="DU643" t="n">
        <v>50.7</v>
      </c>
      <c r="DV643" t="inlineStr">
        <is>
          <t>flat</t>
        </is>
      </c>
    </row>
    <row r="644">
      <c r="A644" t="inlineStr">
        <is>
          <t>Yerson Mosquera</t>
        </is>
      </c>
      <c r="D644" t="inlineStr">
        <is>
          <t>DEF</t>
        </is>
      </c>
      <c r="F644" t="b">
        <v>0</v>
      </c>
      <c r="G644" t="b">
        <v>1</v>
      </c>
      <c r="L644" t="inlineStr">
        <is>
          <t>p501837</t>
        </is>
      </c>
      <c r="Q644" t="n">
        <v>2142</v>
      </c>
      <c r="R644" t="n">
        <v>27</v>
      </c>
      <c r="T644" t="n">
        <v>23.8</v>
      </c>
      <c r="U644" t="n">
        <v>79.3</v>
      </c>
      <c r="AD644" t="n">
        <v>3</v>
      </c>
      <c r="AE644" t="n">
        <v>0</v>
      </c>
      <c r="AG644" t="n">
        <v>179</v>
      </c>
      <c r="AH644" t="n">
        <v>-30</v>
      </c>
      <c r="AI644" t="n">
        <v>61</v>
      </c>
      <c r="AN644" t="n">
        <v>10</v>
      </c>
      <c r="AO644" t="n">
        <v>20</v>
      </c>
      <c r="AP644" t="n">
        <v>0.417</v>
      </c>
      <c r="AQ644" t="n">
        <v>0.417</v>
      </c>
      <c r="AR644" t="n">
        <v>0.208</v>
      </c>
      <c r="AS644" t="n">
        <v>0.632</v>
      </c>
      <c r="AT644" t="n">
        <v>0.889</v>
      </c>
      <c r="AU644" t="n">
        <v>16</v>
      </c>
      <c r="AV644" t="n">
        <v>0</v>
      </c>
      <c r="AW644" t="n">
        <v>2.47</v>
      </c>
      <c r="AX644" t="n">
        <v>9</v>
      </c>
      <c r="AZ644" t="n">
        <v>2.966</v>
      </c>
      <c r="BA644" t="n">
        <v>2.966</v>
      </c>
      <c r="BB644" t="n">
        <v>2.966</v>
      </c>
      <c r="BD644" t="n">
        <v>0.125</v>
      </c>
      <c r="BE644" t="n">
        <v>0.125</v>
      </c>
      <c r="BF644" t="n">
        <v>0.6</v>
      </c>
      <c r="BG644" t="n">
        <v>0.025</v>
      </c>
      <c r="BH644" t="n">
        <v>0.793</v>
      </c>
      <c r="BI644" t="n">
        <v>2.84</v>
      </c>
      <c r="BJ644" t="n">
        <v>1.991</v>
      </c>
      <c r="BK644" t="n">
        <v>0.08400000000000001</v>
      </c>
      <c r="BP644" t="n">
        <v>30</v>
      </c>
      <c r="BQ644" t="n">
        <v>6</v>
      </c>
      <c r="BR644" t="n">
        <v>4</v>
      </c>
      <c r="BS644" t="n">
        <v>54</v>
      </c>
      <c r="BT644" t="n">
        <v>2.269</v>
      </c>
      <c r="BX644" t="n">
        <v>1.203</v>
      </c>
      <c r="BY644" t="n">
        <v>1.203</v>
      </c>
      <c r="BZ644" t="n">
        <v>0.051</v>
      </c>
      <c r="CA644" t="n">
        <v>4.169</v>
      </c>
      <c r="CB644" t="n">
        <v>0.175</v>
      </c>
      <c r="CC644" t="n">
        <v>11</v>
      </c>
      <c r="CD644" t="n">
        <v>1</v>
      </c>
      <c r="CE644" t="n">
        <v>11</v>
      </c>
      <c r="CF644" t="n">
        <v>2</v>
      </c>
      <c r="CI644" t="n">
        <v>5.853</v>
      </c>
      <c r="CJ644" t="n">
        <v>3.759</v>
      </c>
      <c r="CN644" t="n">
        <v>39</v>
      </c>
      <c r="CO644" t="n">
        <v>30</v>
      </c>
      <c r="CP644" t="n">
        <v>114</v>
      </c>
      <c r="CQ644" t="n">
        <v>17</v>
      </c>
      <c r="CR644" t="n">
        <v>160</v>
      </c>
      <c r="CS644" t="n">
        <v>47</v>
      </c>
      <c r="CV644" t="n">
        <v>2</v>
      </c>
      <c r="DE644" t="n">
        <v>6.77</v>
      </c>
      <c r="DH644" t="n">
        <v>34</v>
      </c>
      <c r="DI644" t="n">
        <v>44</v>
      </c>
      <c r="DK644" t="n">
        <v>2</v>
      </c>
      <c r="DL644" t="n">
        <v>9</v>
      </c>
      <c r="DM644" t="n">
        <v>5</v>
      </c>
      <c r="DN644" t="n">
        <v>1</v>
      </c>
      <c r="EF644" t="n">
        <v>71.40000000000001</v>
      </c>
      <c r="EG644" t="n">
        <v>39.7</v>
      </c>
      <c r="EH644" t="n">
        <v>194.7</v>
      </c>
      <c r="EI644" t="n">
        <v>722.2</v>
      </c>
      <c r="EJ644" t="n">
        <v>1780.9</v>
      </c>
      <c r="EK644" t="n">
        <v>513.8</v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n">
        <v>4</v>
      </c>
      <c r="F645" t="b">
        <v>1</v>
      </c>
      <c r="G645" t="b">
        <v>0</v>
      </c>
      <c r="H645" t="n">
        <v>22.8</v>
      </c>
      <c r="I645" t="inlineStr">
        <is>
          <t>i</t>
        </is>
      </c>
      <c r="J645" t="inlineStr">
        <is>
          <t>Groin injury - Unknown return date</t>
        </is>
      </c>
      <c r="K645" t="n">
        <v>0</v>
      </c>
      <c r="M645" t="n">
        <v>278</v>
      </c>
      <c r="DO645" t="n">
        <v>0.6</v>
      </c>
      <c r="DP645" t="n">
        <v>88.95999999999999</v>
      </c>
      <c r="DQ645" t="n">
        <v>37.47</v>
      </c>
      <c r="DR645" t="n">
        <v>74.94</v>
      </c>
      <c r="DS645" t="n">
        <v>14.02</v>
      </c>
      <c r="DT645" t="n">
        <v>2673</v>
      </c>
      <c r="DU645" t="n">
        <v>70.34999999999999</v>
      </c>
      <c r="DV645" t="inlineStr">
        <is>
          <t>ramp-up (injury / late WC return)</t>
        </is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n">
        <v>5</v>
      </c>
      <c r="F646" t="b">
        <v>1</v>
      </c>
      <c r="G646" t="b">
        <v>0</v>
      </c>
      <c r="H646" t="n">
        <v>23.5</v>
      </c>
      <c r="I646" t="inlineStr">
        <is>
          <t>d</t>
        </is>
      </c>
      <c r="J646" t="inlineStr">
        <is>
          <t>Hamstring injury - 75% chance of playing</t>
        </is>
      </c>
      <c r="K646" t="n">
        <v>75</v>
      </c>
      <c r="M646" t="n">
        <v>170</v>
      </c>
      <c r="DO646" t="n">
        <v>0.1</v>
      </c>
      <c r="DP646" t="n">
        <v>0</v>
      </c>
      <c r="DQ646" t="n">
        <v>0</v>
      </c>
      <c r="DR646" t="n">
        <v>0</v>
      </c>
      <c r="DS646" t="n">
        <v>0</v>
      </c>
      <c r="DT646" t="n">
        <v>0</v>
      </c>
      <c r="DU646" t="n">
        <v>0</v>
      </c>
      <c r="DV646" t="inlineStr">
        <is>
          <t>flat</t>
        </is>
      </c>
      <c r="DW646" t="n">
        <v>103.05</v>
      </c>
      <c r="DY646" t="n">
        <v>2.05</v>
      </c>
      <c r="DZ646" t="n">
        <v>101.6</v>
      </c>
      <c r="EA646" t="n">
        <v>104.5</v>
      </c>
      <c r="EB646" t="n">
        <v>2</v>
      </c>
      <c r="EC646" t="n">
        <v>1</v>
      </c>
      <c r="ED646" t="n">
        <v>0</v>
      </c>
      <c r="EE646" t="n">
        <v>339</v>
      </c>
    </row>
    <row r="647">
      <c r="A647" t="inlineStr">
        <is>
          <t>Lesley Ugochukwu</t>
        </is>
      </c>
      <c r="D647" t="inlineStr">
        <is>
          <t>MID</t>
        </is>
      </c>
      <c r="F647" t="b">
        <v>0</v>
      </c>
      <c r="G647" t="b">
        <v>1</v>
      </c>
      <c r="L647" t="inlineStr">
        <is>
          <t>p503714</t>
        </is>
      </c>
      <c r="Q647" t="n">
        <v>2350</v>
      </c>
      <c r="R647" t="n">
        <v>35</v>
      </c>
      <c r="T647" t="n">
        <v>26.111</v>
      </c>
      <c r="U647" t="n">
        <v>67.09999999999999</v>
      </c>
      <c r="Z647" t="n">
        <v>1</v>
      </c>
      <c r="AD647" t="n">
        <v>4</v>
      </c>
      <c r="AE647" t="n">
        <v>-1</v>
      </c>
      <c r="AG647" t="n">
        <v>360</v>
      </c>
      <c r="AH647" t="n">
        <v>-14</v>
      </c>
      <c r="AI647" t="n">
        <v>96</v>
      </c>
      <c r="AN647" t="n">
        <v>4</v>
      </c>
      <c r="AO647" t="n">
        <v>8</v>
      </c>
      <c r="AP647" t="n">
        <v>0.148</v>
      </c>
      <c r="AQ647" t="n">
        <v>0.296</v>
      </c>
      <c r="AR647" t="n">
        <v>0.148</v>
      </c>
      <c r="AS647" t="n">
        <v>0.711</v>
      </c>
      <c r="AT647" t="n">
        <v>0.743</v>
      </c>
      <c r="AU647" t="n">
        <v>24</v>
      </c>
      <c r="AV647" t="n">
        <v>1</v>
      </c>
      <c r="AW647" t="n">
        <v>2.4</v>
      </c>
      <c r="AX647" t="n">
        <v>10</v>
      </c>
      <c r="AZ647" t="n">
        <v>2.622</v>
      </c>
      <c r="BA647" t="n">
        <v>2.622</v>
      </c>
      <c r="BB647" t="n">
        <v>2.622</v>
      </c>
      <c r="BD647" t="n">
        <v>0.1</v>
      </c>
      <c r="BE647" t="n">
        <v>0.1</v>
      </c>
      <c r="BF647" t="n">
        <v>2.5</v>
      </c>
      <c r="BG647" t="n">
        <v>0.096</v>
      </c>
      <c r="BH647" t="n">
        <v>0.978</v>
      </c>
      <c r="BI647" t="n">
        <v>3.35</v>
      </c>
      <c r="BJ647" t="n">
        <v>2.445</v>
      </c>
      <c r="BK647" t="n">
        <v>0.094</v>
      </c>
      <c r="BP647" t="n">
        <v>23</v>
      </c>
      <c r="BQ647" t="n">
        <v>8</v>
      </c>
      <c r="BR647" t="n">
        <v>1</v>
      </c>
      <c r="BS647" t="n">
        <v>40</v>
      </c>
      <c r="BT647" t="n">
        <v>1.532</v>
      </c>
      <c r="BV647" t="n">
        <v>2</v>
      </c>
      <c r="BX647" t="n">
        <v>0.449</v>
      </c>
      <c r="BY647" t="n">
        <v>0.449</v>
      </c>
      <c r="BZ647" t="n">
        <v>0.017</v>
      </c>
      <c r="CA647" t="n">
        <v>3.072</v>
      </c>
      <c r="CB647" t="n">
        <v>0.118</v>
      </c>
      <c r="CC647" t="n">
        <v>10</v>
      </c>
      <c r="CE647" t="n">
        <v>10</v>
      </c>
      <c r="CF647" t="n">
        <v>1</v>
      </c>
      <c r="CI647" t="n">
        <v>7.267</v>
      </c>
      <c r="CJ647" t="n">
        <v>4.909</v>
      </c>
      <c r="CN647" t="n">
        <v>25</v>
      </c>
      <c r="CO647" t="n">
        <v>18</v>
      </c>
      <c r="CP647" t="n">
        <v>24</v>
      </c>
      <c r="CQ647" t="n">
        <v>21</v>
      </c>
      <c r="CR647" t="n">
        <v>122</v>
      </c>
      <c r="CS647" t="n">
        <v>26</v>
      </c>
      <c r="CT647" t="n">
        <v>0.3</v>
      </c>
      <c r="CU647" t="n">
        <v>1</v>
      </c>
      <c r="DE647" t="n">
        <v>6.51</v>
      </c>
      <c r="DH647" t="n">
        <v>28</v>
      </c>
      <c r="DI647" t="n">
        <v>30</v>
      </c>
      <c r="DK647" t="n">
        <v>1</v>
      </c>
      <c r="DL647" t="n">
        <v>16</v>
      </c>
      <c r="DM647" t="n">
        <v>31</v>
      </c>
      <c r="DN647" t="n">
        <v>1</v>
      </c>
      <c r="EF647" t="n">
        <v>102.2</v>
      </c>
      <c r="EG647" t="n">
        <v>58.8</v>
      </c>
      <c r="EH647" t="n">
        <v>235</v>
      </c>
      <c r="EI647" t="n">
        <v>896.1</v>
      </c>
      <c r="EJ647" t="n">
        <v>5229.7</v>
      </c>
      <c r="EK647" t="n">
        <v>765</v>
      </c>
    </row>
    <row r="648">
      <c r="A648" t="inlineStr">
        <is>
          <t>André</t>
        </is>
      </c>
      <c r="D648" t="inlineStr">
        <is>
          <t>MID</t>
        </is>
      </c>
      <c r="F648" t="b">
        <v>0</v>
      </c>
      <c r="G648" t="b">
        <v>1</v>
      </c>
      <c r="L648" t="inlineStr">
        <is>
          <t>p509291</t>
        </is>
      </c>
      <c r="Q648" t="n">
        <v>2766</v>
      </c>
      <c r="R648" t="n">
        <v>35</v>
      </c>
      <c r="T648" t="n">
        <v>30.733</v>
      </c>
      <c r="U648" t="n">
        <v>79</v>
      </c>
      <c r="AD648" t="n">
        <v>4</v>
      </c>
      <c r="AE648" t="n">
        <v>0</v>
      </c>
      <c r="AG648" t="n">
        <v>454</v>
      </c>
      <c r="AH648" t="n">
        <v>-19</v>
      </c>
      <c r="AI648" t="n">
        <v>96</v>
      </c>
      <c r="AN648" t="n">
        <v>16</v>
      </c>
      <c r="AO648" t="n">
        <v>32</v>
      </c>
      <c r="AP648" t="n">
        <v>0.533</v>
      </c>
      <c r="AQ648" t="n">
        <v>0.733</v>
      </c>
      <c r="AR648" t="n">
        <v>0.533</v>
      </c>
      <c r="AS648" t="n">
        <v>0.789</v>
      </c>
      <c r="AT648" t="n">
        <v>0.857</v>
      </c>
      <c r="AU648" t="n">
        <v>19</v>
      </c>
      <c r="AV648" t="n">
        <v>1</v>
      </c>
      <c r="AW648" t="n">
        <v>2.1</v>
      </c>
      <c r="AX648" t="n">
        <v>12</v>
      </c>
      <c r="AZ648" t="n">
        <v>0.516</v>
      </c>
      <c r="BA648" t="n">
        <v>0.516</v>
      </c>
      <c r="BB648" t="n">
        <v>0.516</v>
      </c>
      <c r="BD648" t="n">
        <v>0.017</v>
      </c>
      <c r="BE648" t="n">
        <v>0.017</v>
      </c>
      <c r="BF648" t="n">
        <v>0.1</v>
      </c>
      <c r="BG648" t="n">
        <v>0.003</v>
      </c>
      <c r="BH648" t="n">
        <v>0.907</v>
      </c>
      <c r="BI648" t="n">
        <v>0.93</v>
      </c>
      <c r="BJ648" t="n">
        <v>0.472</v>
      </c>
      <c r="BK648" t="n">
        <v>0.015</v>
      </c>
      <c r="BP648" t="n">
        <v>15</v>
      </c>
      <c r="BQ648" t="n">
        <v>1</v>
      </c>
      <c r="BS648" t="n">
        <v>6</v>
      </c>
      <c r="BT648" t="n">
        <v>0.195</v>
      </c>
      <c r="BX648" t="n">
        <v>1.248</v>
      </c>
      <c r="BY648" t="n">
        <v>1.248</v>
      </c>
      <c r="BZ648" t="n">
        <v>0.041</v>
      </c>
      <c r="CA648" t="n">
        <v>1.763</v>
      </c>
      <c r="CB648" t="n">
        <v>0.057</v>
      </c>
      <c r="CC648" t="n">
        <v>18</v>
      </c>
      <c r="CD648" t="n">
        <v>1</v>
      </c>
      <c r="CE648" t="n">
        <v>18</v>
      </c>
      <c r="CF648" t="n">
        <v>10</v>
      </c>
      <c r="CG648" t="n">
        <v>1</v>
      </c>
      <c r="CH648" t="n">
        <v>19</v>
      </c>
      <c r="CI648" t="n">
        <v>6.22</v>
      </c>
      <c r="CJ648" t="n">
        <v>5.526</v>
      </c>
      <c r="CN648" t="n">
        <v>44</v>
      </c>
      <c r="CO648" t="n">
        <v>30</v>
      </c>
      <c r="CP648" t="n">
        <v>50</v>
      </c>
      <c r="CQ648" t="n">
        <v>13</v>
      </c>
      <c r="CR648" t="n">
        <v>148</v>
      </c>
      <c r="CS648" t="n">
        <v>4</v>
      </c>
      <c r="CT648" t="n">
        <v>0.3</v>
      </c>
      <c r="CU648" t="n">
        <v>2</v>
      </c>
      <c r="CV648" t="n">
        <v>6</v>
      </c>
      <c r="DE648" t="n">
        <v>6.78</v>
      </c>
      <c r="DH648" t="n">
        <v>47</v>
      </c>
      <c r="DI648" t="n">
        <v>43</v>
      </c>
      <c r="DL648" t="n">
        <v>19</v>
      </c>
      <c r="DM648" t="n">
        <v>30</v>
      </c>
      <c r="EF648" t="n">
        <v>184.4</v>
      </c>
      <c r="EG648" t="n">
        <v>461</v>
      </c>
      <c r="EH648" t="n">
        <v>153.7</v>
      </c>
      <c r="EI648" t="n">
        <v>5364</v>
      </c>
      <c r="EJ648" t="n">
        <v>2216.6</v>
      </c>
      <c r="EK648" t="n">
        <v>1568.5</v>
      </c>
    </row>
    <row r="649">
      <c r="A649" t="inlineStr">
        <is>
          <t>Toti Gomes</t>
        </is>
      </c>
      <c r="D649" t="inlineStr">
        <is>
          <t>DEF</t>
        </is>
      </c>
      <c r="F649" t="b">
        <v>0</v>
      </c>
      <c r="G649" t="b">
        <v>1</v>
      </c>
      <c r="L649" t="inlineStr">
        <is>
          <t>p510362</t>
        </is>
      </c>
      <c r="Q649" t="n">
        <v>1427</v>
      </c>
      <c r="R649" t="n">
        <v>19</v>
      </c>
      <c r="T649" t="n">
        <v>15.856</v>
      </c>
      <c r="U649" t="n">
        <v>75.09999999999999</v>
      </c>
      <c r="AD649" t="n">
        <v>0</v>
      </c>
      <c r="AE649" t="n">
        <v>0</v>
      </c>
      <c r="AG649" t="n">
        <v>119</v>
      </c>
      <c r="AH649" t="n">
        <v>-21</v>
      </c>
      <c r="AI649" t="n">
        <v>41</v>
      </c>
      <c r="AN649" t="n">
        <v>8</v>
      </c>
      <c r="AO649" t="n">
        <v>16</v>
      </c>
      <c r="AP649" t="n">
        <v>0.471</v>
      </c>
      <c r="AQ649" t="n">
        <v>0.471</v>
      </c>
      <c r="AR649" t="n">
        <v>0.294</v>
      </c>
      <c r="AS649" t="n">
        <v>0.447</v>
      </c>
      <c r="AT649" t="n">
        <v>0.789</v>
      </c>
      <c r="AU649" t="n">
        <v>11</v>
      </c>
      <c r="AV649" t="n">
        <v>0</v>
      </c>
      <c r="AW649" t="n">
        <v>1.84</v>
      </c>
      <c r="AX649" t="n">
        <v>8</v>
      </c>
      <c r="AZ649" t="n">
        <v>0.95</v>
      </c>
      <c r="BA649" t="n">
        <v>0.95</v>
      </c>
      <c r="BB649" t="n">
        <v>0.95</v>
      </c>
      <c r="BD649" t="n">
        <v>0.06</v>
      </c>
      <c r="BE649" t="n">
        <v>0.06</v>
      </c>
      <c r="BF649" t="n">
        <v>0.3</v>
      </c>
      <c r="BG649" t="n">
        <v>0.019</v>
      </c>
      <c r="BH649" t="n">
        <v>0.917</v>
      </c>
      <c r="BI649" t="n">
        <v>3.23</v>
      </c>
      <c r="BJ649" t="n">
        <v>0.486</v>
      </c>
      <c r="BK649" t="n">
        <v>0.031</v>
      </c>
      <c r="BP649" t="n">
        <v>5</v>
      </c>
      <c r="BQ649" t="n">
        <v>2</v>
      </c>
      <c r="BR649" t="n">
        <v>1</v>
      </c>
      <c r="BS649" t="n">
        <v>9</v>
      </c>
      <c r="BT649" t="n">
        <v>0.5679999999999999</v>
      </c>
      <c r="BX649" t="n">
        <v>0.159</v>
      </c>
      <c r="BY649" t="n">
        <v>0.159</v>
      </c>
      <c r="BZ649" t="n">
        <v>0.01</v>
      </c>
      <c r="CA649" t="n">
        <v>1.109</v>
      </c>
      <c r="CB649" t="n">
        <v>0.07000000000000001</v>
      </c>
      <c r="CC649" t="n">
        <v>6</v>
      </c>
      <c r="CE649" t="n">
        <v>6</v>
      </c>
      <c r="CF649" t="n">
        <v>3</v>
      </c>
      <c r="CI649" t="n">
        <v>2.287</v>
      </c>
      <c r="CJ649" t="n">
        <v>2.101</v>
      </c>
      <c r="CN649" t="n">
        <v>13</v>
      </c>
      <c r="CO649" t="n">
        <v>14</v>
      </c>
      <c r="CP649" t="n">
        <v>95</v>
      </c>
      <c r="CQ649" t="n">
        <v>12</v>
      </c>
      <c r="CR649" t="n">
        <v>68</v>
      </c>
      <c r="CS649" t="n">
        <v>24</v>
      </c>
      <c r="CU649" t="n">
        <v>1</v>
      </c>
      <c r="CV649" t="n">
        <v>1</v>
      </c>
      <c r="DH649" t="n">
        <v>11</v>
      </c>
      <c r="DI649" t="n">
        <v>11</v>
      </c>
      <c r="DL649" t="n">
        <v>10</v>
      </c>
      <c r="DM649" t="n">
        <v>5</v>
      </c>
      <c r="EF649" t="n">
        <v>285.4</v>
      </c>
      <c r="EG649" t="n">
        <v>158.6</v>
      </c>
      <c r="EH649" t="n">
        <v>237.8</v>
      </c>
      <c r="EI649" t="n">
        <v>1501.9</v>
      </c>
      <c r="EJ649" t="n">
        <v>8998.299999999999</v>
      </c>
      <c r="EK649" t="n">
        <v>1287.1</v>
      </c>
    </row>
    <row r="650">
      <c r="A650" t="inlineStr">
        <is>
          <t>Jota Silva</t>
        </is>
      </c>
      <c r="D650" t="inlineStr">
        <is>
          <t>MID</t>
        </is>
      </c>
      <c r="F650" t="b">
        <v>0</v>
      </c>
      <c r="G650" t="b">
        <v>1</v>
      </c>
      <c r="L650" t="inlineStr">
        <is>
          <t>p510500</t>
        </is>
      </c>
      <c r="Q650" t="n">
        <v>11</v>
      </c>
      <c r="R650" t="n">
        <v>1</v>
      </c>
      <c r="T650" t="n">
        <v>0.122</v>
      </c>
      <c r="U650" t="n">
        <v>11</v>
      </c>
      <c r="AD650" t="n">
        <v>0</v>
      </c>
      <c r="AE650" t="n">
        <v>0</v>
      </c>
      <c r="AG650" t="n">
        <v>6</v>
      </c>
      <c r="AH650" t="n">
        <v>0</v>
      </c>
      <c r="AI650" t="n">
        <v>1</v>
      </c>
      <c r="AN650" t="n">
        <v>0</v>
      </c>
      <c r="AO650" t="n">
        <v>0</v>
      </c>
      <c r="AS650" t="n">
        <v>0</v>
      </c>
      <c r="AT650" t="n">
        <v>0</v>
      </c>
      <c r="AU650" t="n">
        <v>1</v>
      </c>
      <c r="AV650" t="n">
        <v>0</v>
      </c>
      <c r="AW650" t="n">
        <v>0.16</v>
      </c>
      <c r="AX650" t="n">
        <v>1</v>
      </c>
      <c r="AZ650" t="n">
        <v>0</v>
      </c>
      <c r="BA650" t="n">
        <v>0</v>
      </c>
      <c r="BB650" t="n">
        <v>0</v>
      </c>
      <c r="BD650" t="n">
        <v>0</v>
      </c>
      <c r="BE650" t="n">
        <v>0</v>
      </c>
      <c r="BH650" t="n">
        <v>0.987</v>
      </c>
      <c r="BI650" t="n">
        <v>2.13</v>
      </c>
      <c r="BJ650" t="n">
        <v>0</v>
      </c>
      <c r="BK650" t="n">
        <v>0</v>
      </c>
      <c r="BS650" t="n">
        <v>2</v>
      </c>
      <c r="BT650" t="n">
        <v>16.364</v>
      </c>
      <c r="BX650" t="n">
        <v>0</v>
      </c>
      <c r="BY650" t="n">
        <v>0</v>
      </c>
      <c r="BZ650" t="n">
        <v>0</v>
      </c>
      <c r="CA650" t="n">
        <v>0</v>
      </c>
      <c r="CB650" t="n">
        <v>0</v>
      </c>
      <c r="CC650" t="n">
        <v>0</v>
      </c>
      <c r="CI650" t="n">
        <v>0</v>
      </c>
      <c r="CJ650" t="n">
        <v>0</v>
      </c>
      <c r="CN650" t="n">
        <v>1</v>
      </c>
      <c r="CP650" t="n">
        <v>1</v>
      </c>
      <c r="CR650" t="n">
        <v>3</v>
      </c>
      <c r="DI650" t="n">
        <v>1</v>
      </c>
      <c r="EG650" t="n">
        <v>5.5</v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n">
        <v>4.5</v>
      </c>
      <c r="F651" t="b">
        <v>1</v>
      </c>
      <c r="G651" t="b">
        <v>0</v>
      </c>
      <c r="H651" t="n">
        <v>20.3</v>
      </c>
      <c r="I651" t="inlineStr">
        <is>
          <t>a</t>
        </is>
      </c>
      <c r="M651" t="n">
        <v>93</v>
      </c>
      <c r="DO651" t="n">
        <v>0.2</v>
      </c>
      <c r="DP651" t="n">
        <v>11.67</v>
      </c>
      <c r="DQ651" t="n">
        <v>8.68</v>
      </c>
      <c r="DR651" t="n">
        <v>17.36</v>
      </c>
      <c r="DS651" t="n">
        <v>-5.69</v>
      </c>
      <c r="DT651" t="n">
        <v>80</v>
      </c>
      <c r="DU651" t="n">
        <v>2.1</v>
      </c>
      <c r="DV651" t="inlineStr">
        <is>
          <t>flat</t>
        </is>
      </c>
    </row>
    <row r="652">
      <c r="A652" t="inlineStr">
        <is>
          <t>Brajan Gruda</t>
        </is>
      </c>
      <c r="D652" t="inlineStr">
        <is>
          <t>MID</t>
        </is>
      </c>
      <c r="F652" t="b">
        <v>0</v>
      </c>
      <c r="G652" t="b">
        <v>1</v>
      </c>
      <c r="L652" t="inlineStr">
        <is>
          <t>p513433</t>
        </is>
      </c>
      <c r="Q652" t="n">
        <v>715</v>
      </c>
      <c r="R652" t="n">
        <v>18</v>
      </c>
      <c r="T652" t="n">
        <v>7.944</v>
      </c>
      <c r="U652" t="n">
        <v>39.7</v>
      </c>
      <c r="Z652" t="n">
        <v>1</v>
      </c>
      <c r="AD652" t="n">
        <v>3</v>
      </c>
      <c r="AE652" t="n">
        <v>1</v>
      </c>
      <c r="AG652" t="n">
        <v>114</v>
      </c>
      <c r="AH652" t="n">
        <v>0</v>
      </c>
      <c r="AI652" t="n">
        <v>36</v>
      </c>
      <c r="AN652" t="n">
        <v>0</v>
      </c>
      <c r="AO652" t="n">
        <v>0</v>
      </c>
      <c r="AP652" t="n">
        <v>0</v>
      </c>
      <c r="AQ652" t="n">
        <v>0</v>
      </c>
      <c r="AR652" t="n">
        <v>0</v>
      </c>
      <c r="AS652" t="n">
        <v>0.211</v>
      </c>
      <c r="AT652" t="n">
        <v>0.389</v>
      </c>
      <c r="AU652" t="n">
        <v>15</v>
      </c>
      <c r="AV652" t="n">
        <v>0</v>
      </c>
      <c r="AW652" t="n">
        <v>1.55</v>
      </c>
      <c r="AX652" t="n">
        <v>8</v>
      </c>
      <c r="AZ652" t="n">
        <v>1.772</v>
      </c>
      <c r="BA652" t="n">
        <v>1.772</v>
      </c>
      <c r="BB652" t="n">
        <v>1.772</v>
      </c>
      <c r="BD652" t="n">
        <v>0.223</v>
      </c>
      <c r="BE652" t="n">
        <v>0.223</v>
      </c>
      <c r="BF652" t="n">
        <v>2</v>
      </c>
      <c r="BG652" t="n">
        <v>0.252</v>
      </c>
      <c r="BH652" t="n">
        <v>1.035</v>
      </c>
      <c r="BI652" t="n">
        <v>3.01</v>
      </c>
      <c r="BJ652" t="n">
        <v>1.926</v>
      </c>
      <c r="BK652" t="n">
        <v>0.242</v>
      </c>
      <c r="BP652" t="n">
        <v>16</v>
      </c>
      <c r="BQ652" t="n">
        <v>6</v>
      </c>
      <c r="BR652" t="n">
        <v>2</v>
      </c>
      <c r="BS652" t="n">
        <v>28</v>
      </c>
      <c r="BT652" t="n">
        <v>3.524</v>
      </c>
      <c r="BX652" t="n">
        <v>1.215</v>
      </c>
      <c r="BY652" t="n">
        <v>1.215</v>
      </c>
      <c r="BZ652" t="n">
        <v>0.153</v>
      </c>
      <c r="CA652" t="n">
        <v>2.988</v>
      </c>
      <c r="CB652" t="n">
        <v>0.376</v>
      </c>
      <c r="CC652" t="n">
        <v>16</v>
      </c>
      <c r="CD652" t="n">
        <v>1</v>
      </c>
      <c r="CE652" t="n">
        <v>16</v>
      </c>
      <c r="CF652" t="n">
        <v>3</v>
      </c>
      <c r="CG652" t="n">
        <v>2</v>
      </c>
      <c r="CH652" t="n">
        <v>7</v>
      </c>
      <c r="CI652" t="n">
        <v>5.48</v>
      </c>
      <c r="CJ652" t="n">
        <v>2.844</v>
      </c>
      <c r="CN652" t="n">
        <v>5</v>
      </c>
      <c r="CO652" t="n">
        <v>2</v>
      </c>
      <c r="CP652" t="n">
        <v>2</v>
      </c>
      <c r="CR652" t="n">
        <v>56</v>
      </c>
      <c r="CS652" t="n">
        <v>8</v>
      </c>
      <c r="CU652" t="n">
        <v>1</v>
      </c>
      <c r="DH652" t="n">
        <v>11</v>
      </c>
      <c r="DI652" t="n">
        <v>14</v>
      </c>
      <c r="DL652" t="n">
        <v>20</v>
      </c>
      <c r="DM652" t="n">
        <v>17</v>
      </c>
      <c r="DN652" t="n">
        <v>2</v>
      </c>
      <c r="EF652" t="n">
        <v>44.7</v>
      </c>
      <c r="EG652" t="n">
        <v>25.5</v>
      </c>
      <c r="EH652" t="n">
        <v>44.7</v>
      </c>
      <c r="EI652" t="n">
        <v>403.4</v>
      </c>
      <c r="EJ652" t="n">
        <v>588.3</v>
      </c>
      <c r="EK652" t="n">
        <v>239.3</v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n">
        <v>5.5</v>
      </c>
      <c r="F653" t="b">
        <v>1</v>
      </c>
      <c r="G653" t="b">
        <v>0</v>
      </c>
      <c r="H653" t="n">
        <v>24.2</v>
      </c>
      <c r="I653" t="inlineStr">
        <is>
          <t>a</t>
        </is>
      </c>
      <c r="M653" t="n">
        <v>565</v>
      </c>
      <c r="DO653" t="n">
        <v>1.5</v>
      </c>
      <c r="DP653" t="n">
        <v>141.78</v>
      </c>
      <c r="DQ653" t="n">
        <v>70.90000000000001</v>
      </c>
      <c r="DR653" t="n">
        <v>141.8</v>
      </c>
      <c r="DS653" t="n">
        <v>-0.02</v>
      </c>
      <c r="DT653" t="n">
        <v>3050</v>
      </c>
      <c r="DU653" t="n">
        <v>80.25</v>
      </c>
      <c r="DV653" t="inlineStr">
        <is>
          <t>flat</t>
        </is>
      </c>
      <c r="DW653" t="n">
        <v>85.7</v>
      </c>
      <c r="DX653" t="n">
        <v>70.59999999999999</v>
      </c>
      <c r="DY653" t="n">
        <v>19.14</v>
      </c>
      <c r="DZ653" t="n">
        <v>31</v>
      </c>
      <c r="EA653" t="n">
        <v>116</v>
      </c>
      <c r="EB653" t="n">
        <v>36</v>
      </c>
      <c r="EC653" t="n">
        <v>17.3</v>
      </c>
      <c r="ED653" t="n">
        <v>2.7</v>
      </c>
      <c r="EE653" t="n">
        <v>214</v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n">
        <v>5</v>
      </c>
      <c r="F654" t="b">
        <v>1</v>
      </c>
      <c r="G654" t="b">
        <v>0</v>
      </c>
      <c r="H654" t="n">
        <v>20.9</v>
      </c>
      <c r="I654" t="inlineStr">
        <is>
          <t>a</t>
        </is>
      </c>
      <c r="M654" t="n">
        <v>381</v>
      </c>
      <c r="DO654" t="n">
        <v>0</v>
      </c>
      <c r="DP654" t="n">
        <v>0</v>
      </c>
      <c r="DQ654" t="n">
        <v>0</v>
      </c>
      <c r="DR654" t="n">
        <v>0</v>
      </c>
      <c r="DS654" t="n">
        <v>0</v>
      </c>
      <c r="DT654" t="n">
        <v>0</v>
      </c>
      <c r="DU654" t="n">
        <v>0</v>
      </c>
      <c r="DV654" t="inlineStr">
        <is>
          <t>flat</t>
        </is>
      </c>
    </row>
    <row r="655">
      <c r="A655" t="inlineStr">
        <is>
          <t>Emmanuel Agbadou</t>
        </is>
      </c>
      <c r="D655" t="inlineStr">
        <is>
          <t>DEF</t>
        </is>
      </c>
      <c r="F655" t="b">
        <v>0</v>
      </c>
      <c r="G655" t="b">
        <v>1</v>
      </c>
      <c r="L655" t="inlineStr">
        <is>
          <t>p516939</t>
        </is>
      </c>
      <c r="Q655" t="n">
        <v>1101</v>
      </c>
      <c r="R655" t="n">
        <v>14</v>
      </c>
      <c r="T655" t="n">
        <v>12.233</v>
      </c>
      <c r="U655" t="n">
        <v>78.59999999999999</v>
      </c>
      <c r="AD655" t="n">
        <v>0</v>
      </c>
      <c r="AE655" t="n">
        <v>0</v>
      </c>
      <c r="AG655" t="n">
        <v>70</v>
      </c>
      <c r="AH655" t="n">
        <v>-16</v>
      </c>
      <c r="AI655" t="n">
        <v>23</v>
      </c>
      <c r="AN655" t="n">
        <v>6</v>
      </c>
      <c r="AO655" t="n">
        <v>12</v>
      </c>
      <c r="AP655" t="n">
        <v>0.5</v>
      </c>
      <c r="AQ655" t="n">
        <v>0.5</v>
      </c>
      <c r="AR655" t="n">
        <v>0.333</v>
      </c>
      <c r="AS655" t="n">
        <v>0.316</v>
      </c>
      <c r="AT655" t="n">
        <v>0.786</v>
      </c>
      <c r="AU655" t="n">
        <v>9</v>
      </c>
      <c r="AV655" t="n">
        <v>0</v>
      </c>
      <c r="AW655" t="n">
        <v>1.37</v>
      </c>
      <c r="AX655" t="n">
        <v>4</v>
      </c>
      <c r="AZ655" t="n">
        <v>0.447</v>
      </c>
      <c r="BA655" t="n">
        <v>0.447</v>
      </c>
      <c r="BB655" t="n">
        <v>0.447</v>
      </c>
      <c r="BD655" t="n">
        <v>0.037</v>
      </c>
      <c r="BE655" t="n">
        <v>0.037</v>
      </c>
      <c r="BF655" t="n">
        <v>0.5</v>
      </c>
      <c r="BG655" t="n">
        <v>0.041</v>
      </c>
      <c r="BH655" t="n">
        <v>1.003</v>
      </c>
      <c r="BI655" t="n">
        <v>1.47</v>
      </c>
      <c r="BJ655" t="n">
        <v>0.572</v>
      </c>
      <c r="BK655" t="n">
        <v>0.047</v>
      </c>
      <c r="BP655" t="n">
        <v>10</v>
      </c>
      <c r="BQ655" t="n">
        <v>3</v>
      </c>
      <c r="BS655" t="n">
        <v>12</v>
      </c>
      <c r="BT655" t="n">
        <v>0.981</v>
      </c>
      <c r="BX655" t="n">
        <v>0.172</v>
      </c>
      <c r="BY655" t="n">
        <v>0.172</v>
      </c>
      <c r="BZ655" t="n">
        <v>0.014</v>
      </c>
      <c r="CA655" t="n">
        <v>0.619</v>
      </c>
      <c r="CB655" t="n">
        <v>0.051</v>
      </c>
      <c r="CC655" t="n">
        <v>4</v>
      </c>
      <c r="CE655" t="n">
        <v>4</v>
      </c>
      <c r="CF655" t="n">
        <v>4</v>
      </c>
      <c r="CG655" t="n">
        <v>1</v>
      </c>
      <c r="CI655" t="n">
        <v>1.655</v>
      </c>
      <c r="CJ655" t="n">
        <v>1.544</v>
      </c>
      <c r="CN655" t="n">
        <v>20</v>
      </c>
      <c r="CO655" t="n">
        <v>13</v>
      </c>
      <c r="CP655" t="n">
        <v>65</v>
      </c>
      <c r="CQ655" t="n">
        <v>15</v>
      </c>
      <c r="CR655" t="n">
        <v>67</v>
      </c>
      <c r="CS655" t="n">
        <v>26</v>
      </c>
      <c r="CU655" t="n">
        <v>2</v>
      </c>
      <c r="CV655" t="n">
        <v>0</v>
      </c>
      <c r="DH655" t="n">
        <v>10</v>
      </c>
      <c r="DI655" t="n">
        <v>5</v>
      </c>
      <c r="DL655" t="n">
        <v>4</v>
      </c>
      <c r="DM655" t="n">
        <v>5</v>
      </c>
      <c r="DN655" t="n">
        <v>0</v>
      </c>
      <c r="EF655" t="n">
        <v>110.1</v>
      </c>
      <c r="EG655" t="n">
        <v>91.8</v>
      </c>
      <c r="EH655" t="n">
        <v>275.2</v>
      </c>
      <c r="EI655" t="n">
        <v>2464.4</v>
      </c>
      <c r="EJ655" t="n">
        <v>6409.9</v>
      </c>
      <c r="EK655" t="n">
        <v>1780</v>
      </c>
    </row>
    <row r="656">
      <c r="A656" t="inlineStr">
        <is>
          <t>Max Weiss</t>
        </is>
      </c>
      <c r="D656" t="inlineStr">
        <is>
          <t>GKP</t>
        </is>
      </c>
      <c r="F656" t="b">
        <v>0</v>
      </c>
      <c r="G656" t="b">
        <v>1</v>
      </c>
      <c r="L656" t="inlineStr">
        <is>
          <t>p518030</t>
        </is>
      </c>
      <c r="Q656" t="n">
        <v>270</v>
      </c>
      <c r="R656" t="n">
        <v>3</v>
      </c>
      <c r="T656" t="n">
        <v>3</v>
      </c>
      <c r="U656" t="n">
        <v>90</v>
      </c>
      <c r="AD656" t="n">
        <v>0</v>
      </c>
      <c r="AE656" t="n">
        <v>0</v>
      </c>
      <c r="AG656" t="n">
        <v>37</v>
      </c>
      <c r="AH656" t="n">
        <v>-2</v>
      </c>
      <c r="AI656" t="n">
        <v>7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0.079</v>
      </c>
      <c r="AT656" t="n">
        <v>1</v>
      </c>
      <c r="AU656" t="n">
        <v>2</v>
      </c>
      <c r="AV656" t="n">
        <v>0</v>
      </c>
      <c r="AW656" t="n">
        <v>0.65</v>
      </c>
      <c r="AX656" t="n">
        <v>3</v>
      </c>
      <c r="AZ656" t="n">
        <v>0</v>
      </c>
      <c r="BA656" t="n">
        <v>0</v>
      </c>
      <c r="BB656" t="n">
        <v>0</v>
      </c>
      <c r="BD656" t="n">
        <v>0</v>
      </c>
      <c r="BE656" t="n">
        <v>0</v>
      </c>
      <c r="BH656" t="n">
        <v>1</v>
      </c>
      <c r="BI656" t="n">
        <v>0</v>
      </c>
      <c r="BJ656" t="n">
        <v>0</v>
      </c>
      <c r="BK656" t="n">
        <v>0</v>
      </c>
      <c r="BX656" t="n">
        <v>0.161</v>
      </c>
      <c r="BY656" t="n">
        <v>0.161</v>
      </c>
      <c r="BZ656" t="n">
        <v>0.054</v>
      </c>
      <c r="CA656" t="n">
        <v>0.161</v>
      </c>
      <c r="CB656" t="n">
        <v>0.054</v>
      </c>
      <c r="CC656" t="n">
        <v>1</v>
      </c>
      <c r="CE656" t="n">
        <v>1</v>
      </c>
      <c r="CI656" t="n">
        <v>0.313</v>
      </c>
      <c r="CJ656" t="n">
        <v>0.152</v>
      </c>
      <c r="CP656" t="n">
        <v>4</v>
      </c>
      <c r="CR656" t="n">
        <v>1</v>
      </c>
      <c r="CS656" t="n">
        <v>1</v>
      </c>
      <c r="DC656" t="n">
        <v>4</v>
      </c>
      <c r="DD656" t="n">
        <v>2</v>
      </c>
      <c r="DM656" t="n">
        <v>1</v>
      </c>
      <c r="EH656" t="n">
        <v>270</v>
      </c>
      <c r="EJ656" t="n">
        <v>1678.4</v>
      </c>
      <c r="EK656" t="n">
        <v>1678.4</v>
      </c>
    </row>
    <row r="657">
      <c r="A657" t="inlineStr">
        <is>
          <t>Oliver Sonne</t>
        </is>
      </c>
      <c r="D657" t="inlineStr">
        <is>
          <t>DEF</t>
        </is>
      </c>
      <c r="F657" t="b">
        <v>0</v>
      </c>
      <c r="G657" t="b">
        <v>1</v>
      </c>
      <c r="L657" t="inlineStr">
        <is>
          <t>p519895</t>
        </is>
      </c>
      <c r="Q657" t="n">
        <v>165</v>
      </c>
      <c r="R657" t="n">
        <v>7</v>
      </c>
      <c r="T657" t="n">
        <v>1.833</v>
      </c>
      <c r="U657" t="n">
        <v>23.6</v>
      </c>
      <c r="AD657" t="n">
        <v>0</v>
      </c>
      <c r="AE657" t="n">
        <v>0</v>
      </c>
      <c r="AG657" t="n">
        <v>18</v>
      </c>
      <c r="AH657" t="n">
        <v>-2</v>
      </c>
      <c r="AI657" t="n">
        <v>13</v>
      </c>
      <c r="AN657" t="n">
        <v>0</v>
      </c>
      <c r="AO657" t="n">
        <v>0</v>
      </c>
      <c r="AP657" t="n">
        <v>0</v>
      </c>
      <c r="AQ657" t="n">
        <v>0</v>
      </c>
      <c r="AR657" t="n">
        <v>0</v>
      </c>
      <c r="AS657" t="n">
        <v>0.026</v>
      </c>
      <c r="AT657" t="n">
        <v>0.143</v>
      </c>
      <c r="AU657" t="n">
        <v>6</v>
      </c>
      <c r="AV657" t="n">
        <v>0</v>
      </c>
      <c r="AW657" t="n">
        <v>1.17</v>
      </c>
      <c r="AX657" t="n">
        <v>7</v>
      </c>
      <c r="AZ657" t="n">
        <v>0.375</v>
      </c>
      <c r="BA657" t="n">
        <v>0.375</v>
      </c>
      <c r="BB657" t="n">
        <v>0.375</v>
      </c>
      <c r="BD657" t="n">
        <v>0.205</v>
      </c>
      <c r="BE657" t="n">
        <v>0.205</v>
      </c>
      <c r="BF657" t="n">
        <v>0.9</v>
      </c>
      <c r="BG657" t="n">
        <v>0.491</v>
      </c>
      <c r="BH657" t="n">
        <v>1.041</v>
      </c>
      <c r="BI657" t="n">
        <v>0.55</v>
      </c>
      <c r="BJ657" t="n">
        <v>0.573</v>
      </c>
      <c r="BK657" t="n">
        <v>0.313</v>
      </c>
      <c r="BP657" t="n">
        <v>3</v>
      </c>
      <c r="BQ657" t="n">
        <v>1</v>
      </c>
      <c r="BS657" t="n">
        <v>4</v>
      </c>
      <c r="BT657" t="n">
        <v>2.182</v>
      </c>
      <c r="BX657" t="n">
        <v>0.027</v>
      </c>
      <c r="BY657" t="n">
        <v>0.027</v>
      </c>
      <c r="BZ657" t="n">
        <v>0.015</v>
      </c>
      <c r="CA657" t="n">
        <v>0.402</v>
      </c>
      <c r="CB657" t="n">
        <v>0.219</v>
      </c>
      <c r="CC657" t="n">
        <v>1</v>
      </c>
      <c r="CE657" t="n">
        <v>1</v>
      </c>
      <c r="CF657" t="n">
        <v>1</v>
      </c>
      <c r="CI657" t="n">
        <v>0.508</v>
      </c>
      <c r="CJ657" t="n">
        <v>0.197</v>
      </c>
      <c r="CN657" t="n">
        <v>1</v>
      </c>
      <c r="CO657" t="n">
        <v>1</v>
      </c>
      <c r="CP657" t="n">
        <v>4</v>
      </c>
      <c r="CR657" t="n">
        <v>8</v>
      </c>
      <c r="CS657" t="n">
        <v>5</v>
      </c>
      <c r="DH657" t="n">
        <v>4</v>
      </c>
      <c r="DL657" t="n">
        <v>1</v>
      </c>
      <c r="DM657" t="n">
        <v>1</v>
      </c>
      <c r="EF657" t="n">
        <v>55</v>
      </c>
      <c r="EG657" t="n">
        <v>41.2</v>
      </c>
      <c r="EH657" t="n">
        <v>165</v>
      </c>
      <c r="EI657" t="n">
        <v>439.6</v>
      </c>
      <c r="EJ657" t="n">
        <v>6129.7</v>
      </c>
      <c r="EK657" t="n">
        <v>410.2</v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n">
        <v>5</v>
      </c>
      <c r="F658" t="b">
        <v>1</v>
      </c>
      <c r="G658" t="b">
        <v>0</v>
      </c>
      <c r="H658" t="n">
        <v>23.5</v>
      </c>
      <c r="I658" t="inlineStr">
        <is>
          <t>a</t>
        </is>
      </c>
      <c r="M658" t="n">
        <v>334</v>
      </c>
      <c r="DO658" t="n">
        <v>1.7</v>
      </c>
      <c r="DP658" t="n">
        <v>142.8</v>
      </c>
      <c r="DQ658" t="n">
        <v>71.40000000000001</v>
      </c>
      <c r="DR658" t="n">
        <v>142.8</v>
      </c>
      <c r="DS658" t="n">
        <v>0</v>
      </c>
      <c r="DT658" t="n">
        <v>3209</v>
      </c>
      <c r="DU658" t="n">
        <v>84.45</v>
      </c>
      <c r="DV658" t="inlineStr">
        <is>
          <t>flat</t>
        </is>
      </c>
      <c r="DW658" t="n">
        <v>94.62</v>
      </c>
      <c r="DX658" t="n">
        <v>99.3</v>
      </c>
      <c r="DY658" t="n">
        <v>20.87</v>
      </c>
      <c r="DZ658" t="n">
        <v>14</v>
      </c>
      <c r="EA658" t="n">
        <v>120</v>
      </c>
      <c r="EB658" t="n">
        <v>54</v>
      </c>
      <c r="EC658" t="n">
        <v>26</v>
      </c>
      <c r="ED658" t="n">
        <v>11.5</v>
      </c>
      <c r="EE658" t="n">
        <v>365</v>
      </c>
    </row>
    <row r="659">
      <c r="A659" t="inlineStr">
        <is>
          <t>Jackson Tchatchoua</t>
        </is>
      </c>
      <c r="D659" t="inlineStr">
        <is>
          <t>DEF</t>
        </is>
      </c>
      <c r="F659" t="b">
        <v>0</v>
      </c>
      <c r="G659" t="b">
        <v>1</v>
      </c>
      <c r="L659" t="inlineStr">
        <is>
          <t>p523705</t>
        </is>
      </c>
      <c r="Q659" t="n">
        <v>1837</v>
      </c>
      <c r="R659" t="n">
        <v>31</v>
      </c>
      <c r="T659" t="n">
        <v>20.411</v>
      </c>
      <c r="U659" t="n">
        <v>59.3</v>
      </c>
      <c r="Z659" t="n">
        <v>1</v>
      </c>
      <c r="AD659" t="n">
        <v>0</v>
      </c>
      <c r="AE659" t="n">
        <v>0</v>
      </c>
      <c r="AG659" t="n">
        <v>142</v>
      </c>
      <c r="AH659" t="n">
        <v>-14</v>
      </c>
      <c r="AI659" t="n">
        <v>52</v>
      </c>
      <c r="AN659" t="n">
        <v>2</v>
      </c>
      <c r="AO659" t="n">
        <v>4</v>
      </c>
      <c r="AP659" t="n">
        <v>0.105</v>
      </c>
      <c r="AQ659" t="n">
        <v>0.105</v>
      </c>
      <c r="AR659" t="n">
        <v>0</v>
      </c>
      <c r="AS659" t="n">
        <v>0.5</v>
      </c>
      <c r="AT659" t="n">
        <v>0.548</v>
      </c>
      <c r="AU659" t="n">
        <v>25</v>
      </c>
      <c r="AV659" t="n">
        <v>0</v>
      </c>
      <c r="AW659" t="n">
        <v>1.71</v>
      </c>
      <c r="AX659" t="n">
        <v>6</v>
      </c>
      <c r="AZ659" t="n">
        <v>0.106</v>
      </c>
      <c r="BA659" t="n">
        <v>0.106</v>
      </c>
      <c r="BB659" t="n">
        <v>0.106</v>
      </c>
      <c r="BD659" t="n">
        <v>0.005</v>
      </c>
      <c r="BE659" t="n">
        <v>0.005</v>
      </c>
      <c r="BF659" t="n">
        <v>0.2</v>
      </c>
      <c r="BG659" t="n">
        <v>0.01</v>
      </c>
      <c r="BH659" t="n">
        <v>0.984</v>
      </c>
      <c r="BI659" t="n">
        <v>0.33</v>
      </c>
      <c r="BJ659" t="n">
        <v>0.325</v>
      </c>
      <c r="BK659" t="n">
        <v>0.016</v>
      </c>
      <c r="BP659" t="n">
        <v>2</v>
      </c>
      <c r="BQ659" t="n">
        <v>1</v>
      </c>
      <c r="BS659" t="n">
        <v>25</v>
      </c>
      <c r="BT659" t="n">
        <v>1.225</v>
      </c>
      <c r="BX659" t="n">
        <v>2.243</v>
      </c>
      <c r="BY659" t="n">
        <v>2.243</v>
      </c>
      <c r="BZ659" t="n">
        <v>0.11</v>
      </c>
      <c r="CA659" t="n">
        <v>2.348</v>
      </c>
      <c r="CB659" t="n">
        <v>0.115</v>
      </c>
      <c r="CC659" t="n">
        <v>21</v>
      </c>
      <c r="CD659" t="n">
        <v>3</v>
      </c>
      <c r="CE659" t="n">
        <v>21</v>
      </c>
      <c r="CF659" t="n">
        <v>22</v>
      </c>
      <c r="CI659" t="n">
        <v>6.033</v>
      </c>
      <c r="CJ659" t="n">
        <v>4.17</v>
      </c>
      <c r="CN659" t="n">
        <v>15</v>
      </c>
      <c r="CO659" t="n">
        <v>15</v>
      </c>
      <c r="CP659" t="n">
        <v>57</v>
      </c>
      <c r="CQ659" t="n">
        <v>8</v>
      </c>
      <c r="CR659" t="n">
        <v>66</v>
      </c>
      <c r="CS659" t="n">
        <v>23</v>
      </c>
      <c r="CT659" t="n">
        <v>0.2</v>
      </c>
      <c r="CV659" t="n">
        <v>3</v>
      </c>
      <c r="DE659" t="n">
        <v>6.5</v>
      </c>
      <c r="DH659" t="n">
        <v>8</v>
      </c>
      <c r="DI659" t="n">
        <v>9</v>
      </c>
      <c r="DL659" t="n">
        <v>5</v>
      </c>
      <c r="DM659" t="n">
        <v>7</v>
      </c>
      <c r="DN659" t="n">
        <v>2</v>
      </c>
      <c r="EF659" t="n">
        <v>918.5</v>
      </c>
      <c r="EG659" t="n">
        <v>73.5</v>
      </c>
      <c r="EH659" t="n">
        <v>87.5</v>
      </c>
      <c r="EI659" t="n">
        <v>17411.5</v>
      </c>
      <c r="EJ659" t="n">
        <v>819</v>
      </c>
      <c r="EK659" t="n">
        <v>782.2</v>
      </c>
    </row>
    <row r="660">
      <c r="A660" t="inlineStr">
        <is>
          <t>Kaden Rodney</t>
        </is>
      </c>
      <c r="D660" t="inlineStr">
        <is>
          <t>MID</t>
        </is>
      </c>
      <c r="F660" t="b">
        <v>0</v>
      </c>
      <c r="G660" t="b">
        <v>1</v>
      </c>
      <c r="L660" t="inlineStr">
        <is>
          <t>p530318</t>
        </is>
      </c>
      <c r="Q660" t="n">
        <v>3</v>
      </c>
      <c r="R660" t="n">
        <v>1</v>
      </c>
      <c r="T660" t="n">
        <v>0.033</v>
      </c>
      <c r="U660" t="n">
        <v>3</v>
      </c>
      <c r="AD660" t="n">
        <v>0</v>
      </c>
      <c r="AE660" t="n">
        <v>0</v>
      </c>
      <c r="AG660" t="n">
        <v>2</v>
      </c>
      <c r="AH660" t="n">
        <v>0</v>
      </c>
      <c r="AI660" t="n">
        <v>1</v>
      </c>
      <c r="AN660" t="n">
        <v>0</v>
      </c>
      <c r="AO660" t="n">
        <v>0</v>
      </c>
      <c r="AS660" t="n">
        <v>0</v>
      </c>
      <c r="AT660" t="n">
        <v>0</v>
      </c>
      <c r="AU660" t="n">
        <v>1</v>
      </c>
      <c r="AV660" t="n">
        <v>0</v>
      </c>
      <c r="AW660" t="n">
        <v>0.16</v>
      </c>
      <c r="AX660" t="n">
        <v>1</v>
      </c>
      <c r="BH660" t="n">
        <v>1</v>
      </c>
      <c r="BI660" t="n">
        <v>0</v>
      </c>
      <c r="BJ660" t="n">
        <v>0</v>
      </c>
      <c r="BK660" t="n">
        <v>0</v>
      </c>
      <c r="DH660" t="n">
        <v>1</v>
      </c>
    </row>
    <row r="661">
      <c r="A661" t="inlineStr">
        <is>
          <t>Pablo</t>
        </is>
      </c>
      <c r="D661" t="inlineStr">
        <is>
          <t>FWD</t>
        </is>
      </c>
      <c r="F661" t="b">
        <v>0</v>
      </c>
      <c r="G661" t="b">
        <v>1</v>
      </c>
      <c r="L661" t="inlineStr">
        <is>
          <t>p530335</t>
        </is>
      </c>
      <c r="Q661" t="n">
        <v>826</v>
      </c>
      <c r="R661" t="n">
        <v>14</v>
      </c>
      <c r="T661" t="n">
        <v>9.178000000000001</v>
      </c>
      <c r="U661" t="n">
        <v>59</v>
      </c>
      <c r="Z661" t="n">
        <v>1</v>
      </c>
      <c r="AD661" t="n">
        <v>0</v>
      </c>
      <c r="AE661" t="n">
        <v>0</v>
      </c>
      <c r="AG661" t="n">
        <v>98</v>
      </c>
      <c r="AH661" t="n">
        <v>-4</v>
      </c>
      <c r="AI661" t="n">
        <v>26</v>
      </c>
      <c r="AN661" t="n">
        <v>0</v>
      </c>
      <c r="AO661" t="n">
        <v>0</v>
      </c>
      <c r="AP661" t="n">
        <v>0</v>
      </c>
      <c r="AQ661" t="n">
        <v>0.3</v>
      </c>
      <c r="AR661" t="n">
        <v>0</v>
      </c>
      <c r="AS661" t="n">
        <v>0.263</v>
      </c>
      <c r="AT661" t="n">
        <v>0.643</v>
      </c>
      <c r="AU661" t="n">
        <v>13</v>
      </c>
      <c r="AV661" t="n">
        <v>0</v>
      </c>
      <c r="AW661" t="n">
        <v>1.21</v>
      </c>
      <c r="AX661" t="n">
        <v>5</v>
      </c>
      <c r="AZ661" t="n">
        <v>1.423</v>
      </c>
      <c r="BA661" t="n">
        <v>1.423</v>
      </c>
      <c r="BB661" t="n">
        <v>1.423</v>
      </c>
      <c r="BD661" t="n">
        <v>0.155</v>
      </c>
      <c r="BE661" t="n">
        <v>0.155</v>
      </c>
      <c r="BF661" t="n">
        <v>0.5</v>
      </c>
      <c r="BG661" t="n">
        <v>0.054</v>
      </c>
      <c r="BH661" t="n">
        <v>0.9389999999999999</v>
      </c>
      <c r="BI661" t="n">
        <v>1.05</v>
      </c>
      <c r="BJ661" t="n">
        <v>0.986</v>
      </c>
      <c r="BK661" t="n">
        <v>0.107</v>
      </c>
      <c r="BP661" t="n">
        <v>12</v>
      </c>
      <c r="BQ661" t="n">
        <v>3</v>
      </c>
      <c r="BR661" t="n">
        <v>2</v>
      </c>
      <c r="BS661" t="n">
        <v>26</v>
      </c>
      <c r="BT661" t="n">
        <v>2.833</v>
      </c>
      <c r="BX661" t="n">
        <v>1.293</v>
      </c>
      <c r="BY661" t="n">
        <v>1.293</v>
      </c>
      <c r="BZ661" t="n">
        <v>0.141</v>
      </c>
      <c r="CA661" t="n">
        <v>2.716</v>
      </c>
      <c r="CB661" t="n">
        <v>0.296</v>
      </c>
      <c r="CC661" t="n">
        <v>13</v>
      </c>
      <c r="CD661" t="n">
        <v>2</v>
      </c>
      <c r="CE661" t="n">
        <v>14</v>
      </c>
      <c r="CF661" t="n">
        <v>2</v>
      </c>
      <c r="CG661" t="n">
        <v>2</v>
      </c>
      <c r="CI661" t="n">
        <v>3.472</v>
      </c>
      <c r="CJ661" t="n">
        <v>0.8120000000000001</v>
      </c>
      <c r="CN661" t="n">
        <v>14</v>
      </c>
      <c r="CO661" t="n">
        <v>4</v>
      </c>
      <c r="CP661" t="n">
        <v>12</v>
      </c>
      <c r="CQ661" t="n">
        <v>2</v>
      </c>
      <c r="CR661" t="n">
        <v>63</v>
      </c>
      <c r="CS661" t="n">
        <v>21</v>
      </c>
      <c r="CU661" t="n">
        <v>1</v>
      </c>
      <c r="DH661" t="n">
        <v>23</v>
      </c>
      <c r="DI661" t="n">
        <v>8</v>
      </c>
      <c r="DL661" t="n">
        <v>9</v>
      </c>
      <c r="DM661" t="n">
        <v>17</v>
      </c>
      <c r="EF661" t="n">
        <v>68.8</v>
      </c>
      <c r="EG661" t="n">
        <v>31.8</v>
      </c>
      <c r="EH661" t="n">
        <v>59</v>
      </c>
      <c r="EI661" t="n">
        <v>580.3</v>
      </c>
      <c r="EJ661" t="n">
        <v>638.9</v>
      </c>
      <c r="EK661" t="n">
        <v>304.1</v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n">
        <v>5.5</v>
      </c>
      <c r="F662" t="b">
        <v>1</v>
      </c>
      <c r="G662" t="b">
        <v>0</v>
      </c>
      <c r="H662" t="n">
        <v>22.5</v>
      </c>
      <c r="I662" t="inlineStr">
        <is>
          <t>a</t>
        </is>
      </c>
      <c r="M662" t="n">
        <v>315</v>
      </c>
      <c r="DO662" t="n">
        <v>0.3</v>
      </c>
      <c r="DP662" t="n">
        <v>92.2</v>
      </c>
      <c r="DQ662" t="n">
        <v>46.1</v>
      </c>
      <c r="DR662" t="n">
        <v>92.2</v>
      </c>
      <c r="DS662" t="n">
        <v>0</v>
      </c>
      <c r="DT662" t="n">
        <v>2189</v>
      </c>
      <c r="DU662" t="n">
        <v>57.6</v>
      </c>
      <c r="DV662" t="inlineStr">
        <is>
          <t>flat</t>
        </is>
      </c>
      <c r="DW662" t="n">
        <v>73.11</v>
      </c>
      <c r="DX662" t="n">
        <v>92</v>
      </c>
      <c r="DY662" t="n">
        <v>31.74</v>
      </c>
      <c r="DZ662" t="n">
        <v>23.2</v>
      </c>
      <c r="EA662" t="n">
        <v>96</v>
      </c>
      <c r="EB662" t="n">
        <v>5</v>
      </c>
      <c r="EC662" t="n">
        <v>2.4</v>
      </c>
      <c r="ED662" t="n">
        <v>0</v>
      </c>
      <c r="EE662" t="n">
        <v>211</v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n">
        <v>4.5</v>
      </c>
      <c r="F663" t="b">
        <v>1</v>
      </c>
      <c r="G663" t="b">
        <v>0</v>
      </c>
      <c r="H663" t="n">
        <v>23</v>
      </c>
      <c r="I663" t="inlineStr">
        <is>
          <t>u</t>
        </is>
      </c>
      <c r="J663" t="inlineStr">
        <is>
          <t>Has joined Sheffield Wednesday on loan for the rest of the season</t>
        </is>
      </c>
      <c r="K663" t="n">
        <v>0</v>
      </c>
      <c r="M663" t="n">
        <v>299</v>
      </c>
      <c r="DO663" t="n">
        <v>0.3</v>
      </c>
    </row>
    <row r="664">
      <c r="A664" t="inlineStr">
        <is>
          <t>Ollie Scarles</t>
        </is>
      </c>
      <c r="D664" t="inlineStr">
        <is>
          <t>DEF</t>
        </is>
      </c>
      <c r="F664" t="b">
        <v>0</v>
      </c>
      <c r="G664" t="b">
        <v>1</v>
      </c>
      <c r="L664" t="inlineStr">
        <is>
          <t>p536109</t>
        </is>
      </c>
      <c r="Q664" t="n">
        <v>659</v>
      </c>
      <c r="R664" t="n">
        <v>13</v>
      </c>
      <c r="T664" t="n">
        <v>7.322</v>
      </c>
      <c r="U664" t="n">
        <v>50.7</v>
      </c>
      <c r="AD664" t="n">
        <v>0</v>
      </c>
      <c r="AE664" t="n">
        <v>0</v>
      </c>
      <c r="AG664" t="n">
        <v>78</v>
      </c>
      <c r="AH664" t="n">
        <v>-10</v>
      </c>
      <c r="AI664" t="n">
        <v>21</v>
      </c>
      <c r="AN664" t="n">
        <v>2</v>
      </c>
      <c r="AO664" t="n">
        <v>4</v>
      </c>
      <c r="AP664" t="n">
        <v>0.222</v>
      </c>
      <c r="AQ664" t="n">
        <v>0.222</v>
      </c>
      <c r="AR664" t="n">
        <v>0.222</v>
      </c>
      <c r="AS664" t="n">
        <v>0.237</v>
      </c>
      <c r="AT664" t="n">
        <v>0.538</v>
      </c>
      <c r="AU664" t="n">
        <v>10</v>
      </c>
      <c r="AV664" t="n">
        <v>0</v>
      </c>
      <c r="AW664" t="n">
        <v>1.18</v>
      </c>
      <c r="AX664" t="n">
        <v>5</v>
      </c>
      <c r="AZ664" t="n">
        <v>0.239</v>
      </c>
      <c r="BA664" t="n">
        <v>0.239</v>
      </c>
      <c r="BB664" t="n">
        <v>0.239</v>
      </c>
      <c r="BD664" t="n">
        <v>0.033</v>
      </c>
      <c r="BE664" t="n">
        <v>0.033</v>
      </c>
      <c r="BH664" t="n">
        <v>0.965</v>
      </c>
      <c r="BI664" t="n">
        <v>0.29</v>
      </c>
      <c r="BJ664" t="n">
        <v>0.174</v>
      </c>
      <c r="BK664" t="n">
        <v>0.024</v>
      </c>
      <c r="BP664" t="n">
        <v>3</v>
      </c>
      <c r="BS664" t="n">
        <v>7</v>
      </c>
      <c r="BT664" t="n">
        <v>0.956</v>
      </c>
      <c r="BX664" t="n">
        <v>0.976</v>
      </c>
      <c r="BY664" t="n">
        <v>0.976</v>
      </c>
      <c r="BZ664" t="n">
        <v>0.133</v>
      </c>
      <c r="CA664" t="n">
        <v>1.215</v>
      </c>
      <c r="CB664" t="n">
        <v>0.166</v>
      </c>
      <c r="CC664" t="n">
        <v>5</v>
      </c>
      <c r="CD664" t="n">
        <v>3</v>
      </c>
      <c r="CE664" t="n">
        <v>5</v>
      </c>
      <c r="CF664" t="n">
        <v>3</v>
      </c>
      <c r="CG664" t="n">
        <v>1</v>
      </c>
      <c r="CH664" t="n">
        <v>18</v>
      </c>
      <c r="CI664" t="n">
        <v>1.59</v>
      </c>
      <c r="CJ664" t="n">
        <v>0.679</v>
      </c>
      <c r="CN664" t="n">
        <v>22</v>
      </c>
      <c r="CO664" t="n">
        <v>13</v>
      </c>
      <c r="CP664" t="n">
        <v>30</v>
      </c>
      <c r="CQ664" t="n">
        <v>1</v>
      </c>
      <c r="CR664" t="n">
        <v>46</v>
      </c>
      <c r="CS664" t="n">
        <v>7</v>
      </c>
      <c r="CU664" t="n">
        <v>1</v>
      </c>
      <c r="DH664" t="n">
        <v>7</v>
      </c>
      <c r="DI664" t="n">
        <v>7</v>
      </c>
      <c r="DJ664" t="n">
        <v>1</v>
      </c>
      <c r="DL664" t="n">
        <v>2</v>
      </c>
      <c r="DN664" t="n">
        <v>1</v>
      </c>
      <c r="EF664" t="n">
        <v>219.7</v>
      </c>
      <c r="EG664" t="n">
        <v>94.09999999999999</v>
      </c>
      <c r="EH664" t="n">
        <v>131.8</v>
      </c>
      <c r="EI664" t="n">
        <v>2760.2</v>
      </c>
      <c r="EJ664" t="n">
        <v>675.1</v>
      </c>
      <c r="EK664" t="n">
        <v>542.4</v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n">
        <v>4</v>
      </c>
      <c r="F665" t="b">
        <v>1</v>
      </c>
      <c r="G665" t="b">
        <v>0</v>
      </c>
      <c r="H665" t="n">
        <v>21.6</v>
      </c>
      <c r="I665" t="inlineStr">
        <is>
          <t>a</t>
        </is>
      </c>
      <c r="M665" t="n">
        <v>479</v>
      </c>
      <c r="DO665" t="n">
        <v>0.2</v>
      </c>
      <c r="DP665" t="n">
        <v>0</v>
      </c>
      <c r="DQ665" t="n">
        <v>0</v>
      </c>
      <c r="DR665" t="n">
        <v>0</v>
      </c>
      <c r="DS665" t="n">
        <v>0</v>
      </c>
      <c r="DT665" t="n">
        <v>0</v>
      </c>
      <c r="DU665" t="n">
        <v>0</v>
      </c>
      <c r="DV665" t="inlineStr">
        <is>
          <t>flat</t>
        </is>
      </c>
      <c r="DW665" t="n">
        <v>69.61</v>
      </c>
      <c r="DX665" t="n">
        <v>21</v>
      </c>
      <c r="DY665" t="n">
        <v>68.75</v>
      </c>
      <c r="DZ665" t="n">
        <v>21</v>
      </c>
      <c r="EA665" t="n">
        <v>118.22</v>
      </c>
      <c r="EB665" t="n">
        <v>2</v>
      </c>
      <c r="EC665" t="n">
        <v>1</v>
      </c>
      <c r="ED665" t="n">
        <v>0</v>
      </c>
      <c r="EE665" t="n">
        <v>582</v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n">
        <v>4</v>
      </c>
      <c r="F666" t="b">
        <v>1</v>
      </c>
      <c r="G666" t="b">
        <v>0</v>
      </c>
      <c r="H666" t="n">
        <v>23.1</v>
      </c>
      <c r="I666" t="inlineStr">
        <is>
          <t>a</t>
        </is>
      </c>
      <c r="M666" t="n">
        <v>182</v>
      </c>
      <c r="DO666" t="n">
        <v>0.7</v>
      </c>
      <c r="DP666" t="n">
        <v>94.45999999999999</v>
      </c>
      <c r="DQ666" t="n">
        <v>47.23</v>
      </c>
      <c r="DR666" t="n">
        <v>94.45999999999999</v>
      </c>
      <c r="DS666" t="n">
        <v>0</v>
      </c>
      <c r="DT666" t="n">
        <v>2725</v>
      </c>
      <c r="DU666" t="n">
        <v>71.7</v>
      </c>
      <c r="DV666" t="inlineStr">
        <is>
          <t>flat</t>
        </is>
      </c>
      <c r="DW666" t="n">
        <v>76.90000000000001</v>
      </c>
      <c r="DX666" t="n">
        <v>53</v>
      </c>
      <c r="DY666" t="n">
        <v>33.8</v>
      </c>
      <c r="DZ666" t="n">
        <v>53</v>
      </c>
      <c r="EA666" t="n">
        <v>100.8</v>
      </c>
      <c r="EB666" t="n">
        <v>2</v>
      </c>
      <c r="EC666" t="n">
        <v>1</v>
      </c>
      <c r="ED666" t="n">
        <v>0</v>
      </c>
      <c r="EE666" t="n">
        <v>547</v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n">
        <v>5</v>
      </c>
      <c r="F667" t="b">
        <v>1</v>
      </c>
      <c r="G667" t="b">
        <v>0</v>
      </c>
      <c r="H667" t="n">
        <v>24.2</v>
      </c>
      <c r="I667" t="inlineStr">
        <is>
          <t>a</t>
        </is>
      </c>
      <c r="M667" t="n">
        <v>286</v>
      </c>
      <c r="O667" t="n">
        <v>3</v>
      </c>
      <c r="P667" t="n">
        <v>2</v>
      </c>
      <c r="DO667" t="n">
        <v>0.5</v>
      </c>
      <c r="DP667" t="n">
        <v>100.24</v>
      </c>
      <c r="DQ667" t="n">
        <v>50.17</v>
      </c>
      <c r="DR667" t="n">
        <v>100.34</v>
      </c>
      <c r="DS667" t="n">
        <v>-0.1</v>
      </c>
      <c r="DT667" t="n">
        <v>2257</v>
      </c>
      <c r="DU667" t="n">
        <v>59.4</v>
      </c>
      <c r="DV667" t="inlineStr">
        <is>
          <t>flat</t>
        </is>
      </c>
      <c r="DW667" t="n">
        <v>101.5</v>
      </c>
      <c r="DY667" t="n">
        <v>3.54</v>
      </c>
      <c r="DZ667" t="n">
        <v>99</v>
      </c>
      <c r="EA667" t="n">
        <v>104</v>
      </c>
      <c r="EB667" t="n">
        <v>2</v>
      </c>
      <c r="EC667" t="n">
        <v>1</v>
      </c>
      <c r="ED667" t="n">
        <v>0</v>
      </c>
      <c r="EE667" t="n">
        <v>351</v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n">
        <v>5.5</v>
      </c>
      <c r="F668" t="b">
        <v>1</v>
      </c>
      <c r="G668" t="b">
        <v>0</v>
      </c>
      <c r="H668" t="n">
        <v>22.1</v>
      </c>
      <c r="I668" t="inlineStr">
        <is>
          <t>a</t>
        </is>
      </c>
      <c r="M668" t="n">
        <v>568</v>
      </c>
      <c r="DO668" t="n">
        <v>0.1</v>
      </c>
      <c r="DP668" t="n">
        <v>29.57</v>
      </c>
      <c r="DQ668" t="n">
        <v>14.96</v>
      </c>
      <c r="DR668" t="n">
        <v>29.92</v>
      </c>
      <c r="DS668" t="n">
        <v>-0.35</v>
      </c>
      <c r="DT668" t="n">
        <v>315</v>
      </c>
      <c r="DU668" t="n">
        <v>8.300000000000001</v>
      </c>
      <c r="DV668" t="inlineStr">
        <is>
          <t>flat</t>
        </is>
      </c>
      <c r="DW668" t="n">
        <v>93.33</v>
      </c>
      <c r="DZ668" t="n">
        <v>93.33</v>
      </c>
      <c r="EA668" t="n">
        <v>93.33</v>
      </c>
      <c r="EB668" t="n">
        <v>1</v>
      </c>
      <c r="EC668" t="n">
        <v>0.5</v>
      </c>
      <c r="ED668" t="n">
        <v>0</v>
      </c>
      <c r="EE668" t="n">
        <v>217</v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n">
        <v>5.5</v>
      </c>
      <c r="F669" t="b">
        <v>1</v>
      </c>
      <c r="G669" t="b">
        <v>0</v>
      </c>
      <c r="H669" t="n">
        <v>22.1</v>
      </c>
      <c r="I669" t="inlineStr">
        <is>
          <t>a</t>
        </is>
      </c>
      <c r="M669" t="n">
        <v>316</v>
      </c>
      <c r="N669" t="n">
        <v>2</v>
      </c>
      <c r="DO669" t="n">
        <v>0.3</v>
      </c>
      <c r="DP669" t="n">
        <v>110.14</v>
      </c>
      <c r="DQ669" t="n">
        <v>55.07</v>
      </c>
      <c r="DR669" t="n">
        <v>110.14</v>
      </c>
      <c r="DS669" t="n">
        <v>0</v>
      </c>
      <c r="DT669" t="n">
        <v>2366</v>
      </c>
      <c r="DU669" t="n">
        <v>62.25</v>
      </c>
      <c r="DV669" t="inlineStr">
        <is>
          <t>flat</t>
        </is>
      </c>
      <c r="DW669" t="n">
        <v>91.09</v>
      </c>
      <c r="DX669" t="n">
        <v>84</v>
      </c>
      <c r="DY669" t="n">
        <v>21.07</v>
      </c>
      <c r="DZ669" t="n">
        <v>41.33</v>
      </c>
      <c r="EA669" t="n">
        <v>116.8</v>
      </c>
      <c r="EB669" t="n">
        <v>39</v>
      </c>
      <c r="EC669" t="n">
        <v>18.8</v>
      </c>
      <c r="ED669" t="n">
        <v>4.9</v>
      </c>
      <c r="EE669" t="n">
        <v>212</v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n">
        <v>4.5</v>
      </c>
      <c r="F670" t="b">
        <v>1</v>
      </c>
      <c r="G670" t="b">
        <v>0</v>
      </c>
      <c r="H670" t="n">
        <v>23</v>
      </c>
      <c r="I670" t="inlineStr">
        <is>
          <t>a</t>
        </is>
      </c>
      <c r="M670" t="n">
        <v>554</v>
      </c>
      <c r="DO670" t="n">
        <v>0.1</v>
      </c>
      <c r="DP670" t="n">
        <v>1.38</v>
      </c>
      <c r="DQ670" t="n">
        <v>0.6899999999999999</v>
      </c>
      <c r="DR670" t="n">
        <v>1.38</v>
      </c>
      <c r="DS670" t="n">
        <v>0</v>
      </c>
      <c r="DT670" t="n">
        <v>35</v>
      </c>
      <c r="DU670" t="n">
        <v>0.91</v>
      </c>
      <c r="DV670" t="inlineStr">
        <is>
          <t>flat</t>
        </is>
      </c>
      <c r="DW670" t="n">
        <v>116.8</v>
      </c>
      <c r="DZ670" t="n">
        <v>116.8</v>
      </c>
      <c r="EA670" t="n">
        <v>116.8</v>
      </c>
      <c r="EB670" t="n">
        <v>1</v>
      </c>
      <c r="EC670" t="n">
        <v>0.5</v>
      </c>
      <c r="ED670" t="n">
        <v>0</v>
      </c>
      <c r="EE670" t="n">
        <v>509</v>
      </c>
    </row>
    <row r="671">
      <c r="A671" t="inlineStr">
        <is>
          <t>Lucas Pires</t>
        </is>
      </c>
      <c r="D671" t="inlineStr">
        <is>
          <t>DEF</t>
        </is>
      </c>
      <c r="F671" t="b">
        <v>0</v>
      </c>
      <c r="G671" t="b">
        <v>1</v>
      </c>
      <c r="L671" t="inlineStr">
        <is>
          <t>p549329</t>
        </is>
      </c>
      <c r="Q671" t="n">
        <v>1406</v>
      </c>
      <c r="R671" t="n">
        <v>20</v>
      </c>
      <c r="T671" t="n">
        <v>15.622</v>
      </c>
      <c r="U671" t="n">
        <v>70.3</v>
      </c>
      <c r="AD671" t="n">
        <v>0</v>
      </c>
      <c r="AE671" t="n">
        <v>0</v>
      </c>
      <c r="AG671" t="n">
        <v>114</v>
      </c>
      <c r="AH671" t="n">
        <v>-13</v>
      </c>
      <c r="AI671" t="n">
        <v>25</v>
      </c>
      <c r="AN671" t="n">
        <v>1</v>
      </c>
      <c r="AO671" t="n">
        <v>2</v>
      </c>
      <c r="AP671" t="n">
        <v>0.067</v>
      </c>
      <c r="AQ671" t="n">
        <v>0.067</v>
      </c>
      <c r="AR671" t="n">
        <v>0.067</v>
      </c>
      <c r="AS671" t="n">
        <v>0.395</v>
      </c>
      <c r="AT671" t="n">
        <v>0.7</v>
      </c>
      <c r="AU671" t="n">
        <v>18</v>
      </c>
      <c r="AV671" t="n">
        <v>0</v>
      </c>
      <c r="AW671" t="n">
        <v>1.34</v>
      </c>
      <c r="AX671" t="n">
        <v>6</v>
      </c>
      <c r="AZ671" t="n">
        <v>0.903</v>
      </c>
      <c r="BA671" t="n">
        <v>0.903</v>
      </c>
      <c r="BB671" t="n">
        <v>0.903</v>
      </c>
      <c r="BD671" t="n">
        <v>0.058</v>
      </c>
      <c r="BE671" t="n">
        <v>0.058</v>
      </c>
      <c r="BF671" t="n">
        <v>0.3</v>
      </c>
      <c r="BG671" t="n">
        <v>0.019</v>
      </c>
      <c r="BH671" t="n">
        <v>0.965</v>
      </c>
      <c r="BI671" t="n">
        <v>0.6</v>
      </c>
      <c r="BJ671" t="n">
        <v>0.579</v>
      </c>
      <c r="BK671" t="n">
        <v>0.037</v>
      </c>
      <c r="BP671" t="n">
        <v>16</v>
      </c>
      <c r="BQ671" t="n">
        <v>4</v>
      </c>
      <c r="BR671" t="n">
        <v>1</v>
      </c>
      <c r="BS671" t="n">
        <v>22</v>
      </c>
      <c r="BT671" t="n">
        <v>1.408</v>
      </c>
      <c r="BX671" t="n">
        <v>1.52</v>
      </c>
      <c r="BY671" t="n">
        <v>1.52</v>
      </c>
      <c r="BZ671" t="n">
        <v>0.097</v>
      </c>
      <c r="CA671" t="n">
        <v>2.423</v>
      </c>
      <c r="CB671" t="n">
        <v>0.155</v>
      </c>
      <c r="CC671" t="n">
        <v>20</v>
      </c>
      <c r="CD671" t="n">
        <v>1</v>
      </c>
      <c r="CE671" t="n">
        <v>20</v>
      </c>
      <c r="CF671" t="n">
        <v>9</v>
      </c>
      <c r="CG671" t="n">
        <v>1</v>
      </c>
      <c r="CH671" t="n">
        <v>20</v>
      </c>
      <c r="CI671" t="n">
        <v>3.834</v>
      </c>
      <c r="CJ671" t="n">
        <v>2.355</v>
      </c>
      <c r="CN671" t="n">
        <v>22</v>
      </c>
      <c r="CO671" t="n">
        <v>20</v>
      </c>
      <c r="CP671" t="n">
        <v>39</v>
      </c>
      <c r="CQ671" t="n">
        <v>6</v>
      </c>
      <c r="CR671" t="n">
        <v>54</v>
      </c>
      <c r="CS671" t="n">
        <v>3</v>
      </c>
      <c r="CT671" t="n">
        <v>0.4</v>
      </c>
      <c r="DH671" t="n">
        <v>15</v>
      </c>
      <c r="DI671" t="n">
        <v>4</v>
      </c>
      <c r="DL671" t="n">
        <v>18</v>
      </c>
      <c r="DM671" t="n">
        <v>12</v>
      </c>
      <c r="DN671" t="n">
        <v>6</v>
      </c>
      <c r="EF671" t="n">
        <v>87.90000000000001</v>
      </c>
      <c r="EG671" t="n">
        <v>63.9</v>
      </c>
      <c r="EH671" t="n">
        <v>70.3</v>
      </c>
      <c r="EI671" t="n">
        <v>1557.6</v>
      </c>
      <c r="EJ671" t="n">
        <v>925</v>
      </c>
      <c r="EK671" t="n">
        <v>580.4</v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n">
        <v>4.5</v>
      </c>
      <c r="F672" t="b">
        <v>1</v>
      </c>
      <c r="G672" t="b">
        <v>0</v>
      </c>
      <c r="I672" t="inlineStr">
        <is>
          <t>u</t>
        </is>
      </c>
      <c r="J672" t="inlineStr">
        <is>
          <t>Has joined KVC Westerlo on loan for the rest of the season</t>
        </is>
      </c>
      <c r="K672" t="n">
        <v>0</v>
      </c>
      <c r="M672" t="n">
        <v>197</v>
      </c>
      <c r="DO672" t="n">
        <v>0.2</v>
      </c>
    </row>
    <row r="673">
      <c r="A673" t="inlineStr">
        <is>
          <t>Jaydon Banel</t>
        </is>
      </c>
      <c r="D673" t="inlineStr">
        <is>
          <t>MID</t>
        </is>
      </c>
      <c r="F673" t="b">
        <v>0</v>
      </c>
      <c r="G673" t="b">
        <v>1</v>
      </c>
      <c r="L673" t="inlineStr">
        <is>
          <t>p551206</t>
        </is>
      </c>
      <c r="Q673" t="n">
        <v>9</v>
      </c>
      <c r="R673" t="n">
        <v>1</v>
      </c>
      <c r="T673" t="n">
        <v>0.1</v>
      </c>
      <c r="U673" t="n">
        <v>9</v>
      </c>
      <c r="AD673" t="n">
        <v>0</v>
      </c>
      <c r="AE673" t="n">
        <v>0</v>
      </c>
      <c r="AG673" t="n">
        <v>2</v>
      </c>
      <c r="AH673" t="n">
        <v>0</v>
      </c>
      <c r="AI673" t="n">
        <v>1</v>
      </c>
      <c r="AN673" t="n">
        <v>0</v>
      </c>
      <c r="AO673" t="n">
        <v>0</v>
      </c>
      <c r="AS673" t="n">
        <v>0</v>
      </c>
      <c r="AT673" t="n">
        <v>0</v>
      </c>
      <c r="AU673" t="n">
        <v>1</v>
      </c>
      <c r="AV673" t="n">
        <v>0</v>
      </c>
      <c r="AW673" t="n">
        <v>0.16</v>
      </c>
      <c r="AX673" t="n">
        <v>1</v>
      </c>
      <c r="AZ673" t="n">
        <v>0</v>
      </c>
      <c r="BA673" t="n">
        <v>0</v>
      </c>
      <c r="BB673" t="n">
        <v>0</v>
      </c>
      <c r="BD673" t="n">
        <v>0</v>
      </c>
      <c r="BE673" t="n">
        <v>0</v>
      </c>
      <c r="BH673" t="n">
        <v>1</v>
      </c>
      <c r="BI673" t="n">
        <v>0</v>
      </c>
      <c r="BJ673" t="n">
        <v>0</v>
      </c>
      <c r="BK673" t="n">
        <v>0</v>
      </c>
      <c r="BX673" t="n">
        <v>0</v>
      </c>
      <c r="BY673" t="n">
        <v>0</v>
      </c>
      <c r="BZ673" t="n">
        <v>0</v>
      </c>
      <c r="CA673" t="n">
        <v>0</v>
      </c>
      <c r="CB673" t="n">
        <v>0</v>
      </c>
      <c r="CC673" t="n">
        <v>0</v>
      </c>
      <c r="CI673" t="n">
        <v>0</v>
      </c>
      <c r="CJ673" t="n">
        <v>0</v>
      </c>
      <c r="CR673" t="n">
        <v>1</v>
      </c>
      <c r="DH673" t="n">
        <v>1</v>
      </c>
      <c r="DI673" t="n">
        <v>1</v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n">
        <v>5</v>
      </c>
      <c r="F674" t="b">
        <v>1</v>
      </c>
      <c r="G674" t="b">
        <v>0</v>
      </c>
      <c r="H674" t="n">
        <v>23.6</v>
      </c>
      <c r="I674" t="inlineStr">
        <is>
          <t>a</t>
        </is>
      </c>
      <c r="M674" t="n">
        <v>196</v>
      </c>
      <c r="DO674" t="n">
        <v>0.1</v>
      </c>
      <c r="DP674" t="n">
        <v>0</v>
      </c>
      <c r="DQ674" t="n">
        <v>0</v>
      </c>
      <c r="DR674" t="n">
        <v>0</v>
      </c>
      <c r="DS674" t="n">
        <v>0</v>
      </c>
      <c r="DT674" t="n">
        <v>0</v>
      </c>
      <c r="DU674" t="n">
        <v>0</v>
      </c>
      <c r="DV674" t="inlineStr">
        <is>
          <t>flat</t>
        </is>
      </c>
      <c r="DW674" t="n">
        <v>90</v>
      </c>
      <c r="DX674" t="n">
        <v>90</v>
      </c>
      <c r="DZ674" t="n">
        <v>90</v>
      </c>
      <c r="EA674" t="n">
        <v>90</v>
      </c>
      <c r="EB674" t="n">
        <v>1</v>
      </c>
      <c r="EC674" t="n">
        <v>0.5</v>
      </c>
      <c r="ED674" t="n">
        <v>0</v>
      </c>
      <c r="EE674" t="n">
        <v>346</v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n">
        <v>6</v>
      </c>
      <c r="F675" t="b">
        <v>1</v>
      </c>
      <c r="G675" t="b">
        <v>0</v>
      </c>
      <c r="H675" t="n">
        <v>22.4</v>
      </c>
      <c r="I675" t="inlineStr">
        <is>
          <t>a</t>
        </is>
      </c>
      <c r="M675" t="n">
        <v>569</v>
      </c>
      <c r="N675" t="n">
        <v>1</v>
      </c>
      <c r="DO675" t="n">
        <v>1.8</v>
      </c>
      <c r="DP675" t="n">
        <v>146.34</v>
      </c>
      <c r="DQ675" t="n">
        <v>73.17</v>
      </c>
      <c r="DR675" t="n">
        <v>146.34</v>
      </c>
      <c r="DS675" t="n">
        <v>0</v>
      </c>
      <c r="DT675" t="n">
        <v>2696</v>
      </c>
      <c r="DU675" t="n">
        <v>70.95</v>
      </c>
      <c r="DV675" t="inlineStr">
        <is>
          <t>flat</t>
        </is>
      </c>
      <c r="DW675" t="n">
        <v>55.81</v>
      </c>
      <c r="DX675" t="n">
        <v>74.23</v>
      </c>
      <c r="DY675" t="n">
        <v>29.06</v>
      </c>
      <c r="DZ675" t="n">
        <v>14</v>
      </c>
      <c r="EA675" t="n">
        <v>116</v>
      </c>
      <c r="EB675" t="n">
        <v>97</v>
      </c>
      <c r="EC675" t="n">
        <v>46.6</v>
      </c>
      <c r="ED675" t="n">
        <v>5.8</v>
      </c>
      <c r="EE675" t="n">
        <v>110</v>
      </c>
    </row>
    <row r="676">
      <c r="A676" t="inlineStr">
        <is>
          <t>Álex Jiménez</t>
        </is>
      </c>
      <c r="D676" t="inlineStr">
        <is>
          <t>DEF</t>
        </is>
      </c>
      <c r="F676" t="b">
        <v>0</v>
      </c>
      <c r="G676" t="b">
        <v>1</v>
      </c>
      <c r="L676" t="inlineStr">
        <is>
          <t>p551483</t>
        </is>
      </c>
      <c r="Q676" t="n">
        <v>2323</v>
      </c>
      <c r="R676" t="n">
        <v>31</v>
      </c>
      <c r="T676" t="n">
        <v>25.811</v>
      </c>
      <c r="U676" t="n">
        <v>74.90000000000001</v>
      </c>
      <c r="AD676" t="n">
        <v>3</v>
      </c>
      <c r="AE676" t="n">
        <v>1</v>
      </c>
      <c r="AG676" t="n">
        <v>285</v>
      </c>
      <c r="AH676" t="n">
        <v>-12</v>
      </c>
      <c r="AI676" t="n">
        <v>75</v>
      </c>
      <c r="AN676" t="n">
        <v>2</v>
      </c>
      <c r="AO676" t="n">
        <v>4</v>
      </c>
      <c r="AP676" t="n">
        <v>0.077</v>
      </c>
      <c r="AQ676" t="n">
        <v>0.077</v>
      </c>
      <c r="AR676" t="n">
        <v>0.038</v>
      </c>
      <c r="AS676" t="n">
        <v>0.6840000000000001</v>
      </c>
      <c r="AT676" t="n">
        <v>0.806</v>
      </c>
      <c r="AU676" t="n">
        <v>20</v>
      </c>
      <c r="AV676" t="n">
        <v>0</v>
      </c>
      <c r="AW676" t="n">
        <v>2.41</v>
      </c>
      <c r="AX676" t="n">
        <v>8</v>
      </c>
      <c r="AZ676" t="n">
        <v>1.21</v>
      </c>
      <c r="BA676" t="n">
        <v>1.21</v>
      </c>
      <c r="BB676" t="n">
        <v>1.21</v>
      </c>
      <c r="BD676" t="n">
        <v>0.047</v>
      </c>
      <c r="BE676" t="n">
        <v>0.047</v>
      </c>
      <c r="BF676" t="n">
        <v>1.1</v>
      </c>
      <c r="BG676" t="n">
        <v>0.043</v>
      </c>
      <c r="BH676" t="n">
        <v>1.001</v>
      </c>
      <c r="BI676" t="n">
        <v>1.09</v>
      </c>
      <c r="BJ676" t="n">
        <v>1.091</v>
      </c>
      <c r="BK676" t="n">
        <v>0.042</v>
      </c>
      <c r="BP676" t="n">
        <v>21</v>
      </c>
      <c r="BQ676" t="n">
        <v>4</v>
      </c>
      <c r="BS676" t="n">
        <v>41</v>
      </c>
      <c r="BT676" t="n">
        <v>1.588</v>
      </c>
      <c r="BX676" t="n">
        <v>1.703</v>
      </c>
      <c r="BY676" t="n">
        <v>1.703</v>
      </c>
      <c r="BZ676" t="n">
        <v>0.066</v>
      </c>
      <c r="CA676" t="n">
        <v>2.913</v>
      </c>
      <c r="CB676" t="n">
        <v>0.113</v>
      </c>
      <c r="CC676" t="n">
        <v>15</v>
      </c>
      <c r="CD676" t="n">
        <v>2</v>
      </c>
      <c r="CE676" t="n">
        <v>14</v>
      </c>
      <c r="CF676" t="n">
        <v>11</v>
      </c>
      <c r="CG676" t="n">
        <v>1</v>
      </c>
      <c r="CI676" t="n">
        <v>7.322</v>
      </c>
      <c r="CJ676" t="n">
        <v>4.87</v>
      </c>
      <c r="CN676" t="n">
        <v>48</v>
      </c>
      <c r="CO676" t="n">
        <v>27</v>
      </c>
      <c r="CP676" t="n">
        <v>41</v>
      </c>
      <c r="CQ676" t="n">
        <v>11</v>
      </c>
      <c r="CR676" t="n">
        <v>141</v>
      </c>
      <c r="CS676" t="n">
        <v>13</v>
      </c>
      <c r="CT676" t="n">
        <v>0.4</v>
      </c>
      <c r="DE676" t="n">
        <v>6.99</v>
      </c>
      <c r="DH676" t="n">
        <v>35</v>
      </c>
      <c r="DI676" t="n">
        <v>20</v>
      </c>
      <c r="DK676" t="n">
        <v>1</v>
      </c>
      <c r="DL676" t="n">
        <v>39</v>
      </c>
      <c r="DM676" t="n">
        <v>20</v>
      </c>
      <c r="EF676" t="n">
        <v>110.6</v>
      </c>
      <c r="EG676" t="n">
        <v>56.7</v>
      </c>
      <c r="EH676" t="n">
        <v>165.9</v>
      </c>
      <c r="EI676" t="n">
        <v>1919.2</v>
      </c>
      <c r="EJ676" t="n">
        <v>1364.2</v>
      </c>
      <c r="EK676" t="n">
        <v>797.4</v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n">
        <v>6.5</v>
      </c>
      <c r="F677" t="b">
        <v>1</v>
      </c>
      <c r="G677" t="b">
        <v>0</v>
      </c>
      <c r="H677" t="n">
        <v>23.1</v>
      </c>
      <c r="I677" t="inlineStr">
        <is>
          <t>a</t>
        </is>
      </c>
      <c r="M677" t="n">
        <v>377</v>
      </c>
      <c r="DO677" t="n">
        <v>0.8</v>
      </c>
      <c r="DP677" t="n">
        <v>50.85</v>
      </c>
      <c r="DQ677" t="n">
        <v>25.69</v>
      </c>
      <c r="DR677" t="n">
        <v>51.38</v>
      </c>
      <c r="DS677" t="n">
        <v>-0.53</v>
      </c>
      <c r="DT677" t="n">
        <v>796</v>
      </c>
      <c r="DU677" t="n">
        <v>20.94</v>
      </c>
      <c r="DV677" t="inlineStr">
        <is>
          <t>flat</t>
        </is>
      </c>
      <c r="DW677" t="n">
        <v>66.02</v>
      </c>
      <c r="DX677" t="n">
        <v>69.75</v>
      </c>
      <c r="DY677" t="n">
        <v>24.26</v>
      </c>
      <c r="DZ677" t="n">
        <v>15.5</v>
      </c>
      <c r="EA677" t="n">
        <v>113.45</v>
      </c>
      <c r="EB677" t="n">
        <v>73</v>
      </c>
      <c r="EC677" t="n">
        <v>35.1</v>
      </c>
      <c r="ED677" t="n">
        <v>14.1</v>
      </c>
      <c r="EE677" t="n">
        <v>53</v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n">
        <v>5</v>
      </c>
      <c r="F678" t="b">
        <v>1</v>
      </c>
      <c r="G678" t="b">
        <v>0</v>
      </c>
      <c r="H678" t="n">
        <v>20.8</v>
      </c>
      <c r="I678" t="inlineStr">
        <is>
          <t>a</t>
        </is>
      </c>
      <c r="M678" t="n">
        <v>574</v>
      </c>
      <c r="DO678" t="n">
        <v>0</v>
      </c>
      <c r="DP678" t="n">
        <v>65.20999999999999</v>
      </c>
      <c r="DQ678" t="n">
        <v>33.12</v>
      </c>
      <c r="DR678" t="n">
        <v>66.23999999999999</v>
      </c>
      <c r="DS678" t="n">
        <v>-1.03</v>
      </c>
      <c r="DT678" t="n">
        <v>1750</v>
      </c>
      <c r="DU678" t="n">
        <v>46.05</v>
      </c>
      <c r="DV678" t="inlineStr">
        <is>
          <t>flat</t>
        </is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n">
        <v>4.5</v>
      </c>
      <c r="F679" t="b">
        <v>1</v>
      </c>
      <c r="G679" t="b">
        <v>0</v>
      </c>
      <c r="H679" t="n">
        <v>22.3</v>
      </c>
      <c r="I679" t="inlineStr">
        <is>
          <t>i</t>
        </is>
      </c>
      <c r="J679" t="inlineStr">
        <is>
          <t>Thigh injury - Unknown return date</t>
        </is>
      </c>
      <c r="K679" t="n">
        <v>0</v>
      </c>
      <c r="M679" t="n">
        <v>294</v>
      </c>
      <c r="DO679" t="n">
        <v>0.3</v>
      </c>
      <c r="DP679" t="n">
        <v>12.33</v>
      </c>
      <c r="DQ679" t="n">
        <v>6.21</v>
      </c>
      <c r="DR679" t="n">
        <v>12.42</v>
      </c>
      <c r="DS679" t="n">
        <v>-0.09</v>
      </c>
      <c r="DT679" t="n">
        <v>88</v>
      </c>
      <c r="DU679" t="n">
        <v>2.31</v>
      </c>
      <c r="DV679" t="inlineStr">
        <is>
          <t>flat</t>
        </is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n">
        <v>4.5</v>
      </c>
      <c r="F680" t="b">
        <v>1</v>
      </c>
      <c r="G680" t="b">
        <v>0</v>
      </c>
      <c r="H680" t="n">
        <v>20.6</v>
      </c>
      <c r="I680" t="inlineStr">
        <is>
          <t>a</t>
        </is>
      </c>
      <c r="M680" t="n">
        <v>444</v>
      </c>
      <c r="DO680" t="n">
        <v>0.1</v>
      </c>
      <c r="DP680" t="n">
        <v>1.12</v>
      </c>
      <c r="DQ680" t="n">
        <v>0.5600000000000001</v>
      </c>
      <c r="DR680" t="n">
        <v>1.12</v>
      </c>
      <c r="DS680" t="n">
        <v>0</v>
      </c>
      <c r="DT680" t="n">
        <v>34</v>
      </c>
      <c r="DU680" t="n">
        <v>0.9</v>
      </c>
      <c r="DV680" t="inlineStr">
        <is>
          <t>flat</t>
        </is>
      </c>
      <c r="DW680" t="n">
        <v>117.43</v>
      </c>
      <c r="DY680" t="n">
        <v>1.21</v>
      </c>
      <c r="DZ680" t="n">
        <v>116.57</v>
      </c>
      <c r="EA680" t="n">
        <v>118.29</v>
      </c>
      <c r="EB680" t="n">
        <v>2</v>
      </c>
      <c r="EC680" t="n">
        <v>1</v>
      </c>
      <c r="ED680" t="n">
        <v>0</v>
      </c>
      <c r="EE680" t="n">
        <v>513</v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n">
        <v>4.5</v>
      </c>
      <c r="F681" t="b">
        <v>1</v>
      </c>
      <c r="G681" t="b">
        <v>0</v>
      </c>
      <c r="H681" t="n">
        <v>20.2</v>
      </c>
      <c r="I681" t="inlineStr">
        <is>
          <t>a</t>
        </is>
      </c>
      <c r="M681" t="n">
        <v>321</v>
      </c>
      <c r="DO681" t="n">
        <v>2</v>
      </c>
      <c r="DP681" t="n">
        <v>27.27</v>
      </c>
      <c r="DQ681" t="n">
        <v>13.64</v>
      </c>
      <c r="DR681" t="n">
        <v>27.28</v>
      </c>
      <c r="DS681" t="n">
        <v>-0.01</v>
      </c>
      <c r="DT681" t="n">
        <v>616</v>
      </c>
      <c r="DU681" t="n">
        <v>16.21</v>
      </c>
      <c r="DV681" t="inlineStr">
        <is>
          <t>flat</t>
        </is>
      </c>
      <c r="DW681" t="n">
        <v>108.37</v>
      </c>
      <c r="DX681" t="n">
        <v>108</v>
      </c>
      <c r="DY681" t="n">
        <v>6.35</v>
      </c>
      <c r="DZ681" t="n">
        <v>98.86</v>
      </c>
      <c r="EA681" t="n">
        <v>117</v>
      </c>
      <c r="EB681" t="n">
        <v>7</v>
      </c>
      <c r="EC681" t="n">
        <v>3.4</v>
      </c>
      <c r="ED681" t="n">
        <v>0</v>
      </c>
      <c r="EE681" t="n">
        <v>500</v>
      </c>
    </row>
    <row r="682">
      <c r="A682" t="inlineStr">
        <is>
          <t>Jamaldeen Jimoh-Aloba</t>
        </is>
      </c>
      <c r="D682" t="inlineStr">
        <is>
          <t>MID</t>
        </is>
      </c>
      <c r="F682" t="b">
        <v>0</v>
      </c>
      <c r="G682" t="b">
        <v>1</v>
      </c>
      <c r="L682" t="inlineStr">
        <is>
          <t>p559962</t>
        </is>
      </c>
      <c r="Q682" t="n">
        <v>8</v>
      </c>
      <c r="R682" t="n">
        <v>1</v>
      </c>
      <c r="T682" t="n">
        <v>0.089</v>
      </c>
      <c r="U682" t="n">
        <v>8</v>
      </c>
      <c r="AD682" t="n">
        <v>0</v>
      </c>
      <c r="AE682" t="n">
        <v>0</v>
      </c>
      <c r="AG682" t="n">
        <v>3</v>
      </c>
      <c r="AH682" t="n">
        <v>0</v>
      </c>
      <c r="AI682" t="n">
        <v>1</v>
      </c>
      <c r="AN682" t="n">
        <v>0</v>
      </c>
      <c r="AO682" t="n">
        <v>0</v>
      </c>
      <c r="AS682" t="n">
        <v>0</v>
      </c>
      <c r="AT682" t="n">
        <v>0</v>
      </c>
      <c r="AU682" t="n">
        <v>1</v>
      </c>
      <c r="AV682" t="n">
        <v>0</v>
      </c>
      <c r="AW682" t="n">
        <v>0.16</v>
      </c>
      <c r="AX682" t="n">
        <v>1</v>
      </c>
      <c r="BH682" t="n">
        <v>1</v>
      </c>
      <c r="BI682" t="n">
        <v>0</v>
      </c>
      <c r="BJ682" t="n">
        <v>0</v>
      </c>
      <c r="BK682" t="n">
        <v>0</v>
      </c>
      <c r="CR682" t="n">
        <v>1</v>
      </c>
      <c r="DI682" t="n">
        <v>1</v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n">
        <v>6</v>
      </c>
      <c r="F683" t="b">
        <v>1</v>
      </c>
      <c r="G683" t="b">
        <v>0</v>
      </c>
      <c r="H683" t="n">
        <v>22.1</v>
      </c>
      <c r="I683" t="inlineStr">
        <is>
          <t>a</t>
        </is>
      </c>
      <c r="M683" t="n">
        <v>81</v>
      </c>
      <c r="DO683" t="n">
        <v>0.3</v>
      </c>
      <c r="DP683" t="n">
        <v>45.36</v>
      </c>
      <c r="DQ683" t="n">
        <v>23.57</v>
      </c>
      <c r="DR683" t="n">
        <v>47.14</v>
      </c>
      <c r="DS683" t="n">
        <v>-1.78</v>
      </c>
      <c r="DT683" t="n">
        <v>719</v>
      </c>
      <c r="DU683" t="n">
        <v>18.91</v>
      </c>
      <c r="DV683" t="inlineStr">
        <is>
          <t>flat</t>
        </is>
      </c>
      <c r="DW683" t="n">
        <v>85.92</v>
      </c>
      <c r="DX683" t="n">
        <v>97.8</v>
      </c>
      <c r="DY683" t="n">
        <v>23.09</v>
      </c>
      <c r="DZ683" t="n">
        <v>20.5</v>
      </c>
      <c r="EA683" t="n">
        <v>118.67</v>
      </c>
      <c r="EB683" t="n">
        <v>53</v>
      </c>
      <c r="EC683" t="n">
        <v>25.5</v>
      </c>
      <c r="ED683" t="n">
        <v>8.6</v>
      </c>
      <c r="EE683" t="n">
        <v>107</v>
      </c>
    </row>
    <row r="684">
      <c r="A684" t="inlineStr">
        <is>
          <t>Eliezer Mayenda</t>
        </is>
      </c>
      <c r="D684" t="inlineStr">
        <is>
          <t>FWD</t>
        </is>
      </c>
      <c r="F684" t="b">
        <v>0</v>
      </c>
      <c r="G684" t="b">
        <v>1</v>
      </c>
      <c r="L684" t="inlineStr">
        <is>
          <t>p564406</t>
        </is>
      </c>
      <c r="Q684" t="n">
        <v>756</v>
      </c>
      <c r="R684" t="n">
        <v>20</v>
      </c>
      <c r="T684" t="n">
        <v>8.4</v>
      </c>
      <c r="U684" t="n">
        <v>37.8</v>
      </c>
      <c r="AD684" t="n">
        <v>5</v>
      </c>
      <c r="AE684" t="n">
        <v>0</v>
      </c>
      <c r="AG684" t="n">
        <v>123</v>
      </c>
      <c r="AH684" t="n">
        <v>-1</v>
      </c>
      <c r="AI684" t="n">
        <v>40</v>
      </c>
      <c r="AN684" t="n">
        <v>0</v>
      </c>
      <c r="AO684" t="n">
        <v>0</v>
      </c>
      <c r="AP684" t="n">
        <v>0</v>
      </c>
      <c r="AQ684" t="n">
        <v>0</v>
      </c>
      <c r="AR684" t="n">
        <v>0</v>
      </c>
      <c r="AS684" t="n">
        <v>0.211</v>
      </c>
      <c r="AT684" t="n">
        <v>0.35</v>
      </c>
      <c r="AU684" t="n">
        <v>18</v>
      </c>
      <c r="AV684" t="n">
        <v>0</v>
      </c>
      <c r="AW684" t="n">
        <v>1.92</v>
      </c>
      <c r="AX684" t="n">
        <v>9</v>
      </c>
      <c r="AZ684" t="n">
        <v>2.011</v>
      </c>
      <c r="BA684" t="n">
        <v>2.011</v>
      </c>
      <c r="BB684" t="n">
        <v>2.011</v>
      </c>
      <c r="BD684" t="n">
        <v>0.239</v>
      </c>
      <c r="BE684" t="n">
        <v>0.239</v>
      </c>
      <c r="BF684" t="n">
        <v>3.8</v>
      </c>
      <c r="BG684" t="n">
        <v>0.452</v>
      </c>
      <c r="BH684" t="n">
        <v>1.165</v>
      </c>
      <c r="BI684" t="n">
        <v>2.13</v>
      </c>
      <c r="BJ684" t="n">
        <v>2.481</v>
      </c>
      <c r="BK684" t="n">
        <v>0.295</v>
      </c>
      <c r="BP684" t="n">
        <v>13</v>
      </c>
      <c r="BQ684" t="n">
        <v>6</v>
      </c>
      <c r="BR684" t="n">
        <v>1</v>
      </c>
      <c r="BS684" t="n">
        <v>31</v>
      </c>
      <c r="BT684" t="n">
        <v>3.69</v>
      </c>
      <c r="BV684" t="n">
        <v>1</v>
      </c>
      <c r="BX684" t="n">
        <v>0.743</v>
      </c>
      <c r="BY684" t="n">
        <v>0.743</v>
      </c>
      <c r="BZ684" t="n">
        <v>0.08799999999999999</v>
      </c>
      <c r="CA684" t="n">
        <v>2.753</v>
      </c>
      <c r="CB684" t="n">
        <v>0.328</v>
      </c>
      <c r="CC684" t="n">
        <v>4</v>
      </c>
      <c r="CD684" t="n">
        <v>2</v>
      </c>
      <c r="CE684" t="n">
        <v>4</v>
      </c>
      <c r="CI684" t="n">
        <v>2.484</v>
      </c>
      <c r="CJ684" t="n">
        <v>0.488</v>
      </c>
      <c r="CN684" t="n">
        <v>1</v>
      </c>
      <c r="CO684" t="n">
        <v>1</v>
      </c>
      <c r="CP684" t="n">
        <v>5</v>
      </c>
      <c r="CQ684" t="n">
        <v>1</v>
      </c>
      <c r="CR684" t="n">
        <v>42</v>
      </c>
      <c r="CS684" t="n">
        <v>15</v>
      </c>
      <c r="CT684" t="n">
        <v>0.2</v>
      </c>
      <c r="DH684" t="n">
        <v>6</v>
      </c>
      <c r="DI684" t="n">
        <v>11</v>
      </c>
      <c r="DL684" t="n">
        <v>11</v>
      </c>
      <c r="DM684" t="n">
        <v>21</v>
      </c>
      <c r="DN684" t="n">
        <v>3</v>
      </c>
      <c r="EF684" t="n">
        <v>58.2</v>
      </c>
      <c r="EG684" t="n">
        <v>24.4</v>
      </c>
      <c r="EH684" t="n">
        <v>189</v>
      </c>
      <c r="EI684" t="n">
        <v>376</v>
      </c>
      <c r="EJ684" t="n">
        <v>1018.1</v>
      </c>
      <c r="EK684" t="n">
        <v>274.6</v>
      </c>
    </row>
    <row r="685">
      <c r="A685" t="inlineStr">
        <is>
          <t>Soungoutou Magassa</t>
        </is>
      </c>
      <c r="D685" t="inlineStr">
        <is>
          <t>MID</t>
        </is>
      </c>
      <c r="F685" t="b">
        <v>0</v>
      </c>
      <c r="G685" t="b">
        <v>1</v>
      </c>
      <c r="L685" t="inlineStr">
        <is>
          <t>p564940</t>
        </is>
      </c>
      <c r="Q685" t="n">
        <v>979</v>
      </c>
      <c r="R685" t="n">
        <v>22</v>
      </c>
      <c r="T685" t="n">
        <v>10.878</v>
      </c>
      <c r="U685" t="n">
        <v>44.5</v>
      </c>
      <c r="AD685" t="n">
        <v>2</v>
      </c>
      <c r="AE685" t="n">
        <v>0</v>
      </c>
      <c r="AG685" t="n">
        <v>180</v>
      </c>
      <c r="AH685" t="n">
        <v>-5</v>
      </c>
      <c r="AI685" t="n">
        <v>42</v>
      </c>
      <c r="AN685" t="n">
        <v>3</v>
      </c>
      <c r="AO685" t="n">
        <v>6</v>
      </c>
      <c r="AP685" t="n">
        <v>0.273</v>
      </c>
      <c r="AQ685" t="n">
        <v>0.364</v>
      </c>
      <c r="AR685" t="n">
        <v>0.273</v>
      </c>
      <c r="AS685" t="n">
        <v>0.289</v>
      </c>
      <c r="AT685" t="n">
        <v>0.409</v>
      </c>
      <c r="AU685" t="n">
        <v>18</v>
      </c>
      <c r="AV685" t="n">
        <v>1</v>
      </c>
      <c r="AW685" t="n">
        <v>2.07</v>
      </c>
      <c r="AX685" t="n">
        <v>11</v>
      </c>
      <c r="AZ685" t="n">
        <v>0.619</v>
      </c>
      <c r="BA685" t="n">
        <v>0.619</v>
      </c>
      <c r="BB685" t="n">
        <v>0.619</v>
      </c>
      <c r="BD685" t="n">
        <v>0.057</v>
      </c>
      <c r="BE685" t="n">
        <v>0.057</v>
      </c>
      <c r="BF685" t="n">
        <v>1</v>
      </c>
      <c r="BG685" t="n">
        <v>0.092</v>
      </c>
      <c r="BH685" t="n">
        <v>1.066</v>
      </c>
      <c r="BI685" t="n">
        <v>0.44</v>
      </c>
      <c r="BJ685" t="n">
        <v>0.469</v>
      </c>
      <c r="BK685" t="n">
        <v>0.043</v>
      </c>
      <c r="BP685" t="n">
        <v>7</v>
      </c>
      <c r="BQ685" t="n">
        <v>2</v>
      </c>
      <c r="BS685" t="n">
        <v>7</v>
      </c>
      <c r="BT685" t="n">
        <v>0.644</v>
      </c>
      <c r="BX685" t="n">
        <v>0.746</v>
      </c>
      <c r="BY685" t="n">
        <v>0.746</v>
      </c>
      <c r="BZ685" t="n">
        <v>0.06900000000000001</v>
      </c>
      <c r="CA685" t="n">
        <v>1.366</v>
      </c>
      <c r="CB685" t="n">
        <v>0.126</v>
      </c>
      <c r="CC685" t="n">
        <v>5</v>
      </c>
      <c r="CD685" t="n">
        <v>1</v>
      </c>
      <c r="CE685" t="n">
        <v>5</v>
      </c>
      <c r="CF685" t="n">
        <v>1</v>
      </c>
      <c r="CI685" t="n">
        <v>2.419</v>
      </c>
      <c r="CJ685" t="n">
        <v>1.532</v>
      </c>
      <c r="CN685" t="n">
        <v>21</v>
      </c>
      <c r="CO685" t="n">
        <v>16</v>
      </c>
      <c r="CP685" t="n">
        <v>14</v>
      </c>
      <c r="CQ685" t="n">
        <v>4</v>
      </c>
      <c r="CR685" t="n">
        <v>73</v>
      </c>
      <c r="CS685" t="n">
        <v>11</v>
      </c>
      <c r="CT685" t="n">
        <v>0.4</v>
      </c>
      <c r="DH685" t="n">
        <v>17</v>
      </c>
      <c r="DI685" t="n">
        <v>17</v>
      </c>
      <c r="DK685" t="n">
        <v>1</v>
      </c>
      <c r="DL685" t="n">
        <v>5</v>
      </c>
      <c r="DM685" t="n">
        <v>6</v>
      </c>
      <c r="EF685" t="n">
        <v>139.9</v>
      </c>
      <c r="EG685" t="n">
        <v>139.9</v>
      </c>
      <c r="EH685" t="n">
        <v>195.8</v>
      </c>
      <c r="EI685" t="n">
        <v>1580.8</v>
      </c>
      <c r="EJ685" t="n">
        <v>1311.7</v>
      </c>
      <c r="EK685" t="n">
        <v>716.9</v>
      </c>
    </row>
    <row r="686">
      <c r="A686" t="inlineStr">
        <is>
          <t>Callum Marshall</t>
        </is>
      </c>
      <c r="D686" t="inlineStr">
        <is>
          <t>FWD</t>
        </is>
      </c>
      <c r="F686" t="b">
        <v>0</v>
      </c>
      <c r="G686" t="b">
        <v>1</v>
      </c>
      <c r="L686" t="inlineStr">
        <is>
          <t>p565431</t>
        </is>
      </c>
      <c r="Q686" t="n">
        <v>58</v>
      </c>
      <c r="R686" t="n">
        <v>2</v>
      </c>
      <c r="T686" t="n">
        <v>0.644</v>
      </c>
      <c r="U686" t="n">
        <v>29</v>
      </c>
      <c r="AD686" t="n">
        <v>0</v>
      </c>
      <c r="AE686" t="n">
        <v>0</v>
      </c>
      <c r="AG686" t="n">
        <v>-1</v>
      </c>
      <c r="AH686" t="n">
        <v>-1</v>
      </c>
      <c r="AI686" t="n">
        <v>2</v>
      </c>
      <c r="AN686" t="n">
        <v>0</v>
      </c>
      <c r="AO686" t="n">
        <v>0</v>
      </c>
      <c r="AS686" t="n">
        <v>0</v>
      </c>
      <c r="AT686" t="n">
        <v>0</v>
      </c>
      <c r="AU686" t="n">
        <v>2</v>
      </c>
      <c r="AV686" t="n">
        <v>0</v>
      </c>
      <c r="AW686" t="n">
        <v>0.23</v>
      </c>
      <c r="AX686" t="n">
        <v>1</v>
      </c>
      <c r="AZ686" t="n">
        <v>0.229</v>
      </c>
      <c r="BA686" t="n">
        <v>0.229</v>
      </c>
      <c r="BB686" t="n">
        <v>0.229</v>
      </c>
      <c r="BD686" t="n">
        <v>0.355</v>
      </c>
      <c r="BE686" t="n">
        <v>0.355</v>
      </c>
      <c r="BH686" t="n">
        <v>0.984</v>
      </c>
      <c r="BI686" t="n">
        <v>0.13</v>
      </c>
      <c r="BJ686" t="n">
        <v>0.128</v>
      </c>
      <c r="BK686" t="n">
        <v>0.199</v>
      </c>
      <c r="BP686" t="n">
        <v>1</v>
      </c>
      <c r="BR686" t="n">
        <v>1</v>
      </c>
      <c r="BS686" t="n">
        <v>1</v>
      </c>
      <c r="BT686" t="n">
        <v>1.552</v>
      </c>
      <c r="BX686" t="n">
        <v>0</v>
      </c>
      <c r="BY686" t="n">
        <v>0</v>
      </c>
      <c r="BZ686" t="n">
        <v>0</v>
      </c>
      <c r="CA686" t="n">
        <v>0.229</v>
      </c>
      <c r="CB686" t="n">
        <v>0.355</v>
      </c>
      <c r="CC686" t="n">
        <v>0</v>
      </c>
      <c r="CI686" t="n">
        <v>0</v>
      </c>
      <c r="CJ686" t="n">
        <v>0</v>
      </c>
      <c r="CO686" t="n">
        <v>2</v>
      </c>
      <c r="CR686" t="n">
        <v>2</v>
      </c>
      <c r="CS686" t="n">
        <v>1</v>
      </c>
      <c r="DI686" t="n">
        <v>0</v>
      </c>
      <c r="DL686" t="n">
        <v>1</v>
      </c>
      <c r="DM686" t="n">
        <v>2</v>
      </c>
      <c r="DN686" t="n">
        <v>1</v>
      </c>
      <c r="EF686" t="n">
        <v>58</v>
      </c>
      <c r="EG686" t="n">
        <v>58</v>
      </c>
      <c r="EI686" t="n">
        <v>253.3</v>
      </c>
      <c r="EK686" t="n">
        <v>253.3</v>
      </c>
    </row>
    <row r="687">
      <c r="A687" t="inlineStr">
        <is>
          <t>Joe Knight</t>
        </is>
      </c>
      <c r="D687" t="inlineStr">
        <is>
          <t>MID</t>
        </is>
      </c>
      <c r="F687" t="b">
        <v>0</v>
      </c>
      <c r="G687" t="b">
        <v>1</v>
      </c>
      <c r="L687" t="inlineStr">
        <is>
          <t>p567121</t>
        </is>
      </c>
      <c r="Q687" t="n">
        <v>1</v>
      </c>
      <c r="R687" t="n">
        <v>1</v>
      </c>
      <c r="T687" t="n">
        <v>0.011</v>
      </c>
      <c r="U687" t="n">
        <v>1</v>
      </c>
      <c r="AD687" t="n">
        <v>0</v>
      </c>
      <c r="AE687" t="n">
        <v>0</v>
      </c>
      <c r="AG687" t="n">
        <v>3</v>
      </c>
      <c r="AH687" t="n">
        <v>0</v>
      </c>
      <c r="AI687" t="n">
        <v>1</v>
      </c>
      <c r="AN687" t="n">
        <v>0</v>
      </c>
      <c r="AO687" t="n">
        <v>0</v>
      </c>
      <c r="AS687" t="n">
        <v>0</v>
      </c>
      <c r="AT687" t="n">
        <v>0</v>
      </c>
      <c r="AU687" t="n">
        <v>1</v>
      </c>
      <c r="AV687" t="n">
        <v>0</v>
      </c>
      <c r="AW687" t="n">
        <v>0.16</v>
      </c>
      <c r="AX687" t="n">
        <v>1</v>
      </c>
      <c r="AZ687" t="n">
        <v>0</v>
      </c>
      <c r="BA687" t="n">
        <v>0</v>
      </c>
      <c r="BB687" t="n">
        <v>0</v>
      </c>
      <c r="BD687" t="n">
        <v>0</v>
      </c>
      <c r="BE687" t="n">
        <v>0</v>
      </c>
      <c r="BH687" t="n">
        <v>1</v>
      </c>
      <c r="BI687" t="n">
        <v>0</v>
      </c>
      <c r="BJ687" t="n">
        <v>0</v>
      </c>
      <c r="BK687" t="n">
        <v>0</v>
      </c>
      <c r="BX687" t="n">
        <v>0</v>
      </c>
      <c r="BY687" t="n">
        <v>0</v>
      </c>
      <c r="BZ687" t="n">
        <v>0</v>
      </c>
      <c r="CA687" t="n">
        <v>0</v>
      </c>
      <c r="CB687" t="n">
        <v>0</v>
      </c>
      <c r="CC687" t="n">
        <v>0</v>
      </c>
      <c r="CI687" t="n">
        <v>0</v>
      </c>
      <c r="CJ687" t="n">
        <v>0</v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n">
        <v>5.5</v>
      </c>
      <c r="F688" t="b">
        <v>1</v>
      </c>
      <c r="G688" t="b">
        <v>0</v>
      </c>
      <c r="H688" t="n">
        <v>22.7</v>
      </c>
      <c r="I688" t="inlineStr">
        <is>
          <t>a</t>
        </is>
      </c>
      <c r="M688" t="n">
        <v>581</v>
      </c>
      <c r="DO688" t="n">
        <v>0.2</v>
      </c>
      <c r="DP688" t="n">
        <v>116.54</v>
      </c>
      <c r="DQ688" t="n">
        <v>58.27</v>
      </c>
      <c r="DR688" t="n">
        <v>116.54</v>
      </c>
      <c r="DS688" t="n">
        <v>0</v>
      </c>
      <c r="DT688" t="n">
        <v>2861</v>
      </c>
      <c r="DU688" t="n">
        <v>75.3</v>
      </c>
      <c r="DV688" t="inlineStr">
        <is>
          <t>flat</t>
        </is>
      </c>
      <c r="DW688" t="n">
        <v>83.70999999999999</v>
      </c>
      <c r="DY688" t="n">
        <v>12.55</v>
      </c>
      <c r="DZ688" t="n">
        <v>62.29</v>
      </c>
      <c r="EA688" t="n">
        <v>105.6</v>
      </c>
      <c r="EB688" t="n">
        <v>13</v>
      </c>
      <c r="EC688" t="n">
        <v>6.2</v>
      </c>
      <c r="ED688" t="n">
        <v>27.8</v>
      </c>
      <c r="EE688" t="n">
        <v>218</v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n">
        <v>5.5</v>
      </c>
      <c r="F689" t="b">
        <v>1</v>
      </c>
      <c r="G689" t="b">
        <v>0</v>
      </c>
      <c r="H689" t="n">
        <v>21.8</v>
      </c>
      <c r="I689" t="inlineStr">
        <is>
          <t>a</t>
        </is>
      </c>
      <c r="M689" t="n">
        <v>570</v>
      </c>
      <c r="DO689" t="n">
        <v>0.1</v>
      </c>
      <c r="DP689" t="n">
        <v>48.58</v>
      </c>
      <c r="DQ689" t="n">
        <v>24.31</v>
      </c>
      <c r="DR689" t="n">
        <v>48.62</v>
      </c>
      <c r="DS689" t="n">
        <v>-0.04</v>
      </c>
      <c r="DT689" t="n">
        <v>1072</v>
      </c>
      <c r="DU689" t="n">
        <v>28.2</v>
      </c>
      <c r="DV689" t="inlineStr">
        <is>
          <t>flat</t>
        </is>
      </c>
    </row>
    <row r="690">
      <c r="A690" t="inlineStr">
        <is>
          <t>Luis Guilherme</t>
        </is>
      </c>
      <c r="D690" t="inlineStr">
        <is>
          <t>MID</t>
        </is>
      </c>
      <c r="F690" t="b">
        <v>0</v>
      </c>
      <c r="G690" t="b">
        <v>1</v>
      </c>
      <c r="L690" t="inlineStr">
        <is>
          <t>p577114</t>
        </is>
      </c>
      <c r="Q690" t="n">
        <v>121</v>
      </c>
      <c r="R690" t="n">
        <v>5</v>
      </c>
      <c r="T690" t="n">
        <v>1.344</v>
      </c>
      <c r="U690" t="n">
        <v>24.2</v>
      </c>
      <c r="AD690" t="n">
        <v>0</v>
      </c>
      <c r="AE690" t="n">
        <v>0</v>
      </c>
      <c r="AG690" t="n">
        <v>11</v>
      </c>
      <c r="AH690" t="n">
        <v>0</v>
      </c>
      <c r="AI690" t="n">
        <v>5</v>
      </c>
      <c r="AN690" t="n">
        <v>0</v>
      </c>
      <c r="AO690" t="n">
        <v>0</v>
      </c>
      <c r="AP690" t="n">
        <v>0</v>
      </c>
      <c r="AQ690" t="n">
        <v>0</v>
      </c>
      <c r="AR690" t="n">
        <v>0</v>
      </c>
      <c r="AS690" t="n">
        <v>0.026</v>
      </c>
      <c r="AT690" t="n">
        <v>0</v>
      </c>
      <c r="AU690" t="n">
        <v>5</v>
      </c>
      <c r="AV690" t="n">
        <v>0</v>
      </c>
      <c r="AW690" t="n">
        <v>0.34</v>
      </c>
      <c r="AX690" t="n">
        <v>1</v>
      </c>
      <c r="AZ690" t="n">
        <v>0.039</v>
      </c>
      <c r="BA690" t="n">
        <v>0.039</v>
      </c>
      <c r="BB690" t="n">
        <v>0.039</v>
      </c>
      <c r="BD690" t="n">
        <v>0.029</v>
      </c>
      <c r="BE690" t="n">
        <v>0.029</v>
      </c>
      <c r="BH690" t="n">
        <v>0.954</v>
      </c>
      <c r="BI690" t="n">
        <v>0.49</v>
      </c>
      <c r="BJ690" t="n">
        <v>0.067</v>
      </c>
      <c r="BK690" t="n">
        <v>0.05</v>
      </c>
      <c r="BP690" t="n">
        <v>1</v>
      </c>
      <c r="BS690" t="n">
        <v>2</v>
      </c>
      <c r="BT690" t="n">
        <v>1.488</v>
      </c>
      <c r="BX690" t="n">
        <v>0.052</v>
      </c>
      <c r="BY690" t="n">
        <v>0.052</v>
      </c>
      <c r="BZ690" t="n">
        <v>0.039</v>
      </c>
      <c r="CA690" t="n">
        <v>0.091</v>
      </c>
      <c r="CB690" t="n">
        <v>0.068</v>
      </c>
      <c r="CC690" t="n">
        <v>1</v>
      </c>
      <c r="CE690" t="n">
        <v>1</v>
      </c>
      <c r="CI690" t="n">
        <v>0.091</v>
      </c>
      <c r="CJ690" t="n">
        <v>0</v>
      </c>
      <c r="CN690" t="n">
        <v>1</v>
      </c>
      <c r="CP690" t="n">
        <v>2</v>
      </c>
      <c r="CR690" t="n">
        <v>3</v>
      </c>
      <c r="DL690" t="n">
        <v>2</v>
      </c>
      <c r="DM690" t="n">
        <v>5</v>
      </c>
      <c r="EF690" t="n">
        <v>121</v>
      </c>
      <c r="EG690" t="n">
        <v>60.5</v>
      </c>
      <c r="EH690" t="n">
        <v>121</v>
      </c>
      <c r="EI690" t="n">
        <v>3075</v>
      </c>
      <c r="EJ690" t="n">
        <v>2336</v>
      </c>
      <c r="EK690" t="n">
        <v>1327.5</v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n">
        <v>4</v>
      </c>
      <c r="F691" t="b">
        <v>1</v>
      </c>
      <c r="G691" t="b">
        <v>0</v>
      </c>
      <c r="H691" t="n">
        <v>24.6</v>
      </c>
      <c r="I691" t="inlineStr">
        <is>
          <t>a</t>
        </is>
      </c>
      <c r="M691" t="n">
        <v>181</v>
      </c>
      <c r="DO691" t="n">
        <v>0.1</v>
      </c>
      <c r="DP691" t="n">
        <v>0</v>
      </c>
      <c r="DQ691" t="n">
        <v>0</v>
      </c>
      <c r="DR691" t="n">
        <v>0</v>
      </c>
      <c r="DS691" t="n">
        <v>0</v>
      </c>
      <c r="DT691" t="n">
        <v>0</v>
      </c>
      <c r="DU691" t="n">
        <v>0</v>
      </c>
      <c r="DV691" t="inlineStr">
        <is>
          <t>flat</t>
        </is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n">
        <v>4</v>
      </c>
      <c r="F692" t="b">
        <v>1</v>
      </c>
      <c r="G692" t="b">
        <v>0</v>
      </c>
      <c r="H692" t="n">
        <v>20.7</v>
      </c>
      <c r="I692" t="inlineStr">
        <is>
          <t>a</t>
        </is>
      </c>
      <c r="M692" t="n">
        <v>39</v>
      </c>
      <c r="DO692" t="n">
        <v>0.7</v>
      </c>
      <c r="DP692" t="n">
        <v>0</v>
      </c>
      <c r="DQ692" t="n">
        <v>0</v>
      </c>
      <c r="DR692" t="n">
        <v>0</v>
      </c>
      <c r="DS692" t="n">
        <v>0</v>
      </c>
      <c r="DT692" t="n">
        <v>0</v>
      </c>
      <c r="DU692" t="n">
        <v>0</v>
      </c>
      <c r="DV692" t="inlineStr">
        <is>
          <t>flat</t>
        </is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n">
        <v>5.5</v>
      </c>
      <c r="F693" t="b">
        <v>1</v>
      </c>
      <c r="G693" t="b">
        <v>0</v>
      </c>
      <c r="H693" t="n">
        <v>19.3</v>
      </c>
      <c r="I693" t="inlineStr">
        <is>
          <t>a</t>
        </is>
      </c>
      <c r="K693" t="n">
        <v>100</v>
      </c>
      <c r="M693" t="n">
        <v>164</v>
      </c>
      <c r="DO693" t="n">
        <v>0.1</v>
      </c>
      <c r="DP693" t="n">
        <v>43.33</v>
      </c>
      <c r="DQ693" t="n">
        <v>21.72</v>
      </c>
      <c r="DR693" t="n">
        <v>43.44</v>
      </c>
      <c r="DS693" t="n">
        <v>-0.11</v>
      </c>
      <c r="DT693" t="n">
        <v>866</v>
      </c>
      <c r="DU693" t="n">
        <v>22.79</v>
      </c>
      <c r="DV693" t="inlineStr">
        <is>
          <t>flat</t>
        </is>
      </c>
      <c r="DW693" t="n">
        <v>64.67</v>
      </c>
      <c r="DZ693" t="n">
        <v>64.67</v>
      </c>
      <c r="EA693" t="n">
        <v>64.67</v>
      </c>
      <c r="EB693" t="n">
        <v>1</v>
      </c>
      <c r="EC693" t="n">
        <v>0.5</v>
      </c>
      <c r="ED693" t="n">
        <v>66.7</v>
      </c>
      <c r="EE693" t="n">
        <v>203</v>
      </c>
    </row>
    <row r="694">
      <c r="A694" t="inlineStr">
        <is>
          <t>Tom Edozie</t>
        </is>
      </c>
      <c r="D694" t="inlineStr">
        <is>
          <t>MID</t>
        </is>
      </c>
      <c r="F694" t="b">
        <v>0</v>
      </c>
      <c r="G694" t="b">
        <v>1</v>
      </c>
      <c r="L694" t="inlineStr">
        <is>
          <t>p596054</t>
        </is>
      </c>
      <c r="Q694" t="n">
        <v>12</v>
      </c>
      <c r="R694" t="n">
        <v>3</v>
      </c>
      <c r="T694" t="n">
        <v>0.133</v>
      </c>
      <c r="U694" t="n">
        <v>4</v>
      </c>
      <c r="AD694" t="n">
        <v>0</v>
      </c>
      <c r="AE694" t="n">
        <v>0</v>
      </c>
      <c r="AG694" t="n">
        <v>27</v>
      </c>
      <c r="AH694" t="n">
        <v>0</v>
      </c>
      <c r="AI694" t="n">
        <v>8</v>
      </c>
      <c r="AN694" t="n">
        <v>0</v>
      </c>
      <c r="AO694" t="n">
        <v>0</v>
      </c>
      <c r="AS694" t="n">
        <v>0</v>
      </c>
      <c r="AT694" t="n">
        <v>0</v>
      </c>
      <c r="AU694" t="n">
        <v>2</v>
      </c>
      <c r="AV694" t="n">
        <v>0</v>
      </c>
      <c r="AW694" t="n">
        <v>0.99</v>
      </c>
      <c r="AX694" t="n">
        <v>6</v>
      </c>
      <c r="BF694" t="n">
        <v>0.8</v>
      </c>
      <c r="BG694" t="n">
        <v>6</v>
      </c>
      <c r="BH694" t="n">
        <v>1.069</v>
      </c>
      <c r="BI694" t="n">
        <v>0.23</v>
      </c>
      <c r="BJ694" t="n">
        <v>0.246</v>
      </c>
      <c r="BK694" t="n">
        <v>1.845</v>
      </c>
      <c r="BP694" t="n">
        <v>2</v>
      </c>
      <c r="BQ694" t="n">
        <v>1</v>
      </c>
      <c r="BR694" t="n">
        <v>0</v>
      </c>
      <c r="BS694" t="n">
        <v>3</v>
      </c>
      <c r="BT694" t="n">
        <v>22.5</v>
      </c>
      <c r="CR694" t="n">
        <v>3</v>
      </c>
      <c r="DL694" t="n">
        <v>2</v>
      </c>
      <c r="DM694" t="n">
        <v>2</v>
      </c>
      <c r="EF694" t="n">
        <v>6</v>
      </c>
      <c r="EG694" t="n">
        <v>4</v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n">
        <v>4</v>
      </c>
      <c r="F695" t="b">
        <v>1</v>
      </c>
      <c r="G695" t="b">
        <v>0</v>
      </c>
      <c r="H695" t="n">
        <v>19</v>
      </c>
      <c r="I695" t="inlineStr">
        <is>
          <t>a</t>
        </is>
      </c>
      <c r="M695" t="n">
        <v>585</v>
      </c>
      <c r="DO695" t="n">
        <v>0</v>
      </c>
      <c r="DP695" t="n">
        <v>0</v>
      </c>
      <c r="DQ695" t="n">
        <v>0</v>
      </c>
      <c r="DR695" t="n">
        <v>0</v>
      </c>
      <c r="DS695" t="n">
        <v>0</v>
      </c>
      <c r="DT695" t="n">
        <v>0</v>
      </c>
      <c r="DU695" t="n">
        <v>0</v>
      </c>
      <c r="DV695" t="inlineStr">
        <is>
          <t>flat</t>
        </is>
      </c>
    </row>
    <row r="696">
      <c r="A696" t="inlineStr">
        <is>
          <t>Ezra Mayers</t>
        </is>
      </c>
      <c r="D696" t="inlineStr">
        <is>
          <t>DEF</t>
        </is>
      </c>
      <c r="F696" t="b">
        <v>0</v>
      </c>
      <c r="G696" t="b">
        <v>1</v>
      </c>
      <c r="L696" t="inlineStr">
        <is>
          <t>p602903</t>
        </is>
      </c>
      <c r="Q696" t="n">
        <v>113</v>
      </c>
      <c r="R696" t="n">
        <v>6</v>
      </c>
      <c r="T696" t="n">
        <v>1.256</v>
      </c>
      <c r="U696" t="n">
        <v>18.8</v>
      </c>
      <c r="AD696" t="n">
        <v>0</v>
      </c>
      <c r="AE696" t="n">
        <v>0</v>
      </c>
      <c r="AG696" t="n">
        <v>17</v>
      </c>
      <c r="AH696" t="n">
        <v>-1</v>
      </c>
      <c r="AI696" t="n">
        <v>6</v>
      </c>
      <c r="AN696" t="n">
        <v>0</v>
      </c>
      <c r="AO696" t="n">
        <v>0</v>
      </c>
      <c r="AS696" t="n">
        <v>0</v>
      </c>
      <c r="AT696" t="n">
        <v>0</v>
      </c>
      <c r="AU696" t="n">
        <v>6</v>
      </c>
      <c r="AV696" t="n">
        <v>0</v>
      </c>
      <c r="AW696" t="n">
        <v>0.41</v>
      </c>
      <c r="AX696" t="n">
        <v>1</v>
      </c>
      <c r="AZ696" t="n">
        <v>0.11</v>
      </c>
      <c r="BA696" t="n">
        <v>0.11</v>
      </c>
      <c r="BB696" t="n">
        <v>0.11</v>
      </c>
      <c r="BD696" t="n">
        <v>0.08799999999999999</v>
      </c>
      <c r="BE696" t="n">
        <v>0.08799999999999999</v>
      </c>
      <c r="BH696" t="n">
        <v>0.985</v>
      </c>
      <c r="BI696" t="n">
        <v>0.12</v>
      </c>
      <c r="BJ696" t="n">
        <v>0.118</v>
      </c>
      <c r="BK696" t="n">
        <v>0.094</v>
      </c>
      <c r="BP696" t="n">
        <v>1</v>
      </c>
      <c r="BS696" t="n">
        <v>3</v>
      </c>
      <c r="BT696" t="n">
        <v>2.389</v>
      </c>
      <c r="BX696" t="n">
        <v>0.116</v>
      </c>
      <c r="BY696" t="n">
        <v>0.116</v>
      </c>
      <c r="BZ696" t="n">
        <v>0.093</v>
      </c>
      <c r="CA696" t="n">
        <v>0.226</v>
      </c>
      <c r="CB696" t="n">
        <v>0.18</v>
      </c>
      <c r="CC696" t="n">
        <v>2</v>
      </c>
      <c r="CE696" t="n">
        <v>2</v>
      </c>
      <c r="CF696" t="n">
        <v>2</v>
      </c>
      <c r="CI696" t="n">
        <v>0.391</v>
      </c>
      <c r="CJ696" t="n">
        <v>0.165</v>
      </c>
      <c r="CO696" t="n">
        <v>1</v>
      </c>
      <c r="CP696" t="n">
        <v>4</v>
      </c>
      <c r="CR696" t="n">
        <v>4</v>
      </c>
      <c r="CS696" t="n">
        <v>3</v>
      </c>
      <c r="DL696" t="n">
        <v>1</v>
      </c>
      <c r="DM696" t="n">
        <v>1</v>
      </c>
      <c r="EF696" t="n">
        <v>113</v>
      </c>
      <c r="EG696" t="n">
        <v>37.7</v>
      </c>
      <c r="EH696" t="n">
        <v>56.5</v>
      </c>
      <c r="EI696" t="n">
        <v>1028.3</v>
      </c>
      <c r="EJ696" t="n">
        <v>971.3</v>
      </c>
      <c r="EK696" t="n">
        <v>499.5</v>
      </c>
    </row>
    <row r="697">
      <c r="A697" t="inlineStr">
        <is>
          <t>Romelle Donovan</t>
        </is>
      </c>
      <c r="D697" t="inlineStr">
        <is>
          <t>MID</t>
        </is>
      </c>
      <c r="F697" t="b">
        <v>0</v>
      </c>
      <c r="G697" t="b">
        <v>1</v>
      </c>
      <c r="L697" t="inlineStr">
        <is>
          <t>p606689</t>
        </is>
      </c>
      <c r="Q697" t="n">
        <v>38</v>
      </c>
      <c r="R697" t="n">
        <v>4</v>
      </c>
      <c r="T697" t="n">
        <v>0.422</v>
      </c>
      <c r="U697" t="n">
        <v>9.5</v>
      </c>
      <c r="AD697" t="n">
        <v>0</v>
      </c>
      <c r="AE697" t="n">
        <v>0</v>
      </c>
      <c r="AG697" t="n">
        <v>19</v>
      </c>
      <c r="AH697" t="n">
        <v>0</v>
      </c>
      <c r="AI697" t="n">
        <v>4</v>
      </c>
      <c r="AN697" t="n">
        <v>0</v>
      </c>
      <c r="AO697" t="n">
        <v>0</v>
      </c>
      <c r="AS697" t="n">
        <v>0</v>
      </c>
      <c r="AT697" t="n">
        <v>0</v>
      </c>
      <c r="AU697" t="n">
        <v>4</v>
      </c>
      <c r="AV697" t="n">
        <v>0</v>
      </c>
      <c r="AW697" t="n">
        <v>0.31</v>
      </c>
      <c r="AX697" t="n">
        <v>1</v>
      </c>
      <c r="AZ697" t="n">
        <v>0.105</v>
      </c>
      <c r="BA697" t="n">
        <v>0.105</v>
      </c>
      <c r="BB697" t="n">
        <v>0.105</v>
      </c>
      <c r="BD697" t="n">
        <v>0.248</v>
      </c>
      <c r="BE697" t="n">
        <v>0.248</v>
      </c>
      <c r="BF697" t="n">
        <v>0</v>
      </c>
      <c r="BG697" t="n">
        <v>0</v>
      </c>
      <c r="BH697" t="n">
        <v>0.989</v>
      </c>
      <c r="BI697" t="n">
        <v>0.09</v>
      </c>
      <c r="BJ697" t="n">
        <v>0.089</v>
      </c>
      <c r="BK697" t="n">
        <v>0.211</v>
      </c>
      <c r="BP697" t="n">
        <v>3</v>
      </c>
      <c r="BQ697" t="n">
        <v>1</v>
      </c>
      <c r="BS697" t="n">
        <v>5</v>
      </c>
      <c r="BT697" t="n">
        <v>11.842</v>
      </c>
      <c r="BX697" t="n">
        <v>0.032</v>
      </c>
      <c r="BY697" t="n">
        <v>0.032</v>
      </c>
      <c r="BZ697" t="n">
        <v>0.076</v>
      </c>
      <c r="CA697" t="n">
        <v>0.137</v>
      </c>
      <c r="CB697" t="n">
        <v>0.324</v>
      </c>
      <c r="CC697" t="n">
        <v>1</v>
      </c>
      <c r="CE697" t="n">
        <v>1</v>
      </c>
      <c r="CI697" t="n">
        <v>0.105</v>
      </c>
      <c r="CJ697" t="n">
        <v>0</v>
      </c>
      <c r="CR697" t="n">
        <v>8</v>
      </c>
      <c r="DH697" t="n">
        <v>2</v>
      </c>
      <c r="DI697" t="n">
        <v>3</v>
      </c>
      <c r="DL697" t="n">
        <v>5</v>
      </c>
      <c r="DM697" t="n">
        <v>2</v>
      </c>
      <c r="EF697" t="n">
        <v>12.7</v>
      </c>
      <c r="EG697" t="n">
        <v>7.6</v>
      </c>
      <c r="EH697" t="n">
        <v>38</v>
      </c>
      <c r="EI697" t="n">
        <v>362.9</v>
      </c>
      <c r="EJ697" t="n">
        <v>1186.2</v>
      </c>
      <c r="EK697" t="n">
        <v>277.9</v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n">
        <v>5</v>
      </c>
      <c r="F698" t="b">
        <v>1</v>
      </c>
      <c r="G698" t="b">
        <v>0</v>
      </c>
      <c r="H698" t="n">
        <v>21.1</v>
      </c>
      <c r="I698" t="inlineStr">
        <is>
          <t>a</t>
        </is>
      </c>
      <c r="K698" t="n">
        <v>100</v>
      </c>
      <c r="M698" t="n">
        <v>362</v>
      </c>
      <c r="DO698" t="n">
        <v>1.1</v>
      </c>
      <c r="DP698" t="n">
        <v>63.89</v>
      </c>
      <c r="DQ698" t="n">
        <v>31.56</v>
      </c>
      <c r="DR698" t="n">
        <v>63.12</v>
      </c>
      <c r="DS698" t="n">
        <v>0.77</v>
      </c>
      <c r="DT698" t="n">
        <v>1442</v>
      </c>
      <c r="DU698" t="n">
        <v>37.95</v>
      </c>
      <c r="DV698" t="inlineStr">
        <is>
          <t>flat</t>
        </is>
      </c>
      <c r="DW698" t="n">
        <v>89.26000000000001</v>
      </c>
      <c r="DX698" t="n">
        <v>96.06</v>
      </c>
      <c r="DY698" t="n">
        <v>18.15</v>
      </c>
      <c r="DZ698" t="n">
        <v>47.2</v>
      </c>
      <c r="EA698" t="n">
        <v>118</v>
      </c>
      <c r="EB698" t="n">
        <v>78</v>
      </c>
      <c r="EC698" t="n">
        <v>37.5</v>
      </c>
      <c r="ED698" t="n">
        <v>4.9</v>
      </c>
      <c r="EE698" t="n">
        <v>367</v>
      </c>
    </row>
    <row r="699">
      <c r="A699" t="inlineStr">
        <is>
          <t>Ben Winterburn</t>
        </is>
      </c>
      <c r="D699" t="inlineStr">
        <is>
          <t>MID</t>
        </is>
      </c>
      <c r="F699" t="b">
        <v>0</v>
      </c>
      <c r="G699" t="b">
        <v>1</v>
      </c>
      <c r="L699" t="inlineStr">
        <is>
          <t>p606775</t>
        </is>
      </c>
      <c r="Q699" t="n">
        <v>6</v>
      </c>
      <c r="R699" t="n">
        <v>1</v>
      </c>
      <c r="T699" t="n">
        <v>0.067</v>
      </c>
      <c r="U699" t="n">
        <v>6</v>
      </c>
      <c r="AD699" t="n">
        <v>0</v>
      </c>
      <c r="AE699" t="n">
        <v>0</v>
      </c>
      <c r="AG699" t="n">
        <v>3</v>
      </c>
      <c r="AH699" t="n">
        <v>0</v>
      </c>
      <c r="AI699" t="n">
        <v>1</v>
      </c>
      <c r="AN699" t="n">
        <v>0</v>
      </c>
      <c r="AO699" t="n">
        <v>0</v>
      </c>
      <c r="AS699" t="n">
        <v>0</v>
      </c>
      <c r="AT699" t="n">
        <v>0</v>
      </c>
      <c r="AU699" t="n">
        <v>1</v>
      </c>
      <c r="AV699" t="n">
        <v>0</v>
      </c>
      <c r="AW699" t="n">
        <v>0.16</v>
      </c>
      <c r="AX699" t="n">
        <v>1</v>
      </c>
      <c r="BH699" t="n">
        <v>1</v>
      </c>
      <c r="BI699" t="n">
        <v>0</v>
      </c>
      <c r="BJ699" t="n">
        <v>0</v>
      </c>
      <c r="BK699" t="n">
        <v>0</v>
      </c>
      <c r="CP699" t="n">
        <v>0</v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n">
        <v>4</v>
      </c>
      <c r="F700" t="b">
        <v>1</v>
      </c>
      <c r="G700" t="b">
        <v>0</v>
      </c>
      <c r="H700" t="n">
        <v>22</v>
      </c>
      <c r="I700" t="inlineStr">
        <is>
          <t>a</t>
        </is>
      </c>
      <c r="M700" t="n">
        <v>586</v>
      </c>
      <c r="DO700" t="n">
        <v>0.1</v>
      </c>
      <c r="DP700" t="n">
        <v>0</v>
      </c>
      <c r="DQ700" t="n">
        <v>0</v>
      </c>
      <c r="DR700" t="n">
        <v>0</v>
      </c>
      <c r="DS700" t="n">
        <v>0</v>
      </c>
      <c r="DT700" t="n">
        <v>0</v>
      </c>
      <c r="DU700" t="n">
        <v>0</v>
      </c>
      <c r="DV700" t="inlineStr">
        <is>
          <t>flat</t>
        </is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n">
        <v>5</v>
      </c>
      <c r="F701" t="b">
        <v>1</v>
      </c>
      <c r="G701" t="b">
        <v>0</v>
      </c>
      <c r="H701" t="n">
        <v>24.2</v>
      </c>
      <c r="I701" t="inlineStr">
        <is>
          <t>a</t>
        </is>
      </c>
      <c r="M701" t="n">
        <v>576</v>
      </c>
      <c r="DO701" t="n">
        <v>0</v>
      </c>
      <c r="DP701" t="n">
        <v>96.95</v>
      </c>
      <c r="DQ701" t="n">
        <v>48.5</v>
      </c>
      <c r="DR701" t="n">
        <v>97</v>
      </c>
      <c r="DS701" t="n">
        <v>-0.05</v>
      </c>
      <c r="DT701" t="n">
        <v>2554</v>
      </c>
      <c r="DU701" t="n">
        <v>67.2</v>
      </c>
      <c r="DV701" t="inlineStr">
        <is>
          <t>flat</t>
        </is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n">
        <v>6</v>
      </c>
      <c r="F702" t="b">
        <v>1</v>
      </c>
      <c r="G702" t="b">
        <v>0</v>
      </c>
      <c r="H702" t="n">
        <v>20.5</v>
      </c>
      <c r="I702" t="inlineStr">
        <is>
          <t>a</t>
        </is>
      </c>
      <c r="M702" t="n">
        <v>461</v>
      </c>
      <c r="DO702" t="n">
        <v>0.3</v>
      </c>
      <c r="DP702" t="n">
        <v>59.4</v>
      </c>
      <c r="DQ702" t="n">
        <v>29.7</v>
      </c>
      <c r="DR702" t="n">
        <v>59.4</v>
      </c>
      <c r="DS702" t="n">
        <v>0</v>
      </c>
      <c r="DT702" t="n">
        <v>1197</v>
      </c>
      <c r="DU702" t="n">
        <v>31.5</v>
      </c>
      <c r="DV702" t="inlineStr">
        <is>
          <t>flat</t>
        </is>
      </c>
      <c r="DW702" t="n">
        <v>86.88</v>
      </c>
      <c r="DX702" t="n">
        <v>80</v>
      </c>
      <c r="DY702" t="n">
        <v>17.26</v>
      </c>
      <c r="DZ702" t="n">
        <v>53.33</v>
      </c>
      <c r="EA702" t="n">
        <v>113.6</v>
      </c>
      <c r="EB702" t="n">
        <v>21</v>
      </c>
      <c r="EC702" t="n">
        <v>10.1</v>
      </c>
      <c r="ED702" t="n">
        <v>4.5</v>
      </c>
      <c r="EE702" t="n">
        <v>109</v>
      </c>
    </row>
    <row r="703">
      <c r="A703" t="inlineStr">
        <is>
          <t>El Hadji Malick Diouf</t>
        </is>
      </c>
      <c r="D703" t="inlineStr">
        <is>
          <t>DEF</t>
        </is>
      </c>
      <c r="F703" t="b">
        <v>0</v>
      </c>
      <c r="G703" t="b">
        <v>1</v>
      </c>
      <c r="L703" t="inlineStr">
        <is>
          <t>p613804</t>
        </is>
      </c>
      <c r="Q703" t="n">
        <v>2711</v>
      </c>
      <c r="R703" t="n">
        <v>32</v>
      </c>
      <c r="T703" t="n">
        <v>30.122</v>
      </c>
      <c r="U703" t="n">
        <v>84.7</v>
      </c>
      <c r="Z703" t="n">
        <v>5</v>
      </c>
      <c r="AD703" t="n">
        <v>3</v>
      </c>
      <c r="AE703" t="n">
        <v>0</v>
      </c>
      <c r="AG703" t="n">
        <v>353</v>
      </c>
      <c r="AH703" t="n">
        <v>-28</v>
      </c>
      <c r="AI703" t="n">
        <v>104</v>
      </c>
      <c r="AN703" t="n">
        <v>4</v>
      </c>
      <c r="AO703" t="n">
        <v>8</v>
      </c>
      <c r="AP703" t="n">
        <v>0.133</v>
      </c>
      <c r="AQ703" t="n">
        <v>0.133</v>
      </c>
      <c r="AR703" t="n">
        <v>0.033</v>
      </c>
      <c r="AS703" t="n">
        <v>0.789</v>
      </c>
      <c r="AT703" t="n">
        <v>0.9379999999999999</v>
      </c>
      <c r="AU703" t="n">
        <v>16</v>
      </c>
      <c r="AV703" t="n">
        <v>1</v>
      </c>
      <c r="AW703" t="n">
        <v>2.79</v>
      </c>
      <c r="AX703" t="n">
        <v>10</v>
      </c>
      <c r="AZ703" t="n">
        <v>0.5590000000000001</v>
      </c>
      <c r="BA703" t="n">
        <v>0.5590000000000001</v>
      </c>
      <c r="BB703" t="n">
        <v>0.5590000000000001</v>
      </c>
      <c r="BD703" t="n">
        <v>0.019</v>
      </c>
      <c r="BE703" t="n">
        <v>0.019</v>
      </c>
      <c r="BF703" t="n">
        <v>0.1</v>
      </c>
      <c r="BG703" t="n">
        <v>0.003</v>
      </c>
      <c r="BH703" t="n">
        <v>0.945</v>
      </c>
      <c r="BI703" t="n">
        <v>0.57</v>
      </c>
      <c r="BJ703" t="n">
        <v>0.539</v>
      </c>
      <c r="BK703" t="n">
        <v>0.018</v>
      </c>
      <c r="BP703" t="n">
        <v>18</v>
      </c>
      <c r="BQ703" t="n">
        <v>4</v>
      </c>
      <c r="BS703" t="n">
        <v>30</v>
      </c>
      <c r="BT703" t="n">
        <v>0.996</v>
      </c>
      <c r="BX703" t="n">
        <v>3.254</v>
      </c>
      <c r="BY703" t="n">
        <v>3.254</v>
      </c>
      <c r="BZ703" t="n">
        <v>0.108</v>
      </c>
      <c r="CA703" t="n">
        <v>3.813</v>
      </c>
      <c r="CB703" t="n">
        <v>0.127</v>
      </c>
      <c r="CC703" t="n">
        <v>29</v>
      </c>
      <c r="CD703" t="n">
        <v>5</v>
      </c>
      <c r="CE703" t="n">
        <v>29</v>
      </c>
      <c r="CF703" t="n">
        <v>29</v>
      </c>
      <c r="CG703" t="n">
        <v>1</v>
      </c>
      <c r="CH703" t="n">
        <v>7</v>
      </c>
      <c r="CI703" t="n">
        <v>6.94</v>
      </c>
      <c r="CJ703" t="n">
        <v>5.089</v>
      </c>
      <c r="CN703" t="n">
        <v>20</v>
      </c>
      <c r="CO703" t="n">
        <v>33</v>
      </c>
      <c r="CP703" t="n">
        <v>116</v>
      </c>
      <c r="CQ703" t="n">
        <v>13</v>
      </c>
      <c r="CR703" t="n">
        <v>137</v>
      </c>
      <c r="CS703" t="n">
        <v>45</v>
      </c>
      <c r="CT703" t="n">
        <v>0.1</v>
      </c>
      <c r="CV703" t="n">
        <v>2</v>
      </c>
      <c r="DE703" t="n">
        <v>6.91</v>
      </c>
      <c r="DH703" t="n">
        <v>28</v>
      </c>
      <c r="DI703" t="n">
        <v>25</v>
      </c>
      <c r="DK703" t="n">
        <v>2</v>
      </c>
      <c r="DL703" t="n">
        <v>23</v>
      </c>
      <c r="DM703" t="n">
        <v>19</v>
      </c>
      <c r="DN703" t="n">
        <v>2</v>
      </c>
      <c r="EF703" t="n">
        <v>150.6</v>
      </c>
      <c r="EG703" t="n">
        <v>90.40000000000001</v>
      </c>
      <c r="EH703" t="n">
        <v>93.5</v>
      </c>
      <c r="EI703" t="n">
        <v>4847.6</v>
      </c>
      <c r="EJ703" t="n">
        <v>833.2</v>
      </c>
      <c r="EK703" t="n">
        <v>711</v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n">
        <v>6</v>
      </c>
      <c r="F704" t="b">
        <v>1</v>
      </c>
      <c r="G704" t="b">
        <v>0</v>
      </c>
      <c r="H704" t="n">
        <v>20.9</v>
      </c>
      <c r="I704" t="inlineStr">
        <is>
          <t>a</t>
        </is>
      </c>
      <c r="M704" t="n">
        <v>53</v>
      </c>
      <c r="DO704" t="n">
        <v>1.8</v>
      </c>
      <c r="DP704" t="n">
        <v>102.87</v>
      </c>
      <c r="DQ704" t="n">
        <v>50.91</v>
      </c>
      <c r="DR704" t="n">
        <v>101.82</v>
      </c>
      <c r="DS704" t="n">
        <v>1.05</v>
      </c>
      <c r="DT704" t="n">
        <v>2069</v>
      </c>
      <c r="DU704" t="n">
        <v>54.45</v>
      </c>
      <c r="DV704" t="inlineStr">
        <is>
          <t>flat</t>
        </is>
      </c>
      <c r="DW704" t="n">
        <v>72.56999999999999</v>
      </c>
      <c r="DX704" t="n">
        <v>81.84</v>
      </c>
      <c r="DY704" t="n">
        <v>22.79</v>
      </c>
      <c r="DZ704" t="n">
        <v>2.67</v>
      </c>
      <c r="EA704" t="n">
        <v>120</v>
      </c>
      <c r="EB704" t="n">
        <v>105</v>
      </c>
      <c r="EC704" t="n">
        <v>50.5</v>
      </c>
      <c r="ED704" t="n">
        <v>5.4</v>
      </c>
      <c r="EE704" t="n">
        <v>106</v>
      </c>
    </row>
    <row r="705">
      <c r="A705" t="inlineStr">
        <is>
          <t>Jesse Derry</t>
        </is>
      </c>
      <c r="D705" t="inlineStr">
        <is>
          <t>MID</t>
        </is>
      </c>
      <c r="F705" t="b">
        <v>0</v>
      </c>
      <c r="G705" t="b">
        <v>1</v>
      </c>
      <c r="L705" t="inlineStr">
        <is>
          <t>p619734</t>
        </is>
      </c>
      <c r="Q705" t="n">
        <v>44</v>
      </c>
      <c r="R705" t="n">
        <v>1</v>
      </c>
      <c r="T705" t="n">
        <v>0.489</v>
      </c>
      <c r="U705" t="n">
        <v>44</v>
      </c>
      <c r="AD705" t="n">
        <v>0</v>
      </c>
      <c r="AE705" t="n">
        <v>0</v>
      </c>
      <c r="AG705" t="n">
        <v>5</v>
      </c>
      <c r="AH705" t="n">
        <v>0</v>
      </c>
      <c r="AI705" t="n">
        <v>1</v>
      </c>
      <c r="AN705" t="n">
        <v>0</v>
      </c>
      <c r="AO705" t="n">
        <v>0</v>
      </c>
      <c r="AP705" t="n">
        <v>0</v>
      </c>
      <c r="AQ705" t="n">
        <v>0</v>
      </c>
      <c r="AR705" t="n">
        <v>0</v>
      </c>
      <c r="AS705" t="n">
        <v>0.026</v>
      </c>
      <c r="AT705" t="n">
        <v>0</v>
      </c>
      <c r="AU705" t="n">
        <v>1</v>
      </c>
      <c r="AV705" t="n">
        <v>0</v>
      </c>
      <c r="AW705" t="n">
        <v>0.41</v>
      </c>
      <c r="AX705" t="n">
        <v>1</v>
      </c>
      <c r="AZ705" t="n">
        <v>0.1</v>
      </c>
      <c r="BA705" t="n">
        <v>0.1</v>
      </c>
      <c r="BB705" t="n">
        <v>0.1</v>
      </c>
      <c r="BD705" t="n">
        <v>0.205</v>
      </c>
      <c r="BE705" t="n">
        <v>0.205</v>
      </c>
      <c r="BF705" t="n">
        <v>0.1</v>
      </c>
      <c r="BG705" t="n">
        <v>0.205</v>
      </c>
      <c r="BH705" t="n">
        <v>1</v>
      </c>
      <c r="BI705" t="n">
        <v>0.1</v>
      </c>
      <c r="BJ705" t="n">
        <v>0.1</v>
      </c>
      <c r="BK705" t="n">
        <v>0.205</v>
      </c>
      <c r="BP705" t="n">
        <v>2</v>
      </c>
      <c r="BQ705" t="n">
        <v>1</v>
      </c>
      <c r="BS705" t="n">
        <v>4</v>
      </c>
      <c r="BT705" t="n">
        <v>8.182</v>
      </c>
      <c r="BX705" t="n">
        <v>0</v>
      </c>
      <c r="BY705" t="n">
        <v>0</v>
      </c>
      <c r="BZ705" t="n">
        <v>0</v>
      </c>
      <c r="CA705" t="n">
        <v>0.1</v>
      </c>
      <c r="CB705" t="n">
        <v>0.205</v>
      </c>
      <c r="CC705" t="n">
        <v>0</v>
      </c>
      <c r="CF705" t="n">
        <v>1</v>
      </c>
      <c r="CI705" t="n">
        <v>0.197</v>
      </c>
      <c r="CJ705" t="n">
        <v>0.097</v>
      </c>
      <c r="CN705" t="n">
        <v>1</v>
      </c>
      <c r="CR705" t="n">
        <v>2</v>
      </c>
      <c r="CS705" t="n">
        <v>1</v>
      </c>
      <c r="DI705" t="n">
        <v>1</v>
      </c>
      <c r="DJ705" t="n">
        <v>1</v>
      </c>
      <c r="DM705" t="n">
        <v>1</v>
      </c>
      <c r="EF705" t="n">
        <v>22</v>
      </c>
      <c r="EG705" t="n">
        <v>11</v>
      </c>
      <c r="EI705" t="n">
        <v>439.4</v>
      </c>
      <c r="EK705" t="n">
        <v>439.4</v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n">
        <v>5.5</v>
      </c>
      <c r="F706" t="b">
        <v>1</v>
      </c>
      <c r="G706" t="b">
        <v>0</v>
      </c>
      <c r="H706" t="n">
        <v>21.5</v>
      </c>
      <c r="I706" t="inlineStr">
        <is>
          <t>a</t>
        </is>
      </c>
      <c r="M706" t="n">
        <v>152</v>
      </c>
      <c r="DO706" t="n">
        <v>2.4</v>
      </c>
      <c r="DP706" t="n">
        <v>127.29</v>
      </c>
      <c r="DQ706" t="n">
        <v>63.79</v>
      </c>
      <c r="DR706" t="n">
        <v>127.58</v>
      </c>
      <c r="DS706" t="n">
        <v>-0.29</v>
      </c>
      <c r="DT706" t="n">
        <v>2588</v>
      </c>
      <c r="DU706" t="n">
        <v>68.09999999999999</v>
      </c>
      <c r="DV706" t="inlineStr">
        <is>
          <t>flat</t>
        </is>
      </c>
      <c r="DW706" t="n">
        <v>79.40000000000001</v>
      </c>
      <c r="DX706" t="n">
        <v>84.84</v>
      </c>
      <c r="DY706" t="n">
        <v>21.61</v>
      </c>
      <c r="DZ706" t="n">
        <v>19</v>
      </c>
      <c r="EA706" t="n">
        <v>120</v>
      </c>
      <c r="EB706" t="n">
        <v>121</v>
      </c>
      <c r="EC706" t="n">
        <v>58.2</v>
      </c>
      <c r="ED706" t="n">
        <v>20.9</v>
      </c>
      <c r="EE706" t="n">
        <v>202</v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n">
        <v>4.5</v>
      </c>
      <c r="F707" t="b">
        <v>1</v>
      </c>
      <c r="G707" t="b">
        <v>0</v>
      </c>
      <c r="H707" t="n">
        <v>20</v>
      </c>
      <c r="I707" t="inlineStr">
        <is>
          <t>a</t>
        </is>
      </c>
      <c r="M707" t="n">
        <v>192</v>
      </c>
      <c r="DO707" t="n">
        <v>0.7</v>
      </c>
      <c r="DP707" t="n">
        <v>0</v>
      </c>
      <c r="DQ707" t="n">
        <v>0</v>
      </c>
      <c r="DR707" t="n">
        <v>0</v>
      </c>
      <c r="DS707" t="n">
        <v>0</v>
      </c>
      <c r="DT707" t="n">
        <v>0</v>
      </c>
      <c r="DU707" t="n">
        <v>0</v>
      </c>
      <c r="DV707" t="inlineStr">
        <is>
          <t>flat</t>
        </is>
      </c>
    </row>
    <row r="708">
      <c r="A708" t="inlineStr">
        <is>
          <t>Mohamadou Kanté</t>
        </is>
      </c>
      <c r="D708" t="inlineStr">
        <is>
          <t>MID</t>
        </is>
      </c>
      <c r="F708" t="b">
        <v>0</v>
      </c>
      <c r="G708" t="b">
        <v>1</v>
      </c>
      <c r="L708" t="inlineStr">
        <is>
          <t>p630699</t>
        </is>
      </c>
      <c r="Q708" t="n">
        <v>67</v>
      </c>
      <c r="R708" t="n">
        <v>11</v>
      </c>
      <c r="T708" t="n">
        <v>0.744</v>
      </c>
      <c r="U708" t="n">
        <v>6.1</v>
      </c>
      <c r="AD708" t="n">
        <v>0</v>
      </c>
      <c r="AE708" t="n">
        <v>0</v>
      </c>
      <c r="AG708" t="n">
        <v>29</v>
      </c>
      <c r="AH708" t="n">
        <v>0</v>
      </c>
      <c r="AI708" t="n">
        <v>9</v>
      </c>
      <c r="AN708" t="n">
        <v>0</v>
      </c>
      <c r="AO708" t="n">
        <v>0</v>
      </c>
      <c r="AS708" t="n">
        <v>0</v>
      </c>
      <c r="AT708" t="n">
        <v>0</v>
      </c>
      <c r="AU708" t="n">
        <v>11</v>
      </c>
      <c r="AV708" t="n">
        <v>0</v>
      </c>
      <c r="AW708" t="n">
        <v>0.49</v>
      </c>
      <c r="AX708" t="n">
        <v>1</v>
      </c>
      <c r="AZ708" t="n">
        <v>0.103</v>
      </c>
      <c r="BA708" t="n">
        <v>0.103</v>
      </c>
      <c r="BB708" t="n">
        <v>0.103</v>
      </c>
      <c r="BD708" t="n">
        <v>0.138</v>
      </c>
      <c r="BE708" t="n">
        <v>0.138</v>
      </c>
      <c r="BH708" t="n">
        <v>0.991</v>
      </c>
      <c r="BI708" t="n">
        <v>0.07000000000000001</v>
      </c>
      <c r="BJ708" t="n">
        <v>0.06900000000000001</v>
      </c>
      <c r="BK708" t="n">
        <v>0.093</v>
      </c>
      <c r="BP708" t="n">
        <v>2</v>
      </c>
      <c r="BS708" t="n">
        <v>4</v>
      </c>
      <c r="BT708" t="n">
        <v>5.373</v>
      </c>
      <c r="BX708" t="n">
        <v>0.11</v>
      </c>
      <c r="BY708" t="n">
        <v>0.11</v>
      </c>
      <c r="BZ708" t="n">
        <v>0.148</v>
      </c>
      <c r="CA708" t="n">
        <v>0.213</v>
      </c>
      <c r="CB708" t="n">
        <v>0.286</v>
      </c>
      <c r="CC708" t="n">
        <v>1</v>
      </c>
      <c r="CE708" t="n">
        <v>1</v>
      </c>
      <c r="CI708" t="n">
        <v>0.337</v>
      </c>
      <c r="CJ708" t="n">
        <v>0.124</v>
      </c>
      <c r="CN708" t="n">
        <v>4</v>
      </c>
      <c r="CP708" t="n">
        <v>2</v>
      </c>
      <c r="CQ708" t="n">
        <v>1</v>
      </c>
      <c r="CR708" t="n">
        <v>10</v>
      </c>
      <c r="CS708" t="n">
        <v>2</v>
      </c>
      <c r="DH708" t="n">
        <v>4</v>
      </c>
      <c r="DI708" t="n">
        <v>1</v>
      </c>
      <c r="DL708" t="n">
        <v>1</v>
      </c>
      <c r="DM708" t="n">
        <v>4</v>
      </c>
      <c r="EF708" t="n">
        <v>33.5</v>
      </c>
      <c r="EG708" t="n">
        <v>16.8</v>
      </c>
      <c r="EH708" t="n">
        <v>67</v>
      </c>
      <c r="EI708" t="n">
        <v>650</v>
      </c>
      <c r="EJ708" t="n">
        <v>609.7</v>
      </c>
      <c r="EK708" t="n">
        <v>314.6</v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n">
        <v>5</v>
      </c>
      <c r="F709" t="b">
        <v>1</v>
      </c>
      <c r="G709" t="b">
        <v>0</v>
      </c>
      <c r="H709" t="n">
        <v>20.1</v>
      </c>
      <c r="I709" t="inlineStr">
        <is>
          <t>a</t>
        </is>
      </c>
      <c r="M709" t="n">
        <v>559</v>
      </c>
      <c r="DO709" t="n">
        <v>0.1</v>
      </c>
      <c r="DP709" t="n">
        <v>78.37</v>
      </c>
      <c r="DQ709" t="n">
        <v>39.23</v>
      </c>
      <c r="DR709" t="n">
        <v>78.45999999999999</v>
      </c>
      <c r="DS709" t="n">
        <v>-0.09</v>
      </c>
      <c r="DT709" t="n">
        <v>2018</v>
      </c>
      <c r="DU709" t="n">
        <v>53.1</v>
      </c>
      <c r="DV709" t="inlineStr">
        <is>
          <t>flat</t>
        </is>
      </c>
      <c r="DW709" t="n">
        <v>100.67</v>
      </c>
      <c r="DZ709" t="n">
        <v>100.67</v>
      </c>
      <c r="EA709" t="n">
        <v>100.67</v>
      </c>
      <c r="EB709" t="n">
        <v>1</v>
      </c>
      <c r="EC709" t="n">
        <v>0.5</v>
      </c>
      <c r="ED709" t="n">
        <v>0</v>
      </c>
      <c r="EE709" t="n">
        <v>377</v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n">
        <v>5</v>
      </c>
      <c r="F710" t="b">
        <v>1</v>
      </c>
      <c r="G710" t="b">
        <v>0</v>
      </c>
      <c r="H710" t="n">
        <v>18.6</v>
      </c>
      <c r="I710" t="inlineStr">
        <is>
          <t>a</t>
        </is>
      </c>
      <c r="M710" t="n">
        <v>462</v>
      </c>
      <c r="DO710" t="n">
        <v>0.1</v>
      </c>
      <c r="DP710" t="n">
        <v>53.46</v>
      </c>
      <c r="DQ710" t="n">
        <v>26.77</v>
      </c>
      <c r="DR710" t="n">
        <v>53.54</v>
      </c>
      <c r="DS710" t="n">
        <v>-0.08</v>
      </c>
      <c r="DT710" t="n">
        <v>1379</v>
      </c>
      <c r="DU710" t="n">
        <v>36.3</v>
      </c>
      <c r="DV710" t="inlineStr">
        <is>
          <t>flat</t>
        </is>
      </c>
      <c r="DW710" t="n">
        <v>19.5</v>
      </c>
      <c r="DZ710" t="n">
        <v>19.5</v>
      </c>
      <c r="EA710" t="n">
        <v>19.5</v>
      </c>
      <c r="EB710" t="n">
        <v>1</v>
      </c>
      <c r="EC710" t="n">
        <v>0.5</v>
      </c>
      <c r="ED710" t="n">
        <v>0</v>
      </c>
      <c r="EE710" t="n">
        <v>378</v>
      </c>
    </row>
    <row r="711">
      <c r="A711" t="inlineStr">
        <is>
          <t>Pedro Lima</t>
        </is>
      </c>
      <c r="D711" t="inlineStr">
        <is>
          <t>DEF</t>
        </is>
      </c>
      <c r="F711" t="b">
        <v>0</v>
      </c>
      <c r="G711" t="b">
        <v>1</v>
      </c>
      <c r="L711" t="inlineStr">
        <is>
          <t>p641221</t>
        </is>
      </c>
      <c r="Q711" t="n">
        <v>259</v>
      </c>
      <c r="R711" t="n">
        <v>9</v>
      </c>
      <c r="T711" t="n">
        <v>2.878</v>
      </c>
      <c r="U711" t="n">
        <v>28.8</v>
      </c>
      <c r="AD711" t="n">
        <v>0</v>
      </c>
      <c r="AE711" t="n">
        <v>0</v>
      </c>
      <c r="AG711" t="n">
        <v>18</v>
      </c>
      <c r="AH711" t="n">
        <v>0</v>
      </c>
      <c r="AI711" t="n">
        <v>10</v>
      </c>
      <c r="AN711" t="n">
        <v>0</v>
      </c>
      <c r="AO711" t="n">
        <v>0</v>
      </c>
      <c r="AP711" t="n">
        <v>0</v>
      </c>
      <c r="AQ711" t="n">
        <v>0</v>
      </c>
      <c r="AR711" t="n">
        <v>0</v>
      </c>
      <c r="AS711" t="n">
        <v>0.079</v>
      </c>
      <c r="AT711" t="n">
        <v>0.222</v>
      </c>
      <c r="AU711" t="n">
        <v>9</v>
      </c>
      <c r="AV711" t="n">
        <v>0</v>
      </c>
      <c r="AW711" t="n">
        <v>0.5</v>
      </c>
      <c r="AX711" t="n">
        <v>2</v>
      </c>
      <c r="AZ711" t="n">
        <v>0.5</v>
      </c>
      <c r="BA711" t="n">
        <v>0.5</v>
      </c>
      <c r="BB711" t="n">
        <v>0.5</v>
      </c>
      <c r="BD711" t="n">
        <v>0.174</v>
      </c>
      <c r="BE711" t="n">
        <v>0.174</v>
      </c>
      <c r="BF711" t="n">
        <v>0.3</v>
      </c>
      <c r="BG711" t="n">
        <v>0.104</v>
      </c>
      <c r="BH711" t="n">
        <v>0.999</v>
      </c>
      <c r="BI711" t="n">
        <v>0.41</v>
      </c>
      <c r="BJ711" t="n">
        <v>0.35</v>
      </c>
      <c r="BK711" t="n">
        <v>0.122</v>
      </c>
      <c r="BP711" t="n">
        <v>4</v>
      </c>
      <c r="BQ711" t="n">
        <v>1</v>
      </c>
      <c r="BR711" t="n">
        <v>1</v>
      </c>
      <c r="BS711" t="n">
        <v>9</v>
      </c>
      <c r="BT711" t="n">
        <v>3.127</v>
      </c>
      <c r="BX711" t="n">
        <v>0.217</v>
      </c>
      <c r="BY711" t="n">
        <v>0.217</v>
      </c>
      <c r="BZ711" t="n">
        <v>0.075</v>
      </c>
      <c r="CA711" t="n">
        <v>0.716</v>
      </c>
      <c r="CB711" t="n">
        <v>0.249</v>
      </c>
      <c r="CC711" t="n">
        <v>3</v>
      </c>
      <c r="CE711" t="n">
        <v>3</v>
      </c>
      <c r="CF711" t="n">
        <v>4</v>
      </c>
      <c r="CI711" t="n">
        <v>0.833</v>
      </c>
      <c r="CJ711" t="n">
        <v>0.204</v>
      </c>
      <c r="CN711" t="n">
        <v>6</v>
      </c>
      <c r="CO711" t="n">
        <v>5</v>
      </c>
      <c r="CP711" t="n">
        <v>6</v>
      </c>
      <c r="CR711" t="n">
        <v>12</v>
      </c>
      <c r="CS711" t="n">
        <v>2</v>
      </c>
      <c r="CV711" t="n">
        <v>2</v>
      </c>
      <c r="DH711" t="n">
        <v>5</v>
      </c>
      <c r="DI711" t="n">
        <v>1</v>
      </c>
      <c r="DL711" t="n">
        <v>1</v>
      </c>
      <c r="DM711" t="n">
        <v>4</v>
      </c>
      <c r="EF711" t="n">
        <v>64.8</v>
      </c>
      <c r="EG711" t="n">
        <v>28.8</v>
      </c>
      <c r="EH711" t="n">
        <v>86.3</v>
      </c>
      <c r="EI711" t="n">
        <v>518.3</v>
      </c>
      <c r="EJ711" t="n">
        <v>1195.6</v>
      </c>
      <c r="EK711" t="n">
        <v>361.6</v>
      </c>
    </row>
    <row r="712">
      <c r="A712" t="inlineStr">
        <is>
          <t>Fer López</t>
        </is>
      </c>
      <c r="D712" t="inlineStr">
        <is>
          <t>MID</t>
        </is>
      </c>
      <c r="F712" t="b">
        <v>0</v>
      </c>
      <c r="G712" t="b">
        <v>1</v>
      </c>
      <c r="L712" t="inlineStr">
        <is>
          <t>p643135</t>
        </is>
      </c>
      <c r="Q712" t="n">
        <v>229</v>
      </c>
      <c r="R712" t="n">
        <v>9</v>
      </c>
      <c r="T712" t="n">
        <v>2.544</v>
      </c>
      <c r="U712" t="n">
        <v>25.4</v>
      </c>
      <c r="Z712" t="n">
        <v>1</v>
      </c>
      <c r="AD712" t="n">
        <v>0</v>
      </c>
      <c r="AE712" t="n">
        <v>0</v>
      </c>
      <c r="AG712" t="n">
        <v>38</v>
      </c>
      <c r="AH712" t="n">
        <v>0</v>
      </c>
      <c r="AI712" t="n">
        <v>12</v>
      </c>
      <c r="AN712" t="n">
        <v>0</v>
      </c>
      <c r="AO712" t="n">
        <v>0</v>
      </c>
      <c r="AP712" t="n">
        <v>0</v>
      </c>
      <c r="AQ712" t="n">
        <v>0</v>
      </c>
      <c r="AR712" t="n">
        <v>0</v>
      </c>
      <c r="AS712" t="n">
        <v>0.053</v>
      </c>
      <c r="AT712" t="n">
        <v>0.111</v>
      </c>
      <c r="AU712" t="n">
        <v>8</v>
      </c>
      <c r="AV712" t="n">
        <v>0</v>
      </c>
      <c r="AW712" t="n">
        <v>0.66</v>
      </c>
      <c r="AX712" t="n">
        <v>3</v>
      </c>
      <c r="AZ712" t="n">
        <v>0.218</v>
      </c>
      <c r="BA712" t="n">
        <v>0.218</v>
      </c>
      <c r="BB712" t="n">
        <v>0.218</v>
      </c>
      <c r="BD712" t="n">
        <v>0.08599999999999999</v>
      </c>
      <c r="BE712" t="n">
        <v>0.08599999999999999</v>
      </c>
      <c r="BF712" t="n">
        <v>0.2</v>
      </c>
      <c r="BG712" t="n">
        <v>0.079</v>
      </c>
      <c r="BH712" t="n">
        <v>1.005</v>
      </c>
      <c r="BI712" t="n">
        <v>0.16</v>
      </c>
      <c r="BJ712" t="n">
        <v>0.161</v>
      </c>
      <c r="BK712" t="n">
        <v>0.063</v>
      </c>
      <c r="BP712" t="n">
        <v>5</v>
      </c>
      <c r="BQ712" t="n">
        <v>1</v>
      </c>
      <c r="BS712" t="n">
        <v>7</v>
      </c>
      <c r="BT712" t="n">
        <v>2.751</v>
      </c>
      <c r="BX712" t="n">
        <v>0.512</v>
      </c>
      <c r="BY712" t="n">
        <v>0.512</v>
      </c>
      <c r="BZ712" t="n">
        <v>0.201</v>
      </c>
      <c r="CA712" t="n">
        <v>0.73</v>
      </c>
      <c r="CB712" t="n">
        <v>0.287</v>
      </c>
      <c r="CC712" t="n">
        <v>3</v>
      </c>
      <c r="CD712" t="n">
        <v>1</v>
      </c>
      <c r="CE712" t="n">
        <v>3</v>
      </c>
      <c r="CF712" t="n">
        <v>1</v>
      </c>
      <c r="CG712" t="n">
        <v>1</v>
      </c>
      <c r="CH712" t="n">
        <v>3</v>
      </c>
      <c r="CI712" t="n">
        <v>0.844</v>
      </c>
      <c r="CJ712" t="n">
        <v>0.229</v>
      </c>
      <c r="CN712" t="n">
        <v>1</v>
      </c>
      <c r="CP712" t="n">
        <v>1</v>
      </c>
      <c r="CR712" t="n">
        <v>10</v>
      </c>
      <c r="CS712" t="n">
        <v>2</v>
      </c>
      <c r="DH712" t="n">
        <v>6</v>
      </c>
      <c r="DI712" t="n">
        <v>4</v>
      </c>
      <c r="DL712" t="n">
        <v>3</v>
      </c>
      <c r="DM712" t="n">
        <v>6</v>
      </c>
      <c r="EF712" t="n">
        <v>45.8</v>
      </c>
      <c r="EG712" t="n">
        <v>32.7</v>
      </c>
      <c r="EH712" t="n">
        <v>76.3</v>
      </c>
      <c r="EI712" t="n">
        <v>1049.7</v>
      </c>
      <c r="EJ712" t="n">
        <v>447.3</v>
      </c>
      <c r="EK712" t="n">
        <v>313.6</v>
      </c>
    </row>
    <row r="713">
      <c r="A713" t="inlineStr">
        <is>
          <t>Mateus Mané</t>
        </is>
      </c>
      <c r="D713" t="inlineStr">
        <is>
          <t>FWD</t>
        </is>
      </c>
      <c r="F713" t="b">
        <v>0</v>
      </c>
      <c r="G713" t="b">
        <v>1</v>
      </c>
      <c r="L713" t="inlineStr">
        <is>
          <t>p647671</t>
        </is>
      </c>
      <c r="Q713" t="n">
        <v>1790</v>
      </c>
      <c r="R713" t="n">
        <v>27</v>
      </c>
      <c r="T713" t="n">
        <v>19.889</v>
      </c>
      <c r="U713" t="n">
        <v>66.3</v>
      </c>
      <c r="Z713" t="n">
        <v>1</v>
      </c>
      <c r="AD713" t="n">
        <v>9</v>
      </c>
      <c r="AE713" t="n">
        <v>0</v>
      </c>
      <c r="AG713" t="n">
        <v>307</v>
      </c>
      <c r="AH713" t="n">
        <v>-7</v>
      </c>
      <c r="AI713" t="n">
        <v>74</v>
      </c>
      <c r="AN713" t="n">
        <v>1</v>
      </c>
      <c r="AO713" t="n">
        <v>2</v>
      </c>
      <c r="AP713" t="n">
        <v>0.053</v>
      </c>
      <c r="AQ713" t="n">
        <v>0.263</v>
      </c>
      <c r="AR713" t="n">
        <v>0.053</v>
      </c>
      <c r="AS713" t="n">
        <v>0.5</v>
      </c>
      <c r="AT713" t="n">
        <v>0.667</v>
      </c>
      <c r="AU713" t="n">
        <v>23</v>
      </c>
      <c r="AV713" t="n">
        <v>2</v>
      </c>
      <c r="AW713" t="n">
        <v>2.95</v>
      </c>
      <c r="AX713" t="n">
        <v>12</v>
      </c>
      <c r="AZ713" t="n">
        <v>1.972</v>
      </c>
      <c r="BA713" t="n">
        <v>1.972</v>
      </c>
      <c r="BB713" t="n">
        <v>1.972</v>
      </c>
      <c r="BD713" t="n">
        <v>0.099</v>
      </c>
      <c r="BE713" t="n">
        <v>0.099</v>
      </c>
      <c r="BF713" t="n">
        <v>3.4</v>
      </c>
      <c r="BG713" t="n">
        <v>0.171</v>
      </c>
      <c r="BH713" t="n">
        <v>1.139</v>
      </c>
      <c r="BI713" t="n">
        <v>2.01</v>
      </c>
      <c r="BJ713" t="n">
        <v>2.289</v>
      </c>
      <c r="BK713" t="n">
        <v>0.115</v>
      </c>
      <c r="BP713" t="n">
        <v>42</v>
      </c>
      <c r="BQ713" t="n">
        <v>17</v>
      </c>
      <c r="BS713" t="n">
        <v>43</v>
      </c>
      <c r="BT713" t="n">
        <v>2.162</v>
      </c>
      <c r="BX713" t="n">
        <v>3.282</v>
      </c>
      <c r="BY713" t="n">
        <v>3.282</v>
      </c>
      <c r="BZ713" t="n">
        <v>0.165</v>
      </c>
      <c r="CA713" t="n">
        <v>5.254</v>
      </c>
      <c r="CB713" t="n">
        <v>0.264</v>
      </c>
      <c r="CC713" t="n">
        <v>30</v>
      </c>
      <c r="CD713" t="n">
        <v>7</v>
      </c>
      <c r="CE713" t="n">
        <v>30</v>
      </c>
      <c r="CF713" t="n">
        <v>34</v>
      </c>
      <c r="CG713" t="n">
        <v>1</v>
      </c>
      <c r="CH713" t="n">
        <v>29</v>
      </c>
      <c r="CI713" t="n">
        <v>5.257</v>
      </c>
      <c r="CJ713" t="n">
        <v>2.483</v>
      </c>
      <c r="CN713" t="n">
        <v>13</v>
      </c>
      <c r="CO713" t="n">
        <v>5</v>
      </c>
      <c r="CP713" t="n">
        <v>26</v>
      </c>
      <c r="CQ713" t="n">
        <v>1</v>
      </c>
      <c r="CR713" t="n">
        <v>114</v>
      </c>
      <c r="CS713" t="n">
        <v>8</v>
      </c>
      <c r="CT713" t="n">
        <v>0.7</v>
      </c>
      <c r="CU713" t="n">
        <v>1</v>
      </c>
      <c r="CV713" t="n">
        <v>1</v>
      </c>
      <c r="DE713" t="n">
        <v>6.64</v>
      </c>
      <c r="DH713" t="n">
        <v>25</v>
      </c>
      <c r="DI713" t="n">
        <v>47</v>
      </c>
      <c r="DJ713" t="n">
        <v>2</v>
      </c>
      <c r="DK713" t="n">
        <v>1</v>
      </c>
      <c r="DL713" t="n">
        <v>31</v>
      </c>
      <c r="DM713" t="n">
        <v>41</v>
      </c>
      <c r="DN713" t="n">
        <v>2</v>
      </c>
      <c r="EF713" t="n">
        <v>42.6</v>
      </c>
      <c r="EG713" t="n">
        <v>41.6</v>
      </c>
      <c r="EH713" t="n">
        <v>59.7</v>
      </c>
      <c r="EI713" t="n">
        <v>907.5</v>
      </c>
      <c r="EJ713" t="n">
        <v>545.4</v>
      </c>
      <c r="EK713" t="n">
        <v>340.7</v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n">
        <v>5</v>
      </c>
      <c r="F714" t="b">
        <v>1</v>
      </c>
      <c r="G714" t="b">
        <v>0</v>
      </c>
      <c r="H714" t="n">
        <v>17.1</v>
      </c>
      <c r="I714" t="inlineStr">
        <is>
          <t>a</t>
        </is>
      </c>
      <c r="M714" t="n">
        <v>410</v>
      </c>
      <c r="DO714" t="n">
        <v>0</v>
      </c>
      <c r="DP714" t="n">
        <v>0</v>
      </c>
      <c r="DQ714" t="n">
        <v>0</v>
      </c>
      <c r="DR714" t="n">
        <v>0</v>
      </c>
      <c r="DS714" t="n">
        <v>0</v>
      </c>
      <c r="DT714" t="n">
        <v>0</v>
      </c>
      <c r="DU714" t="n">
        <v>0</v>
      </c>
      <c r="DV714" t="inlineStr">
        <is>
          <t>flat</t>
        </is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n">
        <v>4</v>
      </c>
      <c r="F715" t="b">
        <v>1</v>
      </c>
      <c r="G715" t="b">
        <v>0</v>
      </c>
      <c r="I715" t="inlineStr">
        <is>
          <t>a</t>
        </is>
      </c>
      <c r="M715" t="n">
        <v>284</v>
      </c>
      <c r="DO715" t="n">
        <v>0.1</v>
      </c>
      <c r="DP715" t="n">
        <v>1.81</v>
      </c>
      <c r="DQ715" t="n">
        <v>1.48</v>
      </c>
      <c r="DR715" t="n">
        <v>2.96</v>
      </c>
      <c r="DS715" t="n">
        <v>-1.15</v>
      </c>
      <c r="DT715" t="n">
        <v>10</v>
      </c>
      <c r="DU715" t="n">
        <v>0.25</v>
      </c>
      <c r="DV715" t="inlineStr">
        <is>
          <t>flat</t>
        </is>
      </c>
      <c r="DW715" t="n">
        <v>44</v>
      </c>
      <c r="DX715" t="n">
        <v>44</v>
      </c>
      <c r="DZ715" t="n">
        <v>44</v>
      </c>
      <c r="EA715" t="n">
        <v>44</v>
      </c>
      <c r="EB715" t="n">
        <v>1</v>
      </c>
      <c r="EC715" t="n">
        <v>0.5</v>
      </c>
      <c r="ED715" t="n">
        <v>0</v>
      </c>
      <c r="EE715" t="n">
        <v>561</v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n">
        <v>5</v>
      </c>
      <c r="F716" t="b">
        <v>1</v>
      </c>
      <c r="G716" t="b">
        <v>0</v>
      </c>
      <c r="H716" t="n">
        <v>20.6</v>
      </c>
      <c r="I716" t="inlineStr">
        <is>
          <t>a</t>
        </is>
      </c>
      <c r="M716" t="n">
        <v>575</v>
      </c>
      <c r="DO716" t="n">
        <v>0.1</v>
      </c>
      <c r="DP716" t="n">
        <v>98.64</v>
      </c>
      <c r="DQ716" t="n">
        <v>49.33</v>
      </c>
      <c r="DR716" t="n">
        <v>98.66</v>
      </c>
      <c r="DS716" t="n">
        <v>-0.02</v>
      </c>
      <c r="DT716" t="n">
        <v>2696</v>
      </c>
      <c r="DU716" t="n">
        <v>70.95</v>
      </c>
      <c r="DV716" t="inlineStr">
        <is>
          <t>flat</t>
        </is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n">
        <v>4.5</v>
      </c>
      <c r="F717" t="b">
        <v>1</v>
      </c>
      <c r="G717" t="b">
        <v>0</v>
      </c>
      <c r="I717" t="inlineStr">
        <is>
          <t>a</t>
        </is>
      </c>
      <c r="M717" t="n">
        <v>189</v>
      </c>
      <c r="DO717" t="n">
        <v>0.3</v>
      </c>
      <c r="DP717" t="n">
        <v>0</v>
      </c>
      <c r="DQ717" t="n">
        <v>0</v>
      </c>
      <c r="DR717" t="n">
        <v>0</v>
      </c>
      <c r="DS717" t="n">
        <v>0</v>
      </c>
      <c r="DT717" t="n">
        <v>0</v>
      </c>
      <c r="DU717" t="n">
        <v>0</v>
      </c>
      <c r="DV717" t="inlineStr">
        <is>
          <t>flat</t>
        </is>
      </c>
    </row>
    <row r="718">
      <c r="A718" t="inlineStr">
        <is>
          <t>Jerome Abbey</t>
        </is>
      </c>
      <c r="D718" t="inlineStr">
        <is>
          <t>MID</t>
        </is>
      </c>
      <c r="F718" t="b">
        <v>0</v>
      </c>
      <c r="G718" t="b">
        <v>1</v>
      </c>
      <c r="L718" t="inlineStr">
        <is>
          <t>p685628</t>
        </is>
      </c>
      <c r="Q718" t="n">
        <v>16</v>
      </c>
      <c r="R718" t="n">
        <v>1</v>
      </c>
      <c r="T718" t="n">
        <v>0.178</v>
      </c>
      <c r="U718" t="n">
        <v>16</v>
      </c>
      <c r="AD718" t="n">
        <v>0</v>
      </c>
      <c r="AE718" t="n">
        <v>0</v>
      </c>
      <c r="AG718" t="n">
        <v>2</v>
      </c>
      <c r="AH718" t="n">
        <v>0</v>
      </c>
      <c r="AI718" t="n">
        <v>1</v>
      </c>
      <c r="AN718" t="n">
        <v>0</v>
      </c>
      <c r="AO718" t="n">
        <v>0</v>
      </c>
      <c r="AS718" t="n">
        <v>0</v>
      </c>
      <c r="AT718" t="n">
        <v>0</v>
      </c>
      <c r="AU718" t="n">
        <v>1</v>
      </c>
      <c r="AV718" t="n">
        <v>0</v>
      </c>
      <c r="AW718" t="n">
        <v>0.26</v>
      </c>
      <c r="AX718" t="n">
        <v>1</v>
      </c>
      <c r="BH718" t="n">
        <v>1</v>
      </c>
      <c r="BI718" t="n">
        <v>0</v>
      </c>
      <c r="BJ718" t="n">
        <v>0</v>
      </c>
      <c r="BK718" t="n">
        <v>0</v>
      </c>
      <c r="CO718" t="n">
        <v>1</v>
      </c>
      <c r="CR718" t="n">
        <v>3</v>
      </c>
      <c r="CS718" t="n">
        <v>2</v>
      </c>
      <c r="DN718" t="n">
        <v>1</v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n">
        <v>5.5</v>
      </c>
      <c r="F719" t="b">
        <v>1</v>
      </c>
      <c r="G719" t="b">
        <v>0</v>
      </c>
      <c r="H719" t="n">
        <v>17.6</v>
      </c>
      <c r="I719" t="inlineStr">
        <is>
          <t>a</t>
        </is>
      </c>
      <c r="M719" t="n">
        <v>582</v>
      </c>
      <c r="DO719" t="n">
        <v>1.4</v>
      </c>
      <c r="DP719" t="n">
        <v>30.78</v>
      </c>
      <c r="DQ719" t="n">
        <v>15.47</v>
      </c>
      <c r="DR719" t="n">
        <v>30.94</v>
      </c>
      <c r="DS719" t="n">
        <v>-0.16</v>
      </c>
      <c r="DT719" t="n">
        <v>247</v>
      </c>
      <c r="DU719" t="n">
        <v>6.51</v>
      </c>
      <c r="DV719" t="inlineStr">
        <is>
          <t>flat</t>
        </is>
      </c>
      <c r="DW719" t="n">
        <v>80.04000000000001</v>
      </c>
      <c r="DY719" t="n">
        <v>29.01</v>
      </c>
      <c r="DZ719" t="n">
        <v>41</v>
      </c>
      <c r="EA719" t="n">
        <v>109.6</v>
      </c>
      <c r="EB719" t="n">
        <v>7</v>
      </c>
      <c r="EC719" t="n">
        <v>3.4</v>
      </c>
      <c r="ED719" t="n">
        <v>0</v>
      </c>
      <c r="EE719" t="n">
        <v>222</v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n">
        <v>5</v>
      </c>
      <c r="F720" t="b">
        <v>1</v>
      </c>
      <c r="G720" t="b">
        <v>0</v>
      </c>
      <c r="H720" t="n">
        <v>19.1</v>
      </c>
      <c r="I720" t="inlineStr">
        <is>
          <t>a</t>
        </is>
      </c>
      <c r="M720" t="n">
        <v>135</v>
      </c>
      <c r="DO720" t="n">
        <v>0.1</v>
      </c>
      <c r="DP720" t="n">
        <v>11.61</v>
      </c>
      <c r="DQ720" t="n">
        <v>7.53</v>
      </c>
      <c r="DR720" t="n">
        <v>15.06</v>
      </c>
      <c r="DS720" t="n">
        <v>-3.45</v>
      </c>
      <c r="DT720" t="n">
        <v>162</v>
      </c>
      <c r="DU720" t="n">
        <v>4.26</v>
      </c>
      <c r="DV720" t="inlineStr">
        <is>
          <t>flat</t>
        </is>
      </c>
      <c r="DW720" t="n">
        <v>116.67</v>
      </c>
      <c r="DZ720" t="n">
        <v>116.67</v>
      </c>
      <c r="EA720" t="n">
        <v>116.67</v>
      </c>
      <c r="EB720" t="n">
        <v>1</v>
      </c>
      <c r="EC720" t="n">
        <v>0.5</v>
      </c>
      <c r="ED720" t="n">
        <v>0</v>
      </c>
      <c r="EE720" t="n">
        <v>337</v>
      </c>
    </row>
  </sheetData>
  <autoFilter ref="A1:EL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1" customWidth="1" min="17" max="17"/>
    <col width="12" customWidth="1" min="18" max="18"/>
    <col width="11" customWidth="1" min="19" max="19"/>
    <col width="11" customWidth="1" min="20" max="20"/>
    <col width="11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hidden="1" width="11" customWidth="1" min="33" max="33"/>
    <col hidden="1" width="11" customWidth="1" min="34" max="34"/>
    <col hidden="1" width="11" customWidth="1" min="35" max="35"/>
    <col hidden="1" width="11" customWidth="1" min="36" max="36"/>
  </cols>
  <sheetData>
    <row r="1">
      <c r="A1" s="1" t="inlineStr">
        <is>
          <t>Player</t>
        </is>
      </c>
      <c r="B1" s="1" t="inlineStr">
        <is>
          <t>Team 26/27</t>
        </is>
      </c>
      <c r="C1" s="1" t="inlineStr">
        <is>
          <t>Pos</t>
        </is>
      </c>
      <c r="D1" s="1" t="inlineStr">
        <is>
          <t>Pos 25/26</t>
        </is>
      </c>
      <c r="E1" s="1" t="inlineStr">
        <is>
          <t>Draftable</t>
        </is>
      </c>
      <c r="F1" s="1" t="inlineStr">
        <is>
          <t>Price</t>
        </is>
      </c>
      <c r="G1" s="1" t="inlineStr">
        <is>
          <t>Status</t>
        </is>
      </c>
      <c r="H1" s="1" t="inlineStr">
        <is>
          <t>News</t>
        </is>
      </c>
      <c r="I1" s="1" t="inlineStr">
        <is>
          <t>Mins 25/26</t>
        </is>
      </c>
      <c r="J1" s="1" t="inlineStr">
        <is>
          <t>Pts 25/26</t>
        </is>
      </c>
      <c r="K1" s="1" t="inlineStr">
        <is>
          <t>xMins (Solio)</t>
        </is>
      </c>
      <c r="L1" s="1" t="inlineStr">
        <is>
          <t>xMins pattern</t>
        </is>
      </c>
      <c r="M1" s="1" t="inlineStr">
        <is>
          <t>xMins 26/27</t>
        </is>
      </c>
      <c r="N1" s="1" t="inlineStr">
        <is>
          <t>P(CS)</t>
        </is>
      </c>
      <c r="O1" s="1" t="inlineStr">
        <is>
          <t>xG/90</t>
        </is>
      </c>
      <c r="P1" s="1" t="inlineStr">
        <is>
          <t>xG basis</t>
        </is>
      </c>
      <c r="Q1" s="1" t="inlineStr">
        <is>
          <t>Placement ratio</t>
        </is>
      </c>
      <c r="R1" s="1" t="inlineStr">
        <is>
          <t>Placement sample xG</t>
        </is>
      </c>
      <c r="S1" s="1" t="inlineStr">
        <is>
          <t>xA/90</t>
        </is>
      </c>
      <c r="T1" s="1" t="inlineStr">
        <is>
          <t>DefCon rate</t>
        </is>
      </c>
      <c r="U1" s="1" t="inlineStr">
        <is>
          <t>Bonus/90</t>
        </is>
      </c>
      <c r="V1" s="1" t="inlineStr">
        <is>
          <t>Appearance/90</t>
        </is>
      </c>
      <c r="W1" s="1" t="inlineStr">
        <is>
          <t>App pts/90</t>
        </is>
      </c>
      <c r="X1" s="1" t="inlineStr">
        <is>
          <t>xG pts/90</t>
        </is>
      </c>
      <c r="Y1" s="1" t="inlineStr">
        <is>
          <t>xA pts/90</t>
        </is>
      </c>
      <c r="Z1" s="1" t="inlineStr">
        <is>
          <t>CS pts/90</t>
        </is>
      </c>
      <c r="AA1" s="1" t="inlineStr">
        <is>
          <t>DC pts/90</t>
        </is>
      </c>
      <c r="AB1" s="1" t="inlineStr">
        <is>
          <t>Bonus pts/90</t>
        </is>
      </c>
      <c r="AC1" s="1" t="inlineStr">
        <is>
          <t>xPts/90</t>
        </is>
      </c>
      <c r="AD1" s="1" t="inlineStr">
        <is>
          <t>xPts season</t>
        </is>
      </c>
      <c r="AE1" s="1" t="inlineStr">
        <is>
          <t>VORP</t>
        </is>
      </c>
      <c r="AF1" s="1" t="inlineStr">
        <is>
          <t>VORP per £m</t>
        </is>
      </c>
      <c r="AG1" s="1" t="inlineStr">
        <is>
          <t>_pool GKP</t>
        </is>
      </c>
      <c r="AH1" s="1" t="inlineStr">
        <is>
          <t>_pool DEF</t>
        </is>
      </c>
      <c r="AI1" s="1" t="inlineStr">
        <is>
          <t>_pool MID</t>
        </is>
      </c>
      <c r="AJ1" s="1" t="inlineStr">
        <is>
          <t>_pool FWD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b">
        <v>1</v>
      </c>
      <c r="F2" s="2" t="n">
        <v>15.5</v>
      </c>
      <c r="G2" t="inlineStr">
        <is>
          <t>a</t>
        </is>
      </c>
      <c r="I2" s="2" t="n">
        <v>2953</v>
      </c>
      <c r="J2" t="n">
        <v>239</v>
      </c>
      <c r="K2" s="3" t="n">
        <v>3204</v>
      </c>
      <c r="L2" t="inlineStr">
        <is>
          <t>flat</t>
        </is>
      </c>
      <c r="M2" s="4" t="n">
        <v>2953</v>
      </c>
      <c r="N2" s="4" t="n">
        <v>0.421</v>
      </c>
      <c r="O2" s="3" t="n">
        <v>0.7442</v>
      </c>
      <c r="P2" t="inlineStr">
        <is>
          <t>adjusted xGOT</t>
        </is>
      </c>
      <c r="Q2" s="3" t="n">
        <v>0.958</v>
      </c>
      <c r="R2" s="3" t="n">
        <v>105.5</v>
      </c>
      <c r="S2" s="3" t="n">
        <v>0.1246</v>
      </c>
      <c r="T2" s="3" t="n">
        <v>0</v>
      </c>
      <c r="U2" s="3" t="n">
        <v>1.3105</v>
      </c>
      <c r="V2" s="3" t="n">
        <v>2.072</v>
      </c>
      <c r="W2" s="3">
        <f>IF(V2="",IFERROR(VLOOKUP($C2,Assumptions!$A$4:$F$7,6,FALSE),0),V2)</f>
        <v/>
      </c>
      <c r="X2" s="3">
        <f>N(O2)*IFERROR(VLOOKUP($C2,Assumptions!$A$4:$F$7,2,FALSE),0)</f>
        <v/>
      </c>
      <c r="Y2" s="3">
        <f>N(S2)*IFERROR(VLOOKUP($C2,Assumptions!$A$4:$F$7,3,FALSE),0)*Assumptions!$B$11</f>
        <v/>
      </c>
      <c r="Z2" s="3">
        <f>N(N2)*IFERROR(VLOOKUP($C2,Assumptions!$A$4:$F$7,4,FALSE),0)</f>
        <v/>
      </c>
      <c r="AA2" s="3">
        <f>N(T2)*IFERROR(VLOOKUP($C2,Assumptions!$A$4:$F$7,5,FALSE),0)</f>
        <v/>
      </c>
      <c r="AB2" s="3">
        <f>N(U2)</f>
        <v/>
      </c>
      <c r="AC2" s="3">
        <f>SUM(W2:AB2)</f>
        <v/>
      </c>
      <c r="AD2" s="3">
        <f>N(AC2)*N(M2)/90</f>
        <v/>
      </c>
      <c r="AE2" s="3">
        <f>IFERROR(AD2-VLOOKUP($C2,Assumptions!$A$29:$C$32,3,FALSE),"")</f>
        <v/>
      </c>
      <c r="AF2" s="3">
        <f>IFERROR(AE2/F2,"")</f>
        <v/>
      </c>
      <c r="AG2">
        <f>IF(AND($E2=TRUE,$C2="GKP"),AD2,"")</f>
        <v/>
      </c>
      <c r="AH2">
        <f>IF(AND($E2=TRUE,$C2="DEF"),AD2,"")</f>
        <v/>
      </c>
      <c r="AI2">
        <f>IF(AND($E2=TRUE,$C2="MID"),AD2,"")</f>
        <v/>
      </c>
      <c r="AJ2">
        <f>IF(AND($E2=TRUE,$C2="FWD"),AD2,"")</f>
        <v/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b">
        <v>1</v>
      </c>
      <c r="F3" s="2" t="n">
        <v>12</v>
      </c>
      <c r="G3" t="inlineStr">
        <is>
          <t>a</t>
        </is>
      </c>
      <c r="I3" s="2" t="n">
        <v>3065</v>
      </c>
      <c r="J3" t="n">
        <v>235</v>
      </c>
      <c r="K3" s="3" t="n">
        <v>3342</v>
      </c>
      <c r="L3" t="inlineStr">
        <is>
          <t>flat</t>
        </is>
      </c>
      <c r="M3" s="4" t="n">
        <v>3065</v>
      </c>
      <c r="N3" s="4" t="n">
        <v>0.21</v>
      </c>
      <c r="O3" s="3" t="n">
        <v>0.3024</v>
      </c>
      <c r="P3" t="inlineStr">
        <is>
          <t>adjusted xGOT</t>
        </is>
      </c>
      <c r="Q3" s="3" t="n">
        <v>0.954</v>
      </c>
      <c r="R3" s="3" t="n">
        <v>39.8</v>
      </c>
      <c r="S3" s="3" t="n">
        <v>0.441</v>
      </c>
      <c r="T3" s="3" t="n">
        <v>0.143</v>
      </c>
      <c r="U3" s="3" t="n">
        <v>1.2626</v>
      </c>
      <c r="V3" s="3" t="n">
        <v>2.026</v>
      </c>
      <c r="W3" s="3">
        <f>IF(V3="",IFERROR(VLOOKUP($C3,Assumptions!$A$4:$F$7,6,FALSE),0),V3)</f>
        <v/>
      </c>
      <c r="X3" s="3">
        <f>N(O3)*IFERROR(VLOOKUP($C3,Assumptions!$A$4:$F$7,2,FALSE),0)</f>
        <v/>
      </c>
      <c r="Y3" s="3">
        <f>N(S3)*IFERROR(VLOOKUP($C3,Assumptions!$A$4:$F$7,3,FALSE),0)*Assumptions!$B$11</f>
        <v/>
      </c>
      <c r="Z3" s="3">
        <f>N(N3)*IFERROR(VLOOKUP($C3,Assumptions!$A$4:$F$7,4,FALSE),0)</f>
        <v/>
      </c>
      <c r="AA3" s="3">
        <f>N(T3)*IFERROR(VLOOKUP($C3,Assumptions!$A$4:$F$7,5,FALSE),0)</f>
        <v/>
      </c>
      <c r="AB3" s="3">
        <f>N(U3)</f>
        <v/>
      </c>
      <c r="AC3" s="3">
        <f>SUM(W3:AB3)</f>
        <v/>
      </c>
      <c r="AD3" s="3">
        <f>N(AC3)*N(M3)/90</f>
        <v/>
      </c>
      <c r="AE3" s="3">
        <f>IFERROR(AD3-VLOOKUP($C3,Assumptions!$A$29:$C$32,3,FALSE),"")</f>
        <v/>
      </c>
      <c r="AF3" s="3">
        <f>IFERROR(AE3/F3,"")</f>
        <v/>
      </c>
      <c r="AG3">
        <f>IF(AND($E3=TRUE,$C3="GKP"),AD3,"")</f>
        <v/>
      </c>
      <c r="AH3">
        <f>IF(AND($E3=TRUE,$C3="DEF"),AD3,"")</f>
        <v/>
      </c>
      <c r="AI3">
        <f>IF(AND($E3=TRUE,$C3="MID"),AD3,"")</f>
        <v/>
      </c>
      <c r="AJ3">
        <f>IF(AND($E3=TRUE,$C3="FWD"),AD3,"")</f>
        <v/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b">
        <v>1</v>
      </c>
      <c r="F4" s="2" t="n">
        <v>8</v>
      </c>
      <c r="G4" t="inlineStr">
        <is>
          <t>a</t>
        </is>
      </c>
      <c r="I4" s="2" t="n">
        <v>2750</v>
      </c>
      <c r="J4" t="n">
        <v>209</v>
      </c>
      <c r="K4" s="3" t="n">
        <v>3283</v>
      </c>
      <c r="L4" t="inlineStr">
        <is>
          <t>flat</t>
        </is>
      </c>
      <c r="M4" s="4" t="n">
        <v>2750</v>
      </c>
      <c r="N4" s="4" t="n">
        <v>0.5</v>
      </c>
      <c r="O4" s="3" t="n">
        <v>0.0785</v>
      </c>
      <c r="P4" t="inlineStr">
        <is>
          <t>adjusted xGOT</t>
        </is>
      </c>
      <c r="Q4" s="3" t="n">
        <v>0.8159999999999999</v>
      </c>
      <c r="R4" s="3" t="n">
        <v>15.2</v>
      </c>
      <c r="S4" s="3" t="n">
        <v>0.0732</v>
      </c>
      <c r="T4" s="3" t="n">
        <v>0.367</v>
      </c>
      <c r="U4" s="3" t="n">
        <v>0.7855</v>
      </c>
      <c r="V4" s="3" t="n">
        <v>2.029</v>
      </c>
      <c r="W4" s="3">
        <f>IF(V4="",IFERROR(VLOOKUP($C4,Assumptions!$A$4:$F$7,6,FALSE),0),V4)</f>
        <v/>
      </c>
      <c r="X4" s="3">
        <f>N(O4)*IFERROR(VLOOKUP($C4,Assumptions!$A$4:$F$7,2,FALSE),0)</f>
        <v/>
      </c>
      <c r="Y4" s="3">
        <f>N(S4)*IFERROR(VLOOKUP($C4,Assumptions!$A$4:$F$7,3,FALSE),0)*Assumptions!$B$11</f>
        <v/>
      </c>
      <c r="Z4" s="3">
        <f>N(N4)*IFERROR(VLOOKUP($C4,Assumptions!$A$4:$F$7,4,FALSE),0)</f>
        <v/>
      </c>
      <c r="AA4" s="3">
        <f>N(T4)*IFERROR(VLOOKUP($C4,Assumptions!$A$4:$F$7,5,FALSE),0)</f>
        <v/>
      </c>
      <c r="AB4" s="3">
        <f>N(U4)</f>
        <v/>
      </c>
      <c r="AC4" s="3">
        <f>SUM(W4:AB4)</f>
        <v/>
      </c>
      <c r="AD4" s="3">
        <f>N(AC4)*N(M4)/90</f>
        <v/>
      </c>
      <c r="AE4" s="3">
        <f>IFERROR(AD4-VLOOKUP($C4,Assumptions!$A$29:$C$32,3,FALSE),"")</f>
        <v/>
      </c>
      <c r="AF4" s="3">
        <f>IFERROR(AE4/F4,"")</f>
        <v/>
      </c>
      <c r="AG4">
        <f>IF(AND($E4=TRUE,$C4="GKP"),AD4,"")</f>
        <v/>
      </c>
      <c r="AH4">
        <f>IF(AND($E4=TRUE,$C4="DEF"),AD4,"")</f>
        <v/>
      </c>
      <c r="AI4">
        <f>IF(AND($E4=TRUE,$C4="MID"),AD4,"")</f>
        <v/>
      </c>
      <c r="AJ4">
        <f>IF(AND($E4=TRUE,$C4="FWD"),AD4,"")</f>
        <v/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b">
        <v>1</v>
      </c>
      <c r="F5" s="2" t="n">
        <v>8.5</v>
      </c>
      <c r="G5" t="inlineStr">
        <is>
          <t>a</t>
        </is>
      </c>
      <c r="I5" s="2" t="n">
        <v>3200</v>
      </c>
      <c r="J5" t="n">
        <v>202</v>
      </c>
      <c r="K5" s="3" t="n">
        <v>3106</v>
      </c>
      <c r="L5" t="inlineStr">
        <is>
          <t>flat</t>
        </is>
      </c>
      <c r="M5" s="4" t="n">
        <v>3200</v>
      </c>
      <c r="N5" s="4" t="n">
        <v>0.421</v>
      </c>
      <c r="O5" s="3" t="n">
        <v>0.3561</v>
      </c>
      <c r="P5" t="inlineStr">
        <is>
          <t>adjusted xGOT</t>
        </is>
      </c>
      <c r="Q5" s="3" t="n">
        <v>1.141</v>
      </c>
      <c r="R5" s="3" t="n">
        <v>25.7</v>
      </c>
      <c r="S5" s="3" t="n">
        <v>0.102</v>
      </c>
      <c r="T5" s="3" t="n">
        <v>0.081</v>
      </c>
      <c r="U5" s="3" t="n">
        <v>0.5344</v>
      </c>
      <c r="V5" s="3" t="n">
        <v>2.025</v>
      </c>
      <c r="W5" s="3">
        <f>IF(V5="",IFERROR(VLOOKUP($C5,Assumptions!$A$4:$F$7,6,FALSE),0),V5)</f>
        <v/>
      </c>
      <c r="X5" s="3">
        <f>N(O5)*IFERROR(VLOOKUP($C5,Assumptions!$A$4:$F$7,2,FALSE),0)</f>
        <v/>
      </c>
      <c r="Y5" s="3">
        <f>N(S5)*IFERROR(VLOOKUP($C5,Assumptions!$A$4:$F$7,3,FALSE),0)*Assumptions!$B$11</f>
        <v/>
      </c>
      <c r="Z5" s="3">
        <f>N(N5)*IFERROR(VLOOKUP($C5,Assumptions!$A$4:$F$7,4,FALSE),0)</f>
        <v/>
      </c>
      <c r="AA5" s="3">
        <f>N(T5)*IFERROR(VLOOKUP($C5,Assumptions!$A$4:$F$7,5,FALSE),0)</f>
        <v/>
      </c>
      <c r="AB5" s="3">
        <f>N(U5)</f>
        <v/>
      </c>
      <c r="AC5" s="3">
        <f>SUM(W5:AB5)</f>
        <v/>
      </c>
      <c r="AD5" s="3">
        <f>N(AC5)*N(M5)/90</f>
        <v/>
      </c>
      <c r="AE5" s="3">
        <f>IFERROR(AD5-VLOOKUP($C5,Assumptions!$A$29:$C$32,3,FALSE),"")</f>
        <v/>
      </c>
      <c r="AF5" s="3">
        <f>IFERROR(AE5/F5,"")</f>
        <v/>
      </c>
      <c r="AG5">
        <f>IF(AND($E5=TRUE,$C5="GKP"),AD5,"")</f>
        <v/>
      </c>
      <c r="AH5">
        <f>IF(AND($E5=TRUE,$C5="DEF"),AD5,"")</f>
        <v/>
      </c>
      <c r="AI5">
        <f>IF(AND($E5=TRUE,$C5="MID"),AD5,"")</f>
        <v/>
      </c>
      <c r="AJ5">
        <f>IF(AND($E5=TRUE,$C5="FWD"),AD5,"")</f>
        <v/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b">
        <v>1</v>
      </c>
      <c r="F6" s="2" t="n">
        <v>8</v>
      </c>
      <c r="G6" t="inlineStr">
        <is>
          <t>a</t>
        </is>
      </c>
      <c r="I6" s="2" t="n">
        <v>3101</v>
      </c>
      <c r="J6" t="n">
        <v>188</v>
      </c>
      <c r="K6" s="3" t="n">
        <v>3301</v>
      </c>
      <c r="L6" t="inlineStr">
        <is>
          <t>flat</t>
        </is>
      </c>
      <c r="M6" s="4" t="n">
        <v>3101</v>
      </c>
      <c r="N6" s="4" t="n">
        <v>0.237</v>
      </c>
      <c r="O6" s="3" t="n">
        <v>0.3102</v>
      </c>
      <c r="P6" t="inlineStr">
        <is>
          <t>adjusted xGOT</t>
        </is>
      </c>
      <c r="Q6" s="3" t="n">
        <v>0.989</v>
      </c>
      <c r="R6" s="3" t="n">
        <v>30.5</v>
      </c>
      <c r="S6" s="3" t="n">
        <v>0.1076</v>
      </c>
      <c r="T6" s="3" t="n">
        <v>0.029</v>
      </c>
      <c r="U6" s="3" t="n">
        <v>0.5224</v>
      </c>
      <c r="V6" s="3" t="n">
        <v>2.09</v>
      </c>
      <c r="W6" s="3">
        <f>IF(V6="",IFERROR(VLOOKUP($C6,Assumptions!$A$4:$F$7,6,FALSE),0),V6)</f>
        <v/>
      </c>
      <c r="X6" s="3">
        <f>N(O6)*IFERROR(VLOOKUP($C6,Assumptions!$A$4:$F$7,2,FALSE),0)</f>
        <v/>
      </c>
      <c r="Y6" s="3">
        <f>N(S6)*IFERROR(VLOOKUP($C6,Assumptions!$A$4:$F$7,3,FALSE),0)*Assumptions!$B$11</f>
        <v/>
      </c>
      <c r="Z6" s="3">
        <f>N(N6)*IFERROR(VLOOKUP($C6,Assumptions!$A$4:$F$7,4,FALSE),0)</f>
        <v/>
      </c>
      <c r="AA6" s="3">
        <f>N(T6)*IFERROR(VLOOKUP($C6,Assumptions!$A$4:$F$7,5,FALSE),0)</f>
        <v/>
      </c>
      <c r="AB6" s="3">
        <f>N(U6)</f>
        <v/>
      </c>
      <c r="AC6" s="3">
        <f>SUM(W6:AB6)</f>
        <v/>
      </c>
      <c r="AD6" s="3">
        <f>N(AC6)*N(M6)/90</f>
        <v/>
      </c>
      <c r="AE6" s="3">
        <f>IFERROR(AD6-VLOOKUP($C6,Assumptions!$A$29:$C$32,3,FALSE),"")</f>
        <v/>
      </c>
      <c r="AF6" s="3">
        <f>IFERROR(AE6/F6,"")</f>
        <v/>
      </c>
      <c r="AG6">
        <f>IF(AND($E6=TRUE,$C6="GKP"),AD6,"")</f>
        <v/>
      </c>
      <c r="AH6">
        <f>IF(AND($E6=TRUE,$C6="DEF"),AD6,"")</f>
        <v/>
      </c>
      <c r="AI6">
        <f>IF(AND($E6=TRUE,$C6="MID"),AD6,"")</f>
        <v/>
      </c>
      <c r="AJ6">
        <f>IF(AND($E6=TRUE,$C6="FWD"),AD6,"")</f>
        <v/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b">
        <v>1</v>
      </c>
      <c r="F7" s="2" t="n">
        <v>7.5</v>
      </c>
      <c r="G7" t="inlineStr">
        <is>
          <t>a</t>
        </is>
      </c>
      <c r="I7" s="2" t="n">
        <v>3093</v>
      </c>
      <c r="J7" t="n">
        <v>184</v>
      </c>
      <c r="K7" s="3" t="n">
        <v>3106</v>
      </c>
      <c r="L7" t="inlineStr">
        <is>
          <t>flat</t>
        </is>
      </c>
      <c r="M7" s="4" t="n">
        <v>3093</v>
      </c>
      <c r="N7" s="4" t="n">
        <v>0.5</v>
      </c>
      <c r="O7" s="3" t="n">
        <v>0.1037</v>
      </c>
      <c r="P7" t="inlineStr">
        <is>
          <t>adjusted xGOT</t>
        </is>
      </c>
      <c r="Q7" s="3" t="n">
        <v>1.132</v>
      </c>
      <c r="R7" s="3" t="n">
        <v>12.6</v>
      </c>
      <c r="S7" s="3" t="n">
        <v>0.2252</v>
      </c>
      <c r="T7" s="3" t="n">
        <v>0.4</v>
      </c>
      <c r="U7" s="3" t="n">
        <v>0.6984</v>
      </c>
      <c r="V7" s="3" t="n">
        <v>2.066</v>
      </c>
      <c r="W7" s="3">
        <f>IF(V7="",IFERROR(VLOOKUP($C7,Assumptions!$A$4:$F$7,6,FALSE),0),V7)</f>
        <v/>
      </c>
      <c r="X7" s="3">
        <f>N(O7)*IFERROR(VLOOKUP($C7,Assumptions!$A$4:$F$7,2,FALSE),0)</f>
        <v/>
      </c>
      <c r="Y7" s="3">
        <f>N(S7)*IFERROR(VLOOKUP($C7,Assumptions!$A$4:$F$7,3,FALSE),0)*Assumptions!$B$11</f>
        <v/>
      </c>
      <c r="Z7" s="3">
        <f>N(N7)*IFERROR(VLOOKUP($C7,Assumptions!$A$4:$F$7,4,FALSE),0)</f>
        <v/>
      </c>
      <c r="AA7" s="3">
        <f>N(T7)*IFERROR(VLOOKUP($C7,Assumptions!$A$4:$F$7,5,FALSE),0)</f>
        <v/>
      </c>
      <c r="AB7" s="3">
        <f>N(U7)</f>
        <v/>
      </c>
      <c r="AC7" s="3">
        <f>SUM(W7:AB7)</f>
        <v/>
      </c>
      <c r="AD7" s="3">
        <f>N(AC7)*N(M7)/90</f>
        <v/>
      </c>
      <c r="AE7" s="3">
        <f>IFERROR(AD7-VLOOKUP($C7,Assumptions!$A$29:$C$32,3,FALSE),"")</f>
        <v/>
      </c>
      <c r="AF7" s="3">
        <f>IFERROR(AE7/F7,"")</f>
        <v/>
      </c>
      <c r="AG7">
        <f>IF(AND($E7=TRUE,$C7="GKP"),AD7,"")</f>
        <v/>
      </c>
      <c r="AH7">
        <f>IF(AND($E7=TRUE,$C7="DEF"),AD7,"")</f>
        <v/>
      </c>
      <c r="AI7">
        <f>IF(AND($E7=TRUE,$C7="MID"),AD7,"")</f>
        <v/>
      </c>
      <c r="AJ7">
        <f>IF(AND($E7=TRUE,$C7="FWD"),AD7,"")</f>
        <v/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b">
        <v>1</v>
      </c>
      <c r="F8" s="2" t="n">
        <v>8</v>
      </c>
      <c r="G8" t="inlineStr">
        <is>
          <t>a</t>
        </is>
      </c>
      <c r="I8" s="2" t="n">
        <v>3282</v>
      </c>
      <c r="J8" t="n">
        <v>181</v>
      </c>
      <c r="K8" s="3" t="n">
        <v>3209</v>
      </c>
      <c r="L8" t="inlineStr">
        <is>
          <t>flat</t>
        </is>
      </c>
      <c r="M8" s="4" t="n">
        <v>3282</v>
      </c>
      <c r="N8" s="4" t="n">
        <v>0.263</v>
      </c>
      <c r="O8" s="3" t="n">
        <v>0.5525</v>
      </c>
      <c r="P8" t="inlineStr">
        <is>
          <t>adjusted xGOT</t>
        </is>
      </c>
      <c r="Q8" s="3" t="n">
        <v>0.978</v>
      </c>
      <c r="R8" s="3" t="n">
        <v>20.7</v>
      </c>
      <c r="S8" s="3" t="n">
        <v>0.07240000000000001</v>
      </c>
      <c r="T8" s="3" t="n">
        <v>0.027</v>
      </c>
      <c r="U8" s="3" t="n">
        <v>0.6032999999999999</v>
      </c>
      <c r="V8" s="3" t="n">
        <v>2.057</v>
      </c>
      <c r="W8" s="3">
        <f>IF(V8="",IFERROR(VLOOKUP($C8,Assumptions!$A$4:$F$7,6,FALSE),0),V8)</f>
        <v/>
      </c>
      <c r="X8" s="3">
        <f>N(O8)*IFERROR(VLOOKUP($C8,Assumptions!$A$4:$F$7,2,FALSE),0)</f>
        <v/>
      </c>
      <c r="Y8" s="3">
        <f>N(S8)*IFERROR(VLOOKUP($C8,Assumptions!$A$4:$F$7,3,FALSE),0)*Assumptions!$B$11</f>
        <v/>
      </c>
      <c r="Z8" s="3">
        <f>N(N8)*IFERROR(VLOOKUP($C8,Assumptions!$A$4:$F$7,4,FALSE),0)</f>
        <v/>
      </c>
      <c r="AA8" s="3">
        <f>N(T8)*IFERROR(VLOOKUP($C8,Assumptions!$A$4:$F$7,5,FALSE),0)</f>
        <v/>
      </c>
      <c r="AB8" s="3">
        <f>N(U8)</f>
        <v/>
      </c>
      <c r="AC8" s="3">
        <f>SUM(W8:AB8)</f>
        <v/>
      </c>
      <c r="AD8" s="3">
        <f>N(AC8)*N(M8)/90</f>
        <v/>
      </c>
      <c r="AE8" s="3">
        <f>IFERROR(AD8-VLOOKUP($C8,Assumptions!$A$29:$C$32,3,FALSE),"")</f>
        <v/>
      </c>
      <c r="AF8" s="3">
        <f>IFERROR(AE8/F8,"")</f>
        <v/>
      </c>
      <c r="AG8">
        <f>IF(AND($E8=TRUE,$C8="GKP"),AD8,"")</f>
        <v/>
      </c>
      <c r="AH8">
        <f>IF(AND($E8=TRUE,$C8="DEF"),AD8,"")</f>
        <v/>
      </c>
      <c r="AI8">
        <f>IF(AND($E8=TRUE,$C8="MID"),AD8,"")</f>
        <v/>
      </c>
      <c r="AJ8">
        <f>IF(AND($E8=TRUE,$C8="FWD"),AD8,"")</f>
        <v/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b">
        <v>1</v>
      </c>
      <c r="F9" s="2" t="n">
        <v>6.5</v>
      </c>
      <c r="G9" t="inlineStr">
        <is>
          <t>a</t>
        </is>
      </c>
      <c r="I9" s="2" t="n">
        <v>3332</v>
      </c>
      <c r="J9" t="n">
        <v>180</v>
      </c>
      <c r="K9" s="3" t="n">
        <v>2096</v>
      </c>
      <c r="L9" t="inlineStr">
        <is>
          <t>flat</t>
        </is>
      </c>
      <c r="M9" s="4" t="n">
        <v>3332</v>
      </c>
      <c r="N9" s="4" t="n">
        <v>0.421</v>
      </c>
      <c r="O9" s="3" t="n">
        <v>0.0716</v>
      </c>
      <c r="P9" t="inlineStr">
        <is>
          <t>adjusted xGOT</t>
        </is>
      </c>
      <c r="Q9" s="3" t="n">
        <v>0.902</v>
      </c>
      <c r="R9" s="3" t="n">
        <v>7.8</v>
      </c>
      <c r="S9" s="3" t="n">
        <v>0.1301</v>
      </c>
      <c r="T9" s="3" t="n">
        <v>0.703</v>
      </c>
      <c r="U9" s="3" t="n">
        <v>0.4862</v>
      </c>
      <c r="V9" s="3" t="n">
        <v>2.026</v>
      </c>
      <c r="W9" s="3">
        <f>IF(V9="",IFERROR(VLOOKUP($C9,Assumptions!$A$4:$F$7,6,FALSE),0),V9)</f>
        <v/>
      </c>
      <c r="X9" s="3">
        <f>N(O9)*IFERROR(VLOOKUP($C9,Assumptions!$A$4:$F$7,2,FALSE),0)</f>
        <v/>
      </c>
      <c r="Y9" s="3">
        <f>N(S9)*IFERROR(VLOOKUP($C9,Assumptions!$A$4:$F$7,3,FALSE),0)*Assumptions!$B$11</f>
        <v/>
      </c>
      <c r="Z9" s="3">
        <f>N(N9)*IFERROR(VLOOKUP($C9,Assumptions!$A$4:$F$7,4,FALSE),0)</f>
        <v/>
      </c>
      <c r="AA9" s="3">
        <f>N(T9)*IFERROR(VLOOKUP($C9,Assumptions!$A$4:$F$7,5,FALSE),0)</f>
        <v/>
      </c>
      <c r="AB9" s="3">
        <f>N(U9)</f>
        <v/>
      </c>
      <c r="AC9" s="3">
        <f>SUM(W9:AB9)</f>
        <v/>
      </c>
      <c r="AD9" s="3">
        <f>N(AC9)*N(M9)/90</f>
        <v/>
      </c>
      <c r="AE9" s="3">
        <f>IFERROR(AD9-VLOOKUP($C9,Assumptions!$A$29:$C$32,3,FALSE),"")</f>
        <v/>
      </c>
      <c r="AF9" s="3">
        <f>IFERROR(AE9/F9,"")</f>
        <v/>
      </c>
      <c r="AG9">
        <f>IF(AND($E9=TRUE,$C9="GKP"),AD9,"")</f>
        <v/>
      </c>
      <c r="AH9">
        <f>IF(AND($E9=TRUE,$C9="DEF"),AD9,"")</f>
        <v/>
      </c>
      <c r="AI9">
        <f>IF(AND($E9=TRUE,$C9="MID"),AD9,"")</f>
        <v/>
      </c>
      <c r="AJ9">
        <f>IF(AND($E9=TRUE,$C9="FWD"),AD9,"")</f>
        <v/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b">
        <v>1</v>
      </c>
      <c r="F10" s="2" t="n">
        <v>6</v>
      </c>
      <c r="G10" t="inlineStr">
        <is>
          <t>a</t>
        </is>
      </c>
      <c r="I10" s="2" t="n">
        <v>3150</v>
      </c>
      <c r="J10" t="n">
        <v>179</v>
      </c>
      <c r="K10" s="3" t="n">
        <v>2611</v>
      </c>
      <c r="L10" t="inlineStr">
        <is>
          <t>flat</t>
        </is>
      </c>
      <c r="M10" s="4" t="n">
        <v>3150</v>
      </c>
      <c r="N10" s="4" t="n">
        <v>0.421</v>
      </c>
      <c r="O10" s="3" t="n">
        <v>0.1254</v>
      </c>
      <c r="P10" t="inlineStr">
        <is>
          <t>adjusted xGOT</t>
        </is>
      </c>
      <c r="Q10" s="3" t="n">
        <v>1.084</v>
      </c>
      <c r="R10" s="3" t="n">
        <v>8</v>
      </c>
      <c r="S10" s="3" t="n">
        <v>0.0728</v>
      </c>
      <c r="T10" s="3" t="n">
        <v>0.314</v>
      </c>
      <c r="U10" s="3" t="n">
        <v>0.3429</v>
      </c>
      <c r="V10" s="3" t="n">
        <v>2</v>
      </c>
      <c r="W10" s="3">
        <f>IF(V10="",IFERROR(VLOOKUP($C10,Assumptions!$A$4:$F$7,6,FALSE),0),V10)</f>
        <v/>
      </c>
      <c r="X10" s="3">
        <f>N(O10)*IFERROR(VLOOKUP($C10,Assumptions!$A$4:$F$7,2,FALSE),0)</f>
        <v/>
      </c>
      <c r="Y10" s="3">
        <f>N(S10)*IFERROR(VLOOKUP($C10,Assumptions!$A$4:$F$7,3,FALSE),0)*Assumptions!$B$11</f>
        <v/>
      </c>
      <c r="Z10" s="3">
        <f>N(N10)*IFERROR(VLOOKUP($C10,Assumptions!$A$4:$F$7,4,FALSE),0)</f>
        <v/>
      </c>
      <c r="AA10" s="3">
        <f>N(T10)*IFERROR(VLOOKUP($C10,Assumptions!$A$4:$F$7,5,FALSE),0)</f>
        <v/>
      </c>
      <c r="AB10" s="3">
        <f>N(U10)</f>
        <v/>
      </c>
      <c r="AC10" s="3">
        <f>SUM(W10:AB10)</f>
        <v/>
      </c>
      <c r="AD10" s="3">
        <f>N(AC10)*N(M10)/90</f>
        <v/>
      </c>
      <c r="AE10" s="3">
        <f>IFERROR(AD10-VLOOKUP($C10,Assumptions!$A$29:$C$32,3,FALSE),"")</f>
        <v/>
      </c>
      <c r="AF10" s="3">
        <f>IFERROR(AE10/F10,"")</f>
        <v/>
      </c>
      <c r="AG10">
        <f>IF(AND($E10=TRUE,$C10="GKP"),AD10,"")</f>
        <v/>
      </c>
      <c r="AH10">
        <f>IF(AND($E10=TRUE,$C10="DEF"),AD10,"")</f>
        <v/>
      </c>
      <c r="AI10">
        <f>IF(AND($E10=TRUE,$C10="MID"),AD10,"")</f>
        <v/>
      </c>
      <c r="AJ10">
        <f>IF(AND($E10=TRUE,$C10="FWD"),AD10,"")</f>
        <v/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b">
        <v>1</v>
      </c>
      <c r="F11" s="2" t="n">
        <v>7.5</v>
      </c>
      <c r="G11" t="inlineStr">
        <is>
          <t>a</t>
        </is>
      </c>
      <c r="I11" s="2" t="n">
        <v>2658</v>
      </c>
      <c r="J11" t="n">
        <v>177</v>
      </c>
      <c r="K11" s="3" t="n">
        <v>2890</v>
      </c>
      <c r="L11" t="inlineStr">
        <is>
          <t>flat</t>
        </is>
      </c>
      <c r="M11" s="4" t="n">
        <v>2658</v>
      </c>
      <c r="N11" s="4" t="n">
        <v>0.237</v>
      </c>
      <c r="O11" s="3" t="n">
        <v>0.5062</v>
      </c>
      <c r="P11" t="inlineStr">
        <is>
          <t>adjusted xGOT</t>
        </is>
      </c>
      <c r="Q11" s="3" t="n">
        <v>1.003</v>
      </c>
      <c r="R11" s="3" t="n">
        <v>35.9</v>
      </c>
      <c r="S11" s="3" t="n">
        <v>0.1006</v>
      </c>
      <c r="T11" s="3" t="n">
        <v>0</v>
      </c>
      <c r="U11" s="3" t="n">
        <v>1.0158</v>
      </c>
      <c r="V11" s="3" t="n">
        <v>2.201</v>
      </c>
      <c r="W11" s="3">
        <f>IF(V11="",IFERROR(VLOOKUP($C11,Assumptions!$A$4:$F$7,6,FALSE),0),V11)</f>
        <v/>
      </c>
      <c r="X11" s="3">
        <f>N(O11)*IFERROR(VLOOKUP($C11,Assumptions!$A$4:$F$7,2,FALSE),0)</f>
        <v/>
      </c>
      <c r="Y11" s="3">
        <f>N(S11)*IFERROR(VLOOKUP($C11,Assumptions!$A$4:$F$7,3,FALSE),0)*Assumptions!$B$11</f>
        <v/>
      </c>
      <c r="Z11" s="3">
        <f>N(N11)*IFERROR(VLOOKUP($C11,Assumptions!$A$4:$F$7,4,FALSE),0)</f>
        <v/>
      </c>
      <c r="AA11" s="3">
        <f>N(T11)*IFERROR(VLOOKUP($C11,Assumptions!$A$4:$F$7,5,FALSE),0)</f>
        <v/>
      </c>
      <c r="AB11" s="3">
        <f>N(U11)</f>
        <v/>
      </c>
      <c r="AC11" s="3">
        <f>SUM(W11:AB11)</f>
        <v/>
      </c>
      <c r="AD11" s="3">
        <f>N(AC11)*N(M11)/90</f>
        <v/>
      </c>
      <c r="AE11" s="3">
        <f>IFERROR(AD11-VLOOKUP($C11,Assumptions!$A$29:$C$32,3,FALSE),"")</f>
        <v/>
      </c>
      <c r="AF11" s="3">
        <f>IFERROR(AE11/F11,"")</f>
        <v/>
      </c>
      <c r="AG11">
        <f>IF(AND($E11=TRUE,$C11="GKP"),AD11,"")</f>
        <v/>
      </c>
      <c r="AH11">
        <f>IF(AND($E11=TRUE,$C11="DEF"),AD11,"")</f>
        <v/>
      </c>
      <c r="AI11">
        <f>IF(AND($E11=TRUE,$C11="MID"),AD11,"")</f>
        <v/>
      </c>
      <c r="AJ11">
        <f>IF(AND($E11=TRUE,$C11="FWD"),AD11,"")</f>
        <v/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b">
        <v>1</v>
      </c>
      <c r="F12" s="2" t="n">
        <v>6.5</v>
      </c>
      <c r="G12" t="inlineStr">
        <is>
          <t>a</t>
        </is>
      </c>
      <c r="I12" s="2" t="n">
        <v>3420</v>
      </c>
      <c r="J12" t="n">
        <v>175</v>
      </c>
      <c r="K12" s="3" t="n">
        <v>3340</v>
      </c>
      <c r="L12" t="inlineStr">
        <is>
          <t>flat</t>
        </is>
      </c>
      <c r="M12" s="4" t="n">
        <v>3420</v>
      </c>
      <c r="N12" s="4" t="n">
        <v>0.263</v>
      </c>
      <c r="O12" s="3" t="n">
        <v>0.0983</v>
      </c>
      <c r="P12" t="inlineStr">
        <is>
          <t>adjusted xGOT</t>
        </is>
      </c>
      <c r="Q12" s="3" t="n">
        <v>0.991</v>
      </c>
      <c r="R12" s="3" t="n">
        <v>11.4</v>
      </c>
      <c r="S12" s="3" t="n">
        <v>0.0233</v>
      </c>
      <c r="T12" s="3" t="n">
        <v>0.421</v>
      </c>
      <c r="U12" s="3" t="n">
        <v>0.2368</v>
      </c>
      <c r="V12" s="3" t="n">
        <v>2</v>
      </c>
      <c r="W12" s="3">
        <f>IF(V12="",IFERROR(VLOOKUP($C12,Assumptions!$A$4:$F$7,6,FALSE),0),V12)</f>
        <v/>
      </c>
      <c r="X12" s="3">
        <f>N(O12)*IFERROR(VLOOKUP($C12,Assumptions!$A$4:$F$7,2,FALSE),0)</f>
        <v/>
      </c>
      <c r="Y12" s="3">
        <f>N(S12)*IFERROR(VLOOKUP($C12,Assumptions!$A$4:$F$7,3,FALSE),0)*Assumptions!$B$11</f>
        <v/>
      </c>
      <c r="Z12" s="3">
        <f>N(N12)*IFERROR(VLOOKUP($C12,Assumptions!$A$4:$F$7,4,FALSE),0)</f>
        <v/>
      </c>
      <c r="AA12" s="3">
        <f>N(T12)*IFERROR(VLOOKUP($C12,Assumptions!$A$4:$F$7,5,FALSE),0)</f>
        <v/>
      </c>
      <c r="AB12" s="3">
        <f>N(U12)</f>
        <v/>
      </c>
      <c r="AC12" s="3">
        <f>SUM(W12:AB12)</f>
        <v/>
      </c>
      <c r="AD12" s="3">
        <f>N(AC12)*N(M12)/90</f>
        <v/>
      </c>
      <c r="AE12" s="3">
        <f>IFERROR(AD12-VLOOKUP($C12,Assumptions!$A$29:$C$32,3,FALSE),"")</f>
        <v/>
      </c>
      <c r="AF12" s="3">
        <f>IFERROR(AE12/F12,"")</f>
        <v/>
      </c>
      <c r="AG12">
        <f>IF(AND($E12=TRUE,$C12="GKP"),AD12,"")</f>
        <v/>
      </c>
      <c r="AH12">
        <f>IF(AND($E12=TRUE,$C12="DEF"),AD12,"")</f>
        <v/>
      </c>
      <c r="AI12">
        <f>IF(AND($E12=TRUE,$C12="MID"),AD12,"")</f>
        <v/>
      </c>
      <c r="AJ12">
        <f>IF(AND($E12=TRUE,$C12="FWD"),AD12,"")</f>
        <v/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b">
        <v>1</v>
      </c>
      <c r="F13" s="2" t="n">
        <v>6</v>
      </c>
      <c r="G13" t="inlineStr">
        <is>
          <t>a</t>
        </is>
      </c>
      <c r="I13" s="2" t="n">
        <v>3288</v>
      </c>
      <c r="J13" t="n">
        <v>175</v>
      </c>
      <c r="K13" s="3" t="n">
        <v>1573</v>
      </c>
      <c r="L13" t="inlineStr">
        <is>
          <t>flat</t>
        </is>
      </c>
      <c r="M13" s="4" t="n">
        <v>3288</v>
      </c>
      <c r="N13" s="4" t="n">
        <v>0.237</v>
      </c>
      <c r="O13" s="3" t="n">
        <v>0.0335</v>
      </c>
      <c r="P13" t="inlineStr">
        <is>
          <t>adjusted xGOT</t>
        </is>
      </c>
      <c r="Q13" s="3" t="n">
        <v>0.799</v>
      </c>
      <c r="R13" s="3" t="n">
        <v>6</v>
      </c>
      <c r="S13" s="3" t="n">
        <v>0.1197</v>
      </c>
      <c r="T13" s="3" t="n">
        <v>0.703</v>
      </c>
      <c r="U13" s="3" t="n">
        <v>0.3285</v>
      </c>
      <c r="V13" s="3" t="n">
        <v>2.026</v>
      </c>
      <c r="W13" s="3">
        <f>IF(V13="",IFERROR(VLOOKUP($C13,Assumptions!$A$4:$F$7,6,FALSE),0),V13)</f>
        <v/>
      </c>
      <c r="X13" s="3">
        <f>N(O13)*IFERROR(VLOOKUP($C13,Assumptions!$A$4:$F$7,2,FALSE),0)</f>
        <v/>
      </c>
      <c r="Y13" s="3">
        <f>N(S13)*IFERROR(VLOOKUP($C13,Assumptions!$A$4:$F$7,3,FALSE),0)*Assumptions!$B$11</f>
        <v/>
      </c>
      <c r="Z13" s="3">
        <f>N(N13)*IFERROR(VLOOKUP($C13,Assumptions!$A$4:$F$7,4,FALSE),0)</f>
        <v/>
      </c>
      <c r="AA13" s="3">
        <f>N(T13)*IFERROR(VLOOKUP($C13,Assumptions!$A$4:$F$7,5,FALSE),0)</f>
        <v/>
      </c>
      <c r="AB13" s="3">
        <f>N(U13)</f>
        <v/>
      </c>
      <c r="AC13" s="3">
        <f>SUM(W13:AB13)</f>
        <v/>
      </c>
      <c r="AD13" s="3">
        <f>N(AC13)*N(M13)/90</f>
        <v/>
      </c>
      <c r="AE13" s="3">
        <f>IFERROR(AD13-VLOOKUP($C13,Assumptions!$A$29:$C$32,3,FALSE),"")</f>
        <v/>
      </c>
      <c r="AF13" s="3">
        <f>IFERROR(AE13/F13,"")</f>
        <v/>
      </c>
      <c r="AG13">
        <f>IF(AND($E13=TRUE,$C13="GKP"),AD13,"")</f>
        <v/>
      </c>
      <c r="AH13">
        <f>IF(AND($E13=TRUE,$C13="DEF"),AD13,"")</f>
        <v/>
      </c>
      <c r="AI13">
        <f>IF(AND($E13=TRUE,$C13="MID"),AD13,"")</f>
        <v/>
      </c>
      <c r="AJ13">
        <f>IF(AND($E13=TRUE,$C13="FWD"),AD13,"")</f>
        <v/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b">
        <v>1</v>
      </c>
      <c r="F14" s="2" t="n">
        <v>6</v>
      </c>
      <c r="G14" t="inlineStr">
        <is>
          <t>a</t>
        </is>
      </c>
      <c r="I14" s="2" t="n">
        <v>3330</v>
      </c>
      <c r="J14" t="n">
        <v>170</v>
      </c>
      <c r="K14" s="3" t="n">
        <v>3266</v>
      </c>
      <c r="L14" t="inlineStr">
        <is>
          <t>flat</t>
        </is>
      </c>
      <c r="M14" s="4" t="n">
        <v>3330</v>
      </c>
      <c r="N14" s="4" t="n">
        <v>0.29</v>
      </c>
      <c r="O14" s="3" t="n">
        <v>0.0555</v>
      </c>
      <c r="P14" t="inlineStr">
        <is>
          <t>adjusted xGOT</t>
        </is>
      </c>
      <c r="Q14" s="3" t="n">
        <v>0.8120000000000001</v>
      </c>
      <c r="R14" s="3" t="n">
        <v>9.4</v>
      </c>
      <c r="S14" s="3" t="n">
        <v>0.0562</v>
      </c>
      <c r="T14" s="3" t="n">
        <v>0.595</v>
      </c>
      <c r="U14" s="3" t="n">
        <v>0.3243</v>
      </c>
      <c r="V14" s="3" t="n">
        <v>2</v>
      </c>
      <c r="W14" s="3">
        <f>IF(V14="",IFERROR(VLOOKUP($C14,Assumptions!$A$4:$F$7,6,FALSE),0),V14)</f>
        <v/>
      </c>
      <c r="X14" s="3">
        <f>N(O14)*IFERROR(VLOOKUP($C14,Assumptions!$A$4:$F$7,2,FALSE),0)</f>
        <v/>
      </c>
      <c r="Y14" s="3">
        <f>N(S14)*IFERROR(VLOOKUP($C14,Assumptions!$A$4:$F$7,3,FALSE),0)*Assumptions!$B$11</f>
        <v/>
      </c>
      <c r="Z14" s="3">
        <f>N(N14)*IFERROR(VLOOKUP($C14,Assumptions!$A$4:$F$7,4,FALSE),0)</f>
        <v/>
      </c>
      <c r="AA14" s="3">
        <f>N(T14)*IFERROR(VLOOKUP($C14,Assumptions!$A$4:$F$7,5,FALSE),0)</f>
        <v/>
      </c>
      <c r="AB14" s="3">
        <f>N(U14)</f>
        <v/>
      </c>
      <c r="AC14" s="3">
        <f>SUM(W14:AB14)</f>
        <v/>
      </c>
      <c r="AD14" s="3">
        <f>N(AC14)*N(M14)/90</f>
        <v/>
      </c>
      <c r="AE14" s="3">
        <f>IFERROR(AD14-VLOOKUP($C14,Assumptions!$A$29:$C$32,3,FALSE),"")</f>
        <v/>
      </c>
      <c r="AF14" s="3">
        <f>IFERROR(AE14/F14,"")</f>
        <v/>
      </c>
      <c r="AG14">
        <f>IF(AND($E14=TRUE,$C14="GKP"),AD14,"")</f>
        <v/>
      </c>
      <c r="AH14">
        <f>IF(AND($E14=TRUE,$C14="DEF"),AD14,"")</f>
        <v/>
      </c>
      <c r="AI14">
        <f>IF(AND($E14=TRUE,$C14="MID"),AD14,"")</f>
        <v/>
      </c>
      <c r="AJ14">
        <f>IF(AND($E14=TRUE,$C14="FWD"),AD14,"")</f>
        <v/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b">
        <v>1</v>
      </c>
      <c r="F15" s="2" t="n">
        <v>7.5</v>
      </c>
      <c r="G15" t="inlineStr">
        <is>
          <t>a</t>
        </is>
      </c>
      <c r="I15" s="2" t="n">
        <v>3280</v>
      </c>
      <c r="J15" t="n">
        <v>169</v>
      </c>
      <c r="K15" s="3" t="n">
        <v>2890</v>
      </c>
      <c r="L15" t="inlineStr">
        <is>
          <t>flat</t>
        </is>
      </c>
      <c r="M15" s="4" t="n">
        <v>3280</v>
      </c>
      <c r="N15" s="4" t="n">
        <v>0.237</v>
      </c>
      <c r="O15" s="3" t="n">
        <v>0.2094</v>
      </c>
      <c r="P15" t="inlineStr">
        <is>
          <t>adjusted xGOT</t>
        </is>
      </c>
      <c r="Q15" s="3" t="n">
        <v>1.116</v>
      </c>
      <c r="R15" s="3" t="n">
        <v>14.7</v>
      </c>
      <c r="S15" s="3" t="n">
        <v>0.1618</v>
      </c>
      <c r="T15" s="3" t="n">
        <v>0.027</v>
      </c>
      <c r="U15" s="3" t="n">
        <v>0.4665</v>
      </c>
      <c r="V15" s="3" t="n">
        <v>2.03</v>
      </c>
      <c r="W15" s="3">
        <f>IF(V15="",IFERROR(VLOOKUP($C15,Assumptions!$A$4:$F$7,6,FALSE),0),V15)</f>
        <v/>
      </c>
      <c r="X15" s="3">
        <f>N(O15)*IFERROR(VLOOKUP($C15,Assumptions!$A$4:$F$7,2,FALSE),0)</f>
        <v/>
      </c>
      <c r="Y15" s="3">
        <f>N(S15)*IFERROR(VLOOKUP($C15,Assumptions!$A$4:$F$7,3,FALSE),0)*Assumptions!$B$11</f>
        <v/>
      </c>
      <c r="Z15" s="3">
        <f>N(N15)*IFERROR(VLOOKUP($C15,Assumptions!$A$4:$F$7,4,FALSE),0)</f>
        <v/>
      </c>
      <c r="AA15" s="3">
        <f>N(T15)*IFERROR(VLOOKUP($C15,Assumptions!$A$4:$F$7,5,FALSE),0)</f>
        <v/>
      </c>
      <c r="AB15" s="3">
        <f>N(U15)</f>
        <v/>
      </c>
      <c r="AC15" s="3">
        <f>SUM(W15:AB15)</f>
        <v/>
      </c>
      <c r="AD15" s="3">
        <f>N(AC15)*N(M15)/90</f>
        <v/>
      </c>
      <c r="AE15" s="3">
        <f>IFERROR(AD15-VLOOKUP($C15,Assumptions!$A$29:$C$32,3,FALSE),"")</f>
        <v/>
      </c>
      <c r="AF15" s="3">
        <f>IFERROR(AE15/F15,"")</f>
        <v/>
      </c>
      <c r="AG15">
        <f>IF(AND($E15=TRUE,$C15="GKP"),AD15,"")</f>
        <v/>
      </c>
      <c r="AH15">
        <f>IF(AND($E15=TRUE,$C15="DEF"),AD15,"")</f>
        <v/>
      </c>
      <c r="AI15">
        <f>IF(AND($E15=TRUE,$C15="MID"),AD15,"")</f>
        <v/>
      </c>
      <c r="AJ15">
        <f>IF(AND($E15=TRUE,$C15="FWD"),AD15,"")</f>
        <v/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b">
        <v>1</v>
      </c>
      <c r="F16" s="2" t="n">
        <v>6.5</v>
      </c>
      <c r="G16" t="inlineStr">
        <is>
          <t>a</t>
        </is>
      </c>
      <c r="I16" s="2" t="n">
        <v>2674</v>
      </c>
      <c r="J16" t="n">
        <v>168</v>
      </c>
      <c r="K16" s="3" t="n">
        <v>2810</v>
      </c>
      <c r="L16" t="inlineStr">
        <is>
          <t>flat</t>
        </is>
      </c>
      <c r="M16" s="4" t="n">
        <v>2674</v>
      </c>
      <c r="N16" s="4" t="n">
        <v>0.21</v>
      </c>
      <c r="O16" s="3" t="n">
        <v>0.2446</v>
      </c>
      <c r="P16" t="inlineStr">
        <is>
          <t>adjusted xGOT</t>
        </is>
      </c>
      <c r="Q16" s="3" t="n">
        <v>1.236</v>
      </c>
      <c r="R16" s="3" t="n">
        <v>15.6</v>
      </c>
      <c r="S16" s="3" t="n">
        <v>0.1729</v>
      </c>
      <c r="T16" s="3" t="n">
        <v>0.031</v>
      </c>
      <c r="U16" s="3" t="n">
        <v>0.7068</v>
      </c>
      <c r="V16" s="3" t="n">
        <v>2.221</v>
      </c>
      <c r="W16" s="3">
        <f>IF(V16="",IFERROR(VLOOKUP($C16,Assumptions!$A$4:$F$7,6,FALSE),0),V16)</f>
        <v/>
      </c>
      <c r="X16" s="3">
        <f>N(O16)*IFERROR(VLOOKUP($C16,Assumptions!$A$4:$F$7,2,FALSE),0)</f>
        <v/>
      </c>
      <c r="Y16" s="3">
        <f>N(S16)*IFERROR(VLOOKUP($C16,Assumptions!$A$4:$F$7,3,FALSE),0)*Assumptions!$B$11</f>
        <v/>
      </c>
      <c r="Z16" s="3">
        <f>N(N16)*IFERROR(VLOOKUP($C16,Assumptions!$A$4:$F$7,4,FALSE),0)</f>
        <v/>
      </c>
      <c r="AA16" s="3">
        <f>N(T16)*IFERROR(VLOOKUP($C16,Assumptions!$A$4:$F$7,5,FALSE),0)</f>
        <v/>
      </c>
      <c r="AB16" s="3">
        <f>N(U16)</f>
        <v/>
      </c>
      <c r="AC16" s="3">
        <f>SUM(W16:AB16)</f>
        <v/>
      </c>
      <c r="AD16" s="3">
        <f>N(AC16)*N(M16)/90</f>
        <v/>
      </c>
      <c r="AE16" s="3">
        <f>IFERROR(AD16-VLOOKUP($C16,Assumptions!$A$29:$C$32,3,FALSE),"")</f>
        <v/>
      </c>
      <c r="AF16" s="3">
        <f>IFERROR(AE16/F16,"")</f>
        <v/>
      </c>
      <c r="AG16">
        <f>IF(AND($E16=TRUE,$C16="GKP"),AD16,"")</f>
        <v/>
      </c>
      <c r="AH16">
        <f>IF(AND($E16=TRUE,$C16="DEF"),AD16,"")</f>
        <v/>
      </c>
      <c r="AI16">
        <f>IF(AND($E16=TRUE,$C16="MID"),AD16,"")</f>
        <v/>
      </c>
      <c r="AJ16">
        <f>IF(AND($E16=TRUE,$C16="FWD"),AD16,"")</f>
        <v/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b">
        <v>1</v>
      </c>
      <c r="F17" s="2" t="n">
        <v>8</v>
      </c>
      <c r="G17" t="inlineStr">
        <is>
          <t>a</t>
        </is>
      </c>
      <c r="I17" s="2" t="n">
        <v>2833</v>
      </c>
      <c r="J17" t="n">
        <v>167</v>
      </c>
      <c r="K17" s="3" t="n">
        <v>2679</v>
      </c>
      <c r="L17" t="inlineStr">
        <is>
          <t>flat</t>
        </is>
      </c>
      <c r="M17" s="4" t="n">
        <v>2833</v>
      </c>
      <c r="N17" s="4" t="n">
        <v>0.237</v>
      </c>
      <c r="O17" s="3" t="n">
        <v>0.5014999999999999</v>
      </c>
      <c r="P17" t="inlineStr">
        <is>
          <t>adjusted xGOT</t>
        </is>
      </c>
      <c r="Q17" s="3" t="n">
        <v>1.025</v>
      </c>
      <c r="R17" s="3" t="n">
        <v>63.4</v>
      </c>
      <c r="S17" s="3" t="n">
        <v>0.0635</v>
      </c>
      <c r="T17" s="3" t="n">
        <v>0</v>
      </c>
      <c r="U17" s="3" t="n">
        <v>0.826</v>
      </c>
      <c r="V17" s="3" t="n">
        <v>2.192</v>
      </c>
      <c r="W17" s="3">
        <f>IF(V17="",IFERROR(VLOOKUP($C17,Assumptions!$A$4:$F$7,6,FALSE),0),V17)</f>
        <v/>
      </c>
      <c r="X17" s="3">
        <f>N(O17)*IFERROR(VLOOKUP($C17,Assumptions!$A$4:$F$7,2,FALSE),0)</f>
        <v/>
      </c>
      <c r="Y17" s="3">
        <f>N(S17)*IFERROR(VLOOKUP($C17,Assumptions!$A$4:$F$7,3,FALSE),0)*Assumptions!$B$11</f>
        <v/>
      </c>
      <c r="Z17" s="3">
        <f>N(N17)*IFERROR(VLOOKUP($C17,Assumptions!$A$4:$F$7,4,FALSE),0)</f>
        <v/>
      </c>
      <c r="AA17" s="3">
        <f>N(T17)*IFERROR(VLOOKUP($C17,Assumptions!$A$4:$F$7,5,FALSE),0)</f>
        <v/>
      </c>
      <c r="AB17" s="3">
        <f>N(U17)</f>
        <v/>
      </c>
      <c r="AC17" s="3">
        <f>SUM(W17:AB17)</f>
        <v/>
      </c>
      <c r="AD17" s="3">
        <f>N(AC17)*N(M17)/90</f>
        <v/>
      </c>
      <c r="AE17" s="3">
        <f>IFERROR(AD17-VLOOKUP($C17,Assumptions!$A$29:$C$32,3,FALSE),"")</f>
        <v/>
      </c>
      <c r="AF17" s="3">
        <f>IFERROR(AE17/F17,"")</f>
        <v/>
      </c>
      <c r="AG17">
        <f>IF(AND($E17=TRUE,$C17="GKP"),AD17,"")</f>
        <v/>
      </c>
      <c r="AH17">
        <f>IF(AND($E17=TRUE,$C17="DEF"),AD17,"")</f>
        <v/>
      </c>
      <c r="AI17">
        <f>IF(AND($E17=TRUE,$C17="MID"),AD17,"")</f>
        <v/>
      </c>
      <c r="AJ17">
        <f>IF(AND($E17=TRUE,$C17="FWD"),AD17,"")</f>
        <v/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b">
        <v>1</v>
      </c>
      <c r="F18" s="2" t="n">
        <v>5.5</v>
      </c>
      <c r="G18" t="inlineStr">
        <is>
          <t>a</t>
        </is>
      </c>
      <c r="I18" s="2" t="n">
        <v>3378</v>
      </c>
      <c r="J18" t="n">
        <v>165</v>
      </c>
      <c r="K18" s="3" t="n">
        <v>3266</v>
      </c>
      <c r="L18" t="inlineStr">
        <is>
          <t>flat</t>
        </is>
      </c>
      <c r="M18" s="4" t="n">
        <v>3378</v>
      </c>
      <c r="N18" s="4" t="n">
        <v>0.29</v>
      </c>
      <c r="O18" s="3" t="n">
        <v>0.0369</v>
      </c>
      <c r="P18" t="inlineStr">
        <is>
          <t>adjusted xGOT</t>
        </is>
      </c>
      <c r="Q18" s="3" t="n">
        <v>1.027</v>
      </c>
      <c r="R18" s="3" t="n">
        <v>1.4</v>
      </c>
      <c r="S18" s="3" t="n">
        <v>0.09959999999999999</v>
      </c>
      <c r="T18" s="3" t="n">
        <v>0.316</v>
      </c>
      <c r="U18" s="3" t="n">
        <v>0.5062</v>
      </c>
      <c r="V18" s="3" t="n">
        <v>2.025</v>
      </c>
      <c r="W18" s="3">
        <f>IF(V18="",IFERROR(VLOOKUP($C18,Assumptions!$A$4:$F$7,6,FALSE),0),V18)</f>
        <v/>
      </c>
      <c r="X18" s="3">
        <f>N(O18)*IFERROR(VLOOKUP($C18,Assumptions!$A$4:$F$7,2,FALSE),0)</f>
        <v/>
      </c>
      <c r="Y18" s="3">
        <f>N(S18)*IFERROR(VLOOKUP($C18,Assumptions!$A$4:$F$7,3,FALSE),0)*Assumptions!$B$11</f>
        <v/>
      </c>
      <c r="Z18" s="3">
        <f>N(N18)*IFERROR(VLOOKUP($C18,Assumptions!$A$4:$F$7,4,FALSE),0)</f>
        <v/>
      </c>
      <c r="AA18" s="3">
        <f>N(T18)*IFERROR(VLOOKUP($C18,Assumptions!$A$4:$F$7,5,FALSE),0)</f>
        <v/>
      </c>
      <c r="AB18" s="3">
        <f>N(U18)</f>
        <v/>
      </c>
      <c r="AC18" s="3">
        <f>SUM(W18:AB18)</f>
        <v/>
      </c>
      <c r="AD18" s="3">
        <f>N(AC18)*N(M18)/90</f>
        <v/>
      </c>
      <c r="AE18" s="3">
        <f>IFERROR(AD18-VLOOKUP($C18,Assumptions!$A$29:$C$32,3,FALSE),"")</f>
        <v/>
      </c>
      <c r="AF18" s="3">
        <f>IFERROR(AE18/F18,"")</f>
        <v/>
      </c>
      <c r="AG18">
        <f>IF(AND($E18=TRUE,$C18="GKP"),AD18,"")</f>
        <v/>
      </c>
      <c r="AH18">
        <f>IF(AND($E18=TRUE,$C18="DEF"),AD18,"")</f>
        <v/>
      </c>
      <c r="AI18">
        <f>IF(AND($E18=TRUE,$C18="MID"),AD18,"")</f>
        <v/>
      </c>
      <c r="AJ18">
        <f>IF(AND($E18=TRUE,$C18="FWD"),AD18,"")</f>
        <v/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b">
        <v>1</v>
      </c>
      <c r="F19" s="2" t="n">
        <v>6</v>
      </c>
      <c r="G19" t="inlineStr">
        <is>
          <t>a</t>
        </is>
      </c>
      <c r="I19" s="2" t="n">
        <v>3330</v>
      </c>
      <c r="J19" t="n">
        <v>162</v>
      </c>
      <c r="K19" s="3" t="n">
        <v>3385</v>
      </c>
      <c r="L19" t="inlineStr">
        <is>
          <t>flat</t>
        </is>
      </c>
      <c r="M19" s="4" t="n">
        <v>3330</v>
      </c>
      <c r="N19" s="4" t="n">
        <v>0.5</v>
      </c>
      <c r="O19" s="3" t="n">
        <v>0</v>
      </c>
      <c r="P19" t="inlineStr">
        <is>
          <t>adjusted xGOT</t>
        </is>
      </c>
      <c r="Q19" s="3" t="n">
        <v>0.986</v>
      </c>
      <c r="R19" s="3" t="n">
        <v>0.1</v>
      </c>
      <c r="S19" s="3" t="n">
        <v>0.003</v>
      </c>
      <c r="T19" s="3" t="n">
        <v>0</v>
      </c>
      <c r="U19" s="3" t="n">
        <v>0.2973</v>
      </c>
      <c r="V19" s="3" t="n">
        <v>2</v>
      </c>
      <c r="W19" s="3">
        <f>IF(V19="",IFERROR(VLOOKUP($C19,Assumptions!$A$4:$F$7,6,FALSE),0),V19)</f>
        <v/>
      </c>
      <c r="X19" s="3">
        <f>N(O19)*IFERROR(VLOOKUP($C19,Assumptions!$A$4:$F$7,2,FALSE),0)</f>
        <v/>
      </c>
      <c r="Y19" s="3">
        <f>N(S19)*IFERROR(VLOOKUP($C19,Assumptions!$A$4:$F$7,3,FALSE),0)*Assumptions!$B$11</f>
        <v/>
      </c>
      <c r="Z19" s="3">
        <f>N(N19)*IFERROR(VLOOKUP($C19,Assumptions!$A$4:$F$7,4,FALSE),0)</f>
        <v/>
      </c>
      <c r="AA19" s="3">
        <f>N(T19)*IFERROR(VLOOKUP($C19,Assumptions!$A$4:$F$7,5,FALSE),0)</f>
        <v/>
      </c>
      <c r="AB19" s="3">
        <f>N(U19)</f>
        <v/>
      </c>
      <c r="AC19" s="3">
        <f>SUM(W19:AB19)</f>
        <v/>
      </c>
      <c r="AD19" s="3">
        <f>N(AC19)*N(M19)/90</f>
        <v/>
      </c>
      <c r="AE19" s="3">
        <f>IFERROR(AD19-VLOOKUP($C19,Assumptions!$A$29:$C$32,3,FALSE),"")</f>
        <v/>
      </c>
      <c r="AF19" s="3">
        <f>IFERROR(AE19/F19,"")</f>
        <v/>
      </c>
      <c r="AG19">
        <f>IF(AND($E19=TRUE,$C19="GKP"),AD19,"")</f>
        <v/>
      </c>
      <c r="AH19">
        <f>IF(AND($E19=TRUE,$C19="DEF"),AD19,"")</f>
        <v/>
      </c>
      <c r="AI19">
        <f>IF(AND($E19=TRUE,$C19="MID"),AD19,"")</f>
        <v/>
      </c>
      <c r="AJ19">
        <f>IF(AND($E19=TRUE,$C19="FWD"),AD19,"")</f>
        <v/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b">
        <v>1</v>
      </c>
      <c r="F20" s="2" t="n">
        <v>7</v>
      </c>
      <c r="G20" t="inlineStr">
        <is>
          <t>a</t>
        </is>
      </c>
      <c r="I20" s="2" t="n">
        <v>3232</v>
      </c>
      <c r="J20" t="n">
        <v>160</v>
      </c>
      <c r="K20" s="3" t="n">
        <v>3344</v>
      </c>
      <c r="L20" t="inlineStr">
        <is>
          <t>flat</t>
        </is>
      </c>
      <c r="M20" s="4" t="n">
        <v>3232</v>
      </c>
      <c r="N20" s="4" t="n">
        <v>0.263</v>
      </c>
      <c r="O20" s="3" t="n">
        <v>0.1056</v>
      </c>
      <c r="P20" t="inlineStr">
        <is>
          <t>adjusted xGOT</t>
        </is>
      </c>
      <c r="Q20" s="3" t="n">
        <v>0.797</v>
      </c>
      <c r="R20" s="3" t="n">
        <v>15.3</v>
      </c>
      <c r="S20" s="3" t="n">
        <v>0.2181</v>
      </c>
      <c r="T20" s="3" t="n">
        <v>0.278</v>
      </c>
      <c r="U20" s="3" t="n">
        <v>0.5848</v>
      </c>
      <c r="V20" s="3" t="n">
        <v>2.005</v>
      </c>
      <c r="W20" s="3">
        <f>IF(V20="",IFERROR(VLOOKUP($C20,Assumptions!$A$4:$F$7,6,FALSE),0),V20)</f>
        <v/>
      </c>
      <c r="X20" s="3">
        <f>N(O20)*IFERROR(VLOOKUP($C20,Assumptions!$A$4:$F$7,2,FALSE),0)</f>
        <v/>
      </c>
      <c r="Y20" s="3">
        <f>N(S20)*IFERROR(VLOOKUP($C20,Assumptions!$A$4:$F$7,3,FALSE),0)*Assumptions!$B$11</f>
        <v/>
      </c>
      <c r="Z20" s="3">
        <f>N(N20)*IFERROR(VLOOKUP($C20,Assumptions!$A$4:$F$7,4,FALSE),0)</f>
        <v/>
      </c>
      <c r="AA20" s="3">
        <f>N(T20)*IFERROR(VLOOKUP($C20,Assumptions!$A$4:$F$7,5,FALSE),0)</f>
        <v/>
      </c>
      <c r="AB20" s="3">
        <f>N(U20)</f>
        <v/>
      </c>
      <c r="AC20" s="3">
        <f>SUM(W20:AB20)</f>
        <v/>
      </c>
      <c r="AD20" s="3">
        <f>N(AC20)*N(M20)/90</f>
        <v/>
      </c>
      <c r="AE20" s="3">
        <f>IFERROR(AD20-VLOOKUP($C20,Assumptions!$A$29:$C$32,3,FALSE),"")</f>
        <v/>
      </c>
      <c r="AF20" s="3">
        <f>IFERROR(AE20/F20,"")</f>
        <v/>
      </c>
      <c r="AG20">
        <f>IF(AND($E20=TRUE,$C20="GKP"),AD20,"")</f>
        <v/>
      </c>
      <c r="AH20">
        <f>IF(AND($E20=TRUE,$C20="DEF"),AD20,"")</f>
        <v/>
      </c>
      <c r="AI20">
        <f>IF(AND($E20=TRUE,$C20="MID"),AD20,"")</f>
        <v/>
      </c>
      <c r="AJ20">
        <f>IF(AND($E20=TRUE,$C20="FWD"),AD20,"")</f>
        <v/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b">
        <v>1</v>
      </c>
      <c r="F21" s="2" t="n">
        <v>6.5</v>
      </c>
      <c r="G21" t="inlineStr">
        <is>
          <t>a</t>
        </is>
      </c>
      <c r="I21" s="2" t="n">
        <v>2643</v>
      </c>
      <c r="J21" t="n">
        <v>160</v>
      </c>
      <c r="K21" s="3" t="n">
        <v>2753</v>
      </c>
      <c r="L21" t="inlineStr">
        <is>
          <t>flat</t>
        </is>
      </c>
      <c r="M21" s="4" t="n">
        <v>2643</v>
      </c>
      <c r="N21" s="4" t="n">
        <v>0.421</v>
      </c>
      <c r="O21" s="3" t="n">
        <v>0.2165</v>
      </c>
      <c r="P21" t="inlineStr">
        <is>
          <t>adjusted xGOT</t>
        </is>
      </c>
      <c r="Q21" s="3" t="n">
        <v>1.039</v>
      </c>
      <c r="R21" s="3" t="n">
        <v>7.4</v>
      </c>
      <c r="S21" s="3" t="n">
        <v>0.111</v>
      </c>
      <c r="T21" s="3" t="n">
        <v>0.034</v>
      </c>
      <c r="U21" s="3" t="n">
        <v>0.3746</v>
      </c>
      <c r="V21" s="3" t="n">
        <v>2.111</v>
      </c>
      <c r="W21" s="3">
        <f>IF(V21="",IFERROR(VLOOKUP($C21,Assumptions!$A$4:$F$7,6,FALSE),0),V21)</f>
        <v/>
      </c>
      <c r="X21" s="3">
        <f>N(O21)*IFERROR(VLOOKUP($C21,Assumptions!$A$4:$F$7,2,FALSE),0)</f>
        <v/>
      </c>
      <c r="Y21" s="3">
        <f>N(S21)*IFERROR(VLOOKUP($C21,Assumptions!$A$4:$F$7,3,FALSE),0)*Assumptions!$B$11</f>
        <v/>
      </c>
      <c r="Z21" s="3">
        <f>N(N21)*IFERROR(VLOOKUP($C21,Assumptions!$A$4:$F$7,4,FALSE),0)</f>
        <v/>
      </c>
      <c r="AA21" s="3">
        <f>N(T21)*IFERROR(VLOOKUP($C21,Assumptions!$A$4:$F$7,5,FALSE),0)</f>
        <v/>
      </c>
      <c r="AB21" s="3">
        <f>N(U21)</f>
        <v/>
      </c>
      <c r="AC21" s="3">
        <f>SUM(W21:AB21)</f>
        <v/>
      </c>
      <c r="AD21" s="3">
        <f>N(AC21)*N(M21)/90</f>
        <v/>
      </c>
      <c r="AE21" s="3">
        <f>IFERROR(AD21-VLOOKUP($C21,Assumptions!$A$29:$C$32,3,FALSE),"")</f>
        <v/>
      </c>
      <c r="AF21" s="3">
        <f>IFERROR(AE21/F21,"")</f>
        <v/>
      </c>
      <c r="AG21">
        <f>IF(AND($E21=TRUE,$C21="GKP"),AD21,"")</f>
        <v/>
      </c>
      <c r="AH21">
        <f>IF(AND($E21=TRUE,$C21="DEF"),AD21,"")</f>
        <v/>
      </c>
      <c r="AI21">
        <f>IF(AND($E21=TRUE,$C21="MID"),AD21,"")</f>
        <v/>
      </c>
      <c r="AJ21">
        <f>IF(AND($E21=TRUE,$C21="FWD"),AD21,"")</f>
        <v/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b">
        <v>1</v>
      </c>
      <c r="F22" s="2" t="n">
        <v>6</v>
      </c>
      <c r="G22" t="inlineStr">
        <is>
          <t>i</t>
        </is>
      </c>
      <c r="H22" t="inlineStr">
        <is>
          <t>Groin injury - Expected back 22 Aug</t>
        </is>
      </c>
      <c r="I22" s="2" t="n">
        <v>3413</v>
      </c>
      <c r="J22" t="n">
        <v>159</v>
      </c>
      <c r="K22" s="3" t="n">
        <v>3310</v>
      </c>
      <c r="L22" t="inlineStr">
        <is>
          <t>flat</t>
        </is>
      </c>
      <c r="M22" s="4" t="n">
        <v>3413</v>
      </c>
      <c r="N22" s="4" t="n">
        <v>0.29</v>
      </c>
      <c r="O22" s="3" t="n">
        <v>0.0507</v>
      </c>
      <c r="P22" t="inlineStr">
        <is>
          <t>adjusted xGOT</t>
        </is>
      </c>
      <c r="Q22" s="3" t="n">
        <v>0.916</v>
      </c>
      <c r="R22" s="3" t="n">
        <v>6.1</v>
      </c>
      <c r="S22" s="3" t="n">
        <v>0.1615</v>
      </c>
      <c r="T22" s="3" t="n">
        <v>0.526</v>
      </c>
      <c r="U22" s="3" t="n">
        <v>0.3164</v>
      </c>
      <c r="V22" s="3" t="n">
        <v>2.004</v>
      </c>
      <c r="W22" s="3">
        <f>IF(V22="",IFERROR(VLOOKUP($C22,Assumptions!$A$4:$F$7,6,FALSE),0),V22)</f>
        <v/>
      </c>
      <c r="X22" s="3">
        <f>N(O22)*IFERROR(VLOOKUP($C22,Assumptions!$A$4:$F$7,2,FALSE),0)</f>
        <v/>
      </c>
      <c r="Y22" s="3">
        <f>N(S22)*IFERROR(VLOOKUP($C22,Assumptions!$A$4:$F$7,3,FALSE),0)*Assumptions!$B$11</f>
        <v/>
      </c>
      <c r="Z22" s="3">
        <f>N(N22)*IFERROR(VLOOKUP($C22,Assumptions!$A$4:$F$7,4,FALSE),0)</f>
        <v/>
      </c>
      <c r="AA22" s="3">
        <f>N(T22)*IFERROR(VLOOKUP($C22,Assumptions!$A$4:$F$7,5,FALSE),0)</f>
        <v/>
      </c>
      <c r="AB22" s="3">
        <f>N(U22)</f>
        <v/>
      </c>
      <c r="AC22" s="3">
        <f>SUM(W22:AB22)</f>
        <v/>
      </c>
      <c r="AD22" s="3">
        <f>N(AC22)*N(M22)/90</f>
        <v/>
      </c>
      <c r="AE22" s="3">
        <f>IFERROR(AD22-VLOOKUP($C22,Assumptions!$A$29:$C$32,3,FALSE),"")</f>
        <v/>
      </c>
      <c r="AF22" s="3">
        <f>IFERROR(AE22/F22,"")</f>
        <v/>
      </c>
      <c r="AG22">
        <f>IF(AND($E22=TRUE,$C22="GKP"),AD22,"")</f>
        <v/>
      </c>
      <c r="AH22">
        <f>IF(AND($E22=TRUE,$C22="DEF"),AD22,"")</f>
        <v/>
      </c>
      <c r="AI22">
        <f>IF(AND($E22=TRUE,$C22="MID"),AD22,"")</f>
        <v/>
      </c>
      <c r="AJ22">
        <f>IF(AND($E22=TRUE,$C22="FWD"),AD22,"")</f>
        <v/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b">
        <v>1</v>
      </c>
      <c r="F23" s="2" t="n">
        <v>7</v>
      </c>
      <c r="G23" t="inlineStr">
        <is>
          <t>a</t>
        </is>
      </c>
      <c r="I23" s="2" t="n">
        <v>3114</v>
      </c>
      <c r="J23" t="n">
        <v>157</v>
      </c>
      <c r="K23" s="3" t="n">
        <v>3146</v>
      </c>
      <c r="L23" t="inlineStr">
        <is>
          <t>flat</t>
        </is>
      </c>
      <c r="M23" s="4" t="n">
        <v>3114</v>
      </c>
      <c r="N23" s="4" t="n">
        <v>0.237</v>
      </c>
      <c r="O23" s="3" t="n">
        <v>0.3449</v>
      </c>
      <c r="P23" t="inlineStr">
        <is>
          <t>adjusted xGOT</t>
        </is>
      </c>
      <c r="Q23" s="3" t="n">
        <v>1.06</v>
      </c>
      <c r="R23" s="3" t="n">
        <v>24</v>
      </c>
      <c r="S23" s="3" t="n">
        <v>0.233</v>
      </c>
      <c r="T23" s="3" t="n">
        <v>0.057</v>
      </c>
      <c r="U23" s="3" t="n">
        <v>0.5491</v>
      </c>
      <c r="V23" s="3" t="n">
        <v>2.052</v>
      </c>
      <c r="W23" s="3">
        <f>IF(V23="",IFERROR(VLOOKUP($C23,Assumptions!$A$4:$F$7,6,FALSE),0),V23)</f>
        <v/>
      </c>
      <c r="X23" s="3">
        <f>N(O23)*IFERROR(VLOOKUP($C23,Assumptions!$A$4:$F$7,2,FALSE),0)</f>
        <v/>
      </c>
      <c r="Y23" s="3">
        <f>N(S23)*IFERROR(VLOOKUP($C23,Assumptions!$A$4:$F$7,3,FALSE),0)*Assumptions!$B$11</f>
        <v/>
      </c>
      <c r="Z23" s="3">
        <f>N(N23)*IFERROR(VLOOKUP($C23,Assumptions!$A$4:$F$7,4,FALSE),0)</f>
        <v/>
      </c>
      <c r="AA23" s="3">
        <f>N(T23)*IFERROR(VLOOKUP($C23,Assumptions!$A$4:$F$7,5,FALSE),0)</f>
        <v/>
      </c>
      <c r="AB23" s="3">
        <f>N(U23)</f>
        <v/>
      </c>
      <c r="AC23" s="3">
        <f>SUM(W23:AB23)</f>
        <v/>
      </c>
      <c r="AD23" s="3">
        <f>N(AC23)*N(M23)/90</f>
        <v/>
      </c>
      <c r="AE23" s="3">
        <f>IFERROR(AD23-VLOOKUP($C23,Assumptions!$A$29:$C$32,3,FALSE),"")</f>
        <v/>
      </c>
      <c r="AF23" s="3">
        <f>IFERROR(AE23/F23,"")</f>
        <v/>
      </c>
      <c r="AG23">
        <f>IF(AND($E23=TRUE,$C23="GKP"),AD23,"")</f>
        <v/>
      </c>
      <c r="AH23">
        <f>IF(AND($E23=TRUE,$C23="DEF"),AD23,"")</f>
        <v/>
      </c>
      <c r="AI23">
        <f>IF(AND($E23=TRUE,$C23="MID"),AD23,"")</f>
        <v/>
      </c>
      <c r="AJ23">
        <f>IF(AND($E23=TRUE,$C23="FWD"),AD23,"")</f>
        <v/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b">
        <v>1</v>
      </c>
      <c r="F24" s="2" t="n">
        <v>9.5</v>
      </c>
      <c r="G24" t="inlineStr">
        <is>
          <t>a</t>
        </is>
      </c>
      <c r="I24" s="2" t="n">
        <v>2218</v>
      </c>
      <c r="J24" t="n">
        <v>157</v>
      </c>
      <c r="K24" s="3" t="n">
        <v>2827</v>
      </c>
      <c r="L24" t="inlineStr">
        <is>
          <t>flat</t>
        </is>
      </c>
      <c r="M24" s="4" t="n">
        <v>2218</v>
      </c>
      <c r="N24" s="4" t="n">
        <v>0.5</v>
      </c>
      <c r="O24" s="3" t="n">
        <v>0.2958</v>
      </c>
      <c r="P24" t="inlineStr">
        <is>
          <t>adjusted xGOT</t>
        </is>
      </c>
      <c r="Q24" s="3" t="n">
        <v>0.963</v>
      </c>
      <c r="R24" s="3" t="n">
        <v>41.3</v>
      </c>
      <c r="S24" s="3" t="n">
        <v>0.3188</v>
      </c>
      <c r="T24" s="3" t="n">
        <v>0.2</v>
      </c>
      <c r="U24" s="3" t="n">
        <v>0.6492</v>
      </c>
      <c r="V24" s="3" t="n">
        <v>2.191</v>
      </c>
      <c r="W24" s="3">
        <f>IF(V24="",IFERROR(VLOOKUP($C24,Assumptions!$A$4:$F$7,6,FALSE),0),V24)</f>
        <v/>
      </c>
      <c r="X24" s="3">
        <f>N(O24)*IFERROR(VLOOKUP($C24,Assumptions!$A$4:$F$7,2,FALSE),0)</f>
        <v/>
      </c>
      <c r="Y24" s="3">
        <f>N(S24)*IFERROR(VLOOKUP($C24,Assumptions!$A$4:$F$7,3,FALSE),0)*Assumptions!$B$11</f>
        <v/>
      </c>
      <c r="Z24" s="3">
        <f>N(N24)*IFERROR(VLOOKUP($C24,Assumptions!$A$4:$F$7,4,FALSE),0)</f>
        <v/>
      </c>
      <c r="AA24" s="3">
        <f>N(T24)*IFERROR(VLOOKUP($C24,Assumptions!$A$4:$F$7,5,FALSE),0)</f>
        <v/>
      </c>
      <c r="AB24" s="3">
        <f>N(U24)</f>
        <v/>
      </c>
      <c r="AC24" s="3">
        <f>SUM(W24:AB24)</f>
        <v/>
      </c>
      <c r="AD24" s="3">
        <f>N(AC24)*N(M24)/90</f>
        <v/>
      </c>
      <c r="AE24" s="3">
        <f>IFERROR(AD24-VLOOKUP($C24,Assumptions!$A$29:$C$32,3,FALSE),"")</f>
        <v/>
      </c>
      <c r="AF24" s="3">
        <f>IFERROR(AE24/F24,"")</f>
        <v/>
      </c>
      <c r="AG24">
        <f>IF(AND($E24=TRUE,$C24="GKP"),AD24,"")</f>
        <v/>
      </c>
      <c r="AH24">
        <f>IF(AND($E24=TRUE,$C24="DEF"),AD24,"")</f>
        <v/>
      </c>
      <c r="AI24">
        <f>IF(AND($E24=TRUE,$C24="MID"),AD24,"")</f>
        <v/>
      </c>
      <c r="AJ24">
        <f>IF(AND($E24=TRUE,$C24="FWD"),AD24,"")</f>
        <v/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b">
        <v>1</v>
      </c>
      <c r="F25" s="2" t="n">
        <v>6</v>
      </c>
      <c r="G25" t="inlineStr">
        <is>
          <t>a</t>
        </is>
      </c>
      <c r="I25" s="2" t="n">
        <v>3085</v>
      </c>
      <c r="J25" t="n">
        <v>154</v>
      </c>
      <c r="K25" s="3" t="n">
        <v>2189</v>
      </c>
      <c r="L25" t="inlineStr">
        <is>
          <t>flat</t>
        </is>
      </c>
      <c r="M25" s="4" t="n">
        <v>3085</v>
      </c>
      <c r="N25" s="4" t="n">
        <v>0.237</v>
      </c>
      <c r="O25" s="3" t="n">
        <v>0.0574</v>
      </c>
      <c r="P25" t="inlineStr">
        <is>
          <t>adjusted xGOT</t>
        </is>
      </c>
      <c r="Q25" s="3" t="n">
        <v>0.803</v>
      </c>
      <c r="R25" s="3" t="n">
        <v>6</v>
      </c>
      <c r="S25" s="3" t="n">
        <v>0.0309</v>
      </c>
      <c r="T25" s="3" t="n">
        <v>0.571</v>
      </c>
      <c r="U25" s="3" t="n">
        <v>0.3501</v>
      </c>
      <c r="V25" s="3" t="n">
        <v>2.013</v>
      </c>
      <c r="W25" s="3">
        <f>IF(V25="",IFERROR(VLOOKUP($C25,Assumptions!$A$4:$F$7,6,FALSE),0),V25)</f>
        <v/>
      </c>
      <c r="X25" s="3">
        <f>N(O25)*IFERROR(VLOOKUP($C25,Assumptions!$A$4:$F$7,2,FALSE),0)</f>
        <v/>
      </c>
      <c r="Y25" s="3">
        <f>N(S25)*IFERROR(VLOOKUP($C25,Assumptions!$A$4:$F$7,3,FALSE),0)*Assumptions!$B$11</f>
        <v/>
      </c>
      <c r="Z25" s="3">
        <f>N(N25)*IFERROR(VLOOKUP($C25,Assumptions!$A$4:$F$7,4,FALSE),0)</f>
        <v/>
      </c>
      <c r="AA25" s="3">
        <f>N(T25)*IFERROR(VLOOKUP($C25,Assumptions!$A$4:$F$7,5,FALSE),0)</f>
        <v/>
      </c>
      <c r="AB25" s="3">
        <f>N(U25)</f>
        <v/>
      </c>
      <c r="AC25" s="3">
        <f>SUM(W25:AB25)</f>
        <v/>
      </c>
      <c r="AD25" s="3">
        <f>N(AC25)*N(M25)/90</f>
        <v/>
      </c>
      <c r="AE25" s="3">
        <f>IFERROR(AD25-VLOOKUP($C25,Assumptions!$A$29:$C$32,3,FALSE),"")</f>
        <v/>
      </c>
      <c r="AF25" s="3">
        <f>IFERROR(AE25/F25,"")</f>
        <v/>
      </c>
      <c r="AG25">
        <f>IF(AND($E25=TRUE,$C25="GKP"),AD25,"")</f>
        <v/>
      </c>
      <c r="AH25">
        <f>IF(AND($E25=TRUE,$C25="DEF"),AD25,"")</f>
        <v/>
      </c>
      <c r="AI25">
        <f>IF(AND($E25=TRUE,$C25="MID"),AD25,"")</f>
        <v/>
      </c>
      <c r="AJ25">
        <f>IF(AND($E25=TRUE,$C25="FWD"),AD25,"")</f>
        <v/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b">
        <v>1</v>
      </c>
      <c r="F26" s="2" t="n">
        <v>7</v>
      </c>
      <c r="G26" t="inlineStr">
        <is>
          <t>a</t>
        </is>
      </c>
      <c r="I26" s="2" t="n">
        <v>2456</v>
      </c>
      <c r="J26" t="n">
        <v>154</v>
      </c>
      <c r="K26" s="3" t="n">
        <v>2816</v>
      </c>
      <c r="L26" t="inlineStr">
        <is>
          <t>flat</t>
        </is>
      </c>
      <c r="M26" s="4" t="n">
        <v>2456</v>
      </c>
      <c r="N26" s="4" t="n">
        <v>0.5</v>
      </c>
      <c r="O26" s="3" t="n">
        <v>0.2267</v>
      </c>
      <c r="P26" t="inlineStr">
        <is>
          <t>adjusted xGOT</t>
        </is>
      </c>
      <c r="Q26" s="3" t="n">
        <v>1.107</v>
      </c>
      <c r="R26" s="3" t="n">
        <v>17.7</v>
      </c>
      <c r="S26" s="3" t="n">
        <v>0.1618</v>
      </c>
      <c r="T26" s="3" t="n">
        <v>0.185</v>
      </c>
      <c r="U26" s="3" t="n">
        <v>0.8062</v>
      </c>
      <c r="V26" s="3" t="n">
        <v>2.052</v>
      </c>
      <c r="W26" s="3">
        <f>IF(V26="",IFERROR(VLOOKUP($C26,Assumptions!$A$4:$F$7,6,FALSE),0),V26)</f>
        <v/>
      </c>
      <c r="X26" s="3">
        <f>N(O26)*IFERROR(VLOOKUP($C26,Assumptions!$A$4:$F$7,2,FALSE),0)</f>
        <v/>
      </c>
      <c r="Y26" s="3">
        <f>N(S26)*IFERROR(VLOOKUP($C26,Assumptions!$A$4:$F$7,3,FALSE),0)*Assumptions!$B$11</f>
        <v/>
      </c>
      <c r="Z26" s="3">
        <f>N(N26)*IFERROR(VLOOKUP($C26,Assumptions!$A$4:$F$7,4,FALSE),0)</f>
        <v/>
      </c>
      <c r="AA26" s="3">
        <f>N(T26)*IFERROR(VLOOKUP($C26,Assumptions!$A$4:$F$7,5,FALSE),0)</f>
        <v/>
      </c>
      <c r="AB26" s="3">
        <f>N(U26)</f>
        <v/>
      </c>
      <c r="AC26" s="3">
        <f>SUM(W26:AB26)</f>
        <v/>
      </c>
      <c r="AD26" s="3">
        <f>N(AC26)*N(M26)/90</f>
        <v/>
      </c>
      <c r="AE26" s="3">
        <f>IFERROR(AD26-VLOOKUP($C26,Assumptions!$A$29:$C$32,3,FALSE),"")</f>
        <v/>
      </c>
      <c r="AF26" s="3">
        <f>IFERROR(AE26/F26,"")</f>
        <v/>
      </c>
      <c r="AG26">
        <f>IF(AND($E26=TRUE,$C26="GKP"),AD26,"")</f>
        <v/>
      </c>
      <c r="AH26">
        <f>IF(AND($E26=TRUE,$C26="DEF"),AD26,"")</f>
        <v/>
      </c>
      <c r="AI26">
        <f>IF(AND($E26=TRUE,$C26="MID"),AD26,"")</f>
        <v/>
      </c>
      <c r="AJ26">
        <f>IF(AND($E26=TRUE,$C26="FWD"),AD26,"")</f>
        <v/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b">
        <v>1</v>
      </c>
      <c r="F27" s="2" t="n">
        <v>6</v>
      </c>
      <c r="G27" t="inlineStr">
        <is>
          <t>a</t>
        </is>
      </c>
      <c r="I27" s="2" t="n">
        <v>2861</v>
      </c>
      <c r="J27" t="n">
        <v>154</v>
      </c>
      <c r="K27" s="3" t="n">
        <v>2896</v>
      </c>
      <c r="L27" t="inlineStr">
        <is>
          <t>flat</t>
        </is>
      </c>
      <c r="M27" s="4" t="n">
        <v>2861</v>
      </c>
      <c r="N27" s="4" t="n">
        <v>0.421</v>
      </c>
      <c r="O27" s="3" t="n">
        <v>0.0105</v>
      </c>
      <c r="P27" t="inlineStr">
        <is>
          <t>adjusted xGOT</t>
        </is>
      </c>
      <c r="Q27" s="3" t="n">
        <v>0.98</v>
      </c>
      <c r="R27" s="3" t="n">
        <v>4.8</v>
      </c>
      <c r="S27" s="3" t="n">
        <v>0.0838</v>
      </c>
      <c r="T27" s="3" t="n">
        <v>0.125</v>
      </c>
      <c r="U27" s="3" t="n">
        <v>0.5033</v>
      </c>
      <c r="V27" s="3" t="n">
        <v>2.013</v>
      </c>
      <c r="W27" s="3">
        <f>IF(V27="",IFERROR(VLOOKUP($C27,Assumptions!$A$4:$F$7,6,FALSE),0),V27)</f>
        <v/>
      </c>
      <c r="X27" s="3">
        <f>N(O27)*IFERROR(VLOOKUP($C27,Assumptions!$A$4:$F$7,2,FALSE),0)</f>
        <v/>
      </c>
      <c r="Y27" s="3">
        <f>N(S27)*IFERROR(VLOOKUP($C27,Assumptions!$A$4:$F$7,3,FALSE),0)*Assumptions!$B$11</f>
        <v/>
      </c>
      <c r="Z27" s="3">
        <f>N(N27)*IFERROR(VLOOKUP($C27,Assumptions!$A$4:$F$7,4,FALSE),0)</f>
        <v/>
      </c>
      <c r="AA27" s="3">
        <f>N(T27)*IFERROR(VLOOKUP($C27,Assumptions!$A$4:$F$7,5,FALSE),0)</f>
        <v/>
      </c>
      <c r="AB27" s="3">
        <f>N(U27)</f>
        <v/>
      </c>
      <c r="AC27" s="3">
        <f>SUM(W27:AB27)</f>
        <v/>
      </c>
      <c r="AD27" s="3">
        <f>N(AC27)*N(M27)/90</f>
        <v/>
      </c>
      <c r="AE27" s="3">
        <f>IFERROR(AD27-VLOOKUP($C27,Assumptions!$A$29:$C$32,3,FALSE),"")</f>
        <v/>
      </c>
      <c r="AF27" s="3">
        <f>IFERROR(AE27/F27,"")</f>
        <v/>
      </c>
      <c r="AG27">
        <f>IF(AND($E27=TRUE,$C27="GKP"),AD27,"")</f>
        <v/>
      </c>
      <c r="AH27">
        <f>IF(AND($E27=TRUE,$C27="DEF"),AD27,"")</f>
        <v/>
      </c>
      <c r="AI27">
        <f>IF(AND($E27=TRUE,$C27="MID"),AD27,"")</f>
        <v/>
      </c>
      <c r="AJ27">
        <f>IF(AND($E27=TRUE,$C27="FWD"),AD27,"")</f>
        <v/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b">
        <v>1</v>
      </c>
      <c r="F28" s="2" t="n">
        <v>5.5</v>
      </c>
      <c r="G28" t="inlineStr">
        <is>
          <t>d</t>
        </is>
      </c>
      <c r="H28" t="inlineStr">
        <is>
          <t>Knock - 75% chance of playing</t>
        </is>
      </c>
      <c r="I28" s="2" t="n">
        <v>2784</v>
      </c>
      <c r="J28" t="n">
        <v>151</v>
      </c>
      <c r="K28" s="3" t="n">
        <v>3312</v>
      </c>
      <c r="L28" t="inlineStr">
        <is>
          <t>flat</t>
        </is>
      </c>
      <c r="M28" s="4" t="n">
        <v>2784</v>
      </c>
      <c r="N28" s="4" t="n">
        <v>0.29</v>
      </c>
      <c r="O28" s="3" t="n">
        <v>0.0506</v>
      </c>
      <c r="P28" t="inlineStr">
        <is>
          <t>adjusted xGOT</t>
        </is>
      </c>
      <c r="Q28" s="3" t="n">
        <v>0.967</v>
      </c>
      <c r="R28" s="3" t="n">
        <v>1.6</v>
      </c>
      <c r="S28" s="3" t="n">
        <v>0.0873</v>
      </c>
      <c r="T28" s="3" t="n">
        <v>0.406</v>
      </c>
      <c r="U28" s="3" t="n">
        <v>0.3556</v>
      </c>
      <c r="V28" s="3" t="n">
        <v>2.037</v>
      </c>
      <c r="W28" s="3">
        <f>IF(V28="",IFERROR(VLOOKUP($C28,Assumptions!$A$4:$F$7,6,FALSE),0),V28)</f>
        <v/>
      </c>
      <c r="X28" s="3">
        <f>N(O28)*IFERROR(VLOOKUP($C28,Assumptions!$A$4:$F$7,2,FALSE),0)</f>
        <v/>
      </c>
      <c r="Y28" s="3">
        <f>N(S28)*IFERROR(VLOOKUP($C28,Assumptions!$A$4:$F$7,3,FALSE),0)*Assumptions!$B$11</f>
        <v/>
      </c>
      <c r="Z28" s="3">
        <f>N(N28)*IFERROR(VLOOKUP($C28,Assumptions!$A$4:$F$7,4,FALSE),0)</f>
        <v/>
      </c>
      <c r="AA28" s="3">
        <f>N(T28)*IFERROR(VLOOKUP($C28,Assumptions!$A$4:$F$7,5,FALSE),0)</f>
        <v/>
      </c>
      <c r="AB28" s="3">
        <f>N(U28)</f>
        <v/>
      </c>
      <c r="AC28" s="3">
        <f>SUM(W28:AB28)</f>
        <v/>
      </c>
      <c r="AD28" s="3">
        <f>N(AC28)*N(M28)/90</f>
        <v/>
      </c>
      <c r="AE28" s="3">
        <f>IFERROR(AD28-VLOOKUP($C28,Assumptions!$A$29:$C$32,3,FALSE),"")</f>
        <v/>
      </c>
      <c r="AF28" s="3">
        <f>IFERROR(AE28/F28,"")</f>
        <v/>
      </c>
      <c r="AG28">
        <f>IF(AND($E28=TRUE,$C28="GKP"),AD28,"")</f>
        <v/>
      </c>
      <c r="AH28">
        <f>IF(AND($E28=TRUE,$C28="DEF"),AD28,"")</f>
        <v/>
      </c>
      <c r="AI28">
        <f>IF(AND($E28=TRUE,$C28="MID"),AD28,"")</f>
        <v/>
      </c>
      <c r="AJ28">
        <f>IF(AND($E28=TRUE,$C28="FWD"),AD28,"")</f>
        <v/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b">
        <v>1</v>
      </c>
      <c r="F29" s="2" t="n">
        <v>6.5</v>
      </c>
      <c r="G29" t="inlineStr">
        <is>
          <t>a</t>
        </is>
      </c>
      <c r="I29" s="2" t="n">
        <v>2629</v>
      </c>
      <c r="J29" t="n">
        <v>151</v>
      </c>
      <c r="K29" s="3" t="n">
        <v>3152</v>
      </c>
      <c r="L29" t="inlineStr">
        <is>
          <t>flat</t>
        </is>
      </c>
      <c r="M29" s="4" t="n">
        <v>2629</v>
      </c>
      <c r="N29" s="4" t="n">
        <v>0.29</v>
      </c>
      <c r="O29" s="3" t="n">
        <v>0.1525</v>
      </c>
      <c r="P29" t="inlineStr">
        <is>
          <t>adjusted xGOT</t>
        </is>
      </c>
      <c r="Q29" s="3" t="n">
        <v>1.024</v>
      </c>
      <c r="R29" s="3" t="n">
        <v>6.7</v>
      </c>
      <c r="S29" s="3" t="n">
        <v>0.2039</v>
      </c>
      <c r="T29" s="3" t="n">
        <v>0.167</v>
      </c>
      <c r="U29" s="3" t="n">
        <v>0.6162</v>
      </c>
      <c r="V29" s="3" t="n">
        <v>2.054</v>
      </c>
      <c r="W29" s="3">
        <f>IF(V29="",IFERROR(VLOOKUP($C29,Assumptions!$A$4:$F$7,6,FALSE),0),V29)</f>
        <v/>
      </c>
      <c r="X29" s="3">
        <f>N(O29)*IFERROR(VLOOKUP($C29,Assumptions!$A$4:$F$7,2,FALSE),0)</f>
        <v/>
      </c>
      <c r="Y29" s="3">
        <f>N(S29)*IFERROR(VLOOKUP($C29,Assumptions!$A$4:$F$7,3,FALSE),0)*Assumptions!$B$11</f>
        <v/>
      </c>
      <c r="Z29" s="3">
        <f>N(N29)*IFERROR(VLOOKUP($C29,Assumptions!$A$4:$F$7,4,FALSE),0)</f>
        <v/>
      </c>
      <c r="AA29" s="3">
        <f>N(T29)*IFERROR(VLOOKUP($C29,Assumptions!$A$4:$F$7,5,FALSE),0)</f>
        <v/>
      </c>
      <c r="AB29" s="3">
        <f>N(U29)</f>
        <v/>
      </c>
      <c r="AC29" s="3">
        <f>SUM(W29:AB29)</f>
        <v/>
      </c>
      <c r="AD29" s="3">
        <f>N(AC29)*N(M29)/90</f>
        <v/>
      </c>
      <c r="AE29" s="3">
        <f>IFERROR(AD29-VLOOKUP($C29,Assumptions!$A$29:$C$32,3,FALSE),"")</f>
        <v/>
      </c>
      <c r="AF29" s="3">
        <f>IFERROR(AE29/F29,"")</f>
        <v/>
      </c>
      <c r="AG29">
        <f>IF(AND($E29=TRUE,$C29="GKP"),AD29,"")</f>
        <v/>
      </c>
      <c r="AH29">
        <f>IF(AND($E29=TRUE,$C29="DEF"),AD29,"")</f>
        <v/>
      </c>
      <c r="AI29">
        <f>IF(AND($E29=TRUE,$C29="MID"),AD29,"")</f>
        <v/>
      </c>
      <c r="AJ29">
        <f>IF(AND($E29=TRUE,$C29="FWD"),AD29,"")</f>
        <v/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b">
        <v>1</v>
      </c>
      <c r="F30" s="2" t="n">
        <v>6.5</v>
      </c>
      <c r="G30" t="inlineStr">
        <is>
          <t>i</t>
        </is>
      </c>
      <c r="H30" t="inlineStr">
        <is>
          <t>Groin injury - Unknown return date</t>
        </is>
      </c>
      <c r="I30" s="2" t="n">
        <v>2452</v>
      </c>
      <c r="J30" t="n">
        <v>149</v>
      </c>
      <c r="K30" s="3" t="n">
        <v>2878</v>
      </c>
      <c r="L30" t="inlineStr">
        <is>
          <t>flat</t>
        </is>
      </c>
      <c r="M30" s="4" t="n">
        <v>2452</v>
      </c>
      <c r="N30" s="4" t="n">
        <v>0.5</v>
      </c>
      <c r="O30" s="3" t="n">
        <v>0.1612</v>
      </c>
      <c r="P30" t="inlineStr">
        <is>
          <t>adjusted xGOT</t>
        </is>
      </c>
      <c r="Q30" s="3" t="n">
        <v>0.9330000000000001</v>
      </c>
      <c r="R30" s="3" t="n">
        <v>5.9</v>
      </c>
      <c r="S30" s="3" t="n">
        <v>0.0756</v>
      </c>
      <c r="T30" s="3" t="n">
        <v>0.107</v>
      </c>
      <c r="U30" s="3" t="n">
        <v>0.367</v>
      </c>
      <c r="V30" s="3" t="n">
        <v>2.055</v>
      </c>
      <c r="W30" s="3">
        <f>IF(V30="",IFERROR(VLOOKUP($C30,Assumptions!$A$4:$F$7,6,FALSE),0),V30)</f>
        <v/>
      </c>
      <c r="X30" s="3">
        <f>N(O30)*IFERROR(VLOOKUP($C30,Assumptions!$A$4:$F$7,2,FALSE),0)</f>
        <v/>
      </c>
      <c r="Y30" s="3">
        <f>N(S30)*IFERROR(VLOOKUP($C30,Assumptions!$A$4:$F$7,3,FALSE),0)*Assumptions!$B$11</f>
        <v/>
      </c>
      <c r="Z30" s="3">
        <f>N(N30)*IFERROR(VLOOKUP($C30,Assumptions!$A$4:$F$7,4,FALSE),0)</f>
        <v/>
      </c>
      <c r="AA30" s="3">
        <f>N(T30)*IFERROR(VLOOKUP($C30,Assumptions!$A$4:$F$7,5,FALSE),0)</f>
        <v/>
      </c>
      <c r="AB30" s="3">
        <f>N(U30)</f>
        <v/>
      </c>
      <c r="AC30" s="3">
        <f>SUM(W30:AB30)</f>
        <v/>
      </c>
      <c r="AD30" s="3">
        <f>N(AC30)*N(M30)/90</f>
        <v/>
      </c>
      <c r="AE30" s="3">
        <f>IFERROR(AD30-VLOOKUP($C30,Assumptions!$A$29:$C$32,3,FALSE),"")</f>
        <v/>
      </c>
      <c r="AF30" s="3">
        <f>IFERROR(AE30/F30,"")</f>
        <v/>
      </c>
      <c r="AG30">
        <f>IF(AND($E30=TRUE,$C30="GKP"),AD30,"")</f>
        <v/>
      </c>
      <c r="AH30">
        <f>IF(AND($E30=TRUE,$C30="DEF"),AD30,"")</f>
        <v/>
      </c>
      <c r="AI30">
        <f>IF(AND($E30=TRUE,$C30="MID"),AD30,"")</f>
        <v/>
      </c>
      <c r="AJ30">
        <f>IF(AND($E30=TRUE,$C30="FWD"),AD30,"")</f>
        <v/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b">
        <v>1</v>
      </c>
      <c r="F31" s="2" t="n">
        <v>8</v>
      </c>
      <c r="G31" t="inlineStr">
        <is>
          <t>a</t>
        </is>
      </c>
      <c r="I31" s="2" t="n">
        <v>2611</v>
      </c>
      <c r="J31" t="n">
        <v>148</v>
      </c>
      <c r="K31" s="3" t="n">
        <v>2822</v>
      </c>
      <c r="L31" t="inlineStr">
        <is>
          <t>flat</t>
        </is>
      </c>
      <c r="M31" s="4" t="n">
        <v>2611</v>
      </c>
      <c r="N31" s="4" t="n">
        <v>0.21</v>
      </c>
      <c r="O31" s="3" t="n">
        <v>0.4251</v>
      </c>
      <c r="P31" t="inlineStr">
        <is>
          <t>adjusted xGOT</t>
        </is>
      </c>
      <c r="Q31" s="3" t="n">
        <v>1.029</v>
      </c>
      <c r="R31" s="3" t="n">
        <v>43.7</v>
      </c>
      <c r="S31" s="3" t="n">
        <v>0.1737</v>
      </c>
      <c r="T31" s="3" t="n">
        <v>0</v>
      </c>
      <c r="U31" s="3" t="n">
        <v>0.586</v>
      </c>
      <c r="V31" s="3" t="n">
        <v>2.206</v>
      </c>
      <c r="W31" s="3">
        <f>IF(V31="",IFERROR(VLOOKUP($C31,Assumptions!$A$4:$F$7,6,FALSE),0),V31)</f>
        <v/>
      </c>
      <c r="X31" s="3">
        <f>N(O31)*IFERROR(VLOOKUP($C31,Assumptions!$A$4:$F$7,2,FALSE),0)</f>
        <v/>
      </c>
      <c r="Y31" s="3">
        <f>N(S31)*IFERROR(VLOOKUP($C31,Assumptions!$A$4:$F$7,3,FALSE),0)*Assumptions!$B$11</f>
        <v/>
      </c>
      <c r="Z31" s="3">
        <f>N(N31)*IFERROR(VLOOKUP($C31,Assumptions!$A$4:$F$7,4,FALSE),0)</f>
        <v/>
      </c>
      <c r="AA31" s="3">
        <f>N(T31)*IFERROR(VLOOKUP($C31,Assumptions!$A$4:$F$7,5,FALSE),0)</f>
        <v/>
      </c>
      <c r="AB31" s="3">
        <f>N(U31)</f>
        <v/>
      </c>
      <c r="AC31" s="3">
        <f>SUM(W31:AB31)</f>
        <v/>
      </c>
      <c r="AD31" s="3">
        <f>N(AC31)*N(M31)/90</f>
        <v/>
      </c>
      <c r="AE31" s="3">
        <f>IFERROR(AD31-VLOOKUP($C31,Assumptions!$A$29:$C$32,3,FALSE),"")</f>
        <v/>
      </c>
      <c r="AF31" s="3">
        <f>IFERROR(AE31/F31,"")</f>
        <v/>
      </c>
      <c r="AG31">
        <f>IF(AND($E31=TRUE,$C31="GKP"),AD31,"")</f>
        <v/>
      </c>
      <c r="AH31">
        <f>IF(AND($E31=TRUE,$C31="DEF"),AD31,"")</f>
        <v/>
      </c>
      <c r="AI31">
        <f>IF(AND($E31=TRUE,$C31="MID"),AD31,"")</f>
        <v/>
      </c>
      <c r="AJ31">
        <f>IF(AND($E31=TRUE,$C31="FWD"),AD31,"")</f>
        <v/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b">
        <v>1</v>
      </c>
      <c r="F32" s="2" t="n">
        <v>5</v>
      </c>
      <c r="G32" t="inlineStr">
        <is>
          <t>a</t>
        </is>
      </c>
      <c r="I32" s="2" t="n">
        <v>3210</v>
      </c>
      <c r="J32" t="n">
        <v>148</v>
      </c>
      <c r="K32" s="3" t="n">
        <v>3181</v>
      </c>
      <c r="L32" t="inlineStr">
        <is>
          <t>flat</t>
        </is>
      </c>
      <c r="M32" s="4" t="n">
        <v>3210</v>
      </c>
      <c r="N32" s="4" t="n">
        <v>0.237</v>
      </c>
      <c r="O32" s="3" t="n">
        <v>0.09030000000000001</v>
      </c>
      <c r="P32" t="inlineStr">
        <is>
          <t>adjusted xGOT</t>
        </is>
      </c>
      <c r="Q32" s="3" t="n">
        <v>0.973</v>
      </c>
      <c r="R32" s="3" t="n">
        <v>6.6</v>
      </c>
      <c r="S32" s="3" t="n">
        <v>0.0364</v>
      </c>
      <c r="T32" s="3" t="n">
        <v>0.361</v>
      </c>
      <c r="U32" s="3" t="n">
        <v>0.1963</v>
      </c>
      <c r="V32" s="3" t="n">
        <v>2.019</v>
      </c>
      <c r="W32" s="3">
        <f>IF(V32="",IFERROR(VLOOKUP($C32,Assumptions!$A$4:$F$7,6,FALSE),0),V32)</f>
        <v/>
      </c>
      <c r="X32" s="3">
        <f>N(O32)*IFERROR(VLOOKUP($C32,Assumptions!$A$4:$F$7,2,FALSE),0)</f>
        <v/>
      </c>
      <c r="Y32" s="3">
        <f>N(S32)*IFERROR(VLOOKUP($C32,Assumptions!$A$4:$F$7,3,FALSE),0)*Assumptions!$B$11</f>
        <v/>
      </c>
      <c r="Z32" s="3">
        <f>N(N32)*IFERROR(VLOOKUP($C32,Assumptions!$A$4:$F$7,4,FALSE),0)</f>
        <v/>
      </c>
      <c r="AA32" s="3">
        <f>N(T32)*IFERROR(VLOOKUP($C32,Assumptions!$A$4:$F$7,5,FALSE),0)</f>
        <v/>
      </c>
      <c r="AB32" s="3">
        <f>N(U32)</f>
        <v/>
      </c>
      <c r="AC32" s="3">
        <f>SUM(W32:AB32)</f>
        <v/>
      </c>
      <c r="AD32" s="3">
        <f>N(AC32)*N(M32)/90</f>
        <v/>
      </c>
      <c r="AE32" s="3">
        <f>IFERROR(AD32-VLOOKUP($C32,Assumptions!$A$29:$C$32,3,FALSE),"")</f>
        <v/>
      </c>
      <c r="AF32" s="3">
        <f>IFERROR(AE32/F32,"")</f>
        <v/>
      </c>
      <c r="AG32">
        <f>IF(AND($E32=TRUE,$C32="GKP"),AD32,"")</f>
        <v/>
      </c>
      <c r="AH32">
        <f>IF(AND($E32=TRUE,$C32="DEF"),AD32,"")</f>
        <v/>
      </c>
      <c r="AI32">
        <f>IF(AND($E32=TRUE,$C32="MID"),AD32,"")</f>
        <v/>
      </c>
      <c r="AJ32">
        <f>IF(AND($E32=TRUE,$C32="FWD"),AD32,"")</f>
        <v/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b">
        <v>1</v>
      </c>
      <c r="F33" s="2" t="n">
        <v>6</v>
      </c>
      <c r="G33" t="inlineStr">
        <is>
          <t>a</t>
        </is>
      </c>
      <c r="I33" s="2" t="n">
        <v>2930</v>
      </c>
      <c r="J33" t="n">
        <v>147</v>
      </c>
      <c r="K33" s="3" t="n">
        <v>3324</v>
      </c>
      <c r="L33" t="inlineStr">
        <is>
          <t>flat</t>
        </is>
      </c>
      <c r="M33" s="4" t="n">
        <v>2930</v>
      </c>
      <c r="N33" s="4" t="n">
        <v>0.29</v>
      </c>
      <c r="O33" s="3" t="n">
        <v>0.1565</v>
      </c>
      <c r="P33" t="inlineStr">
        <is>
          <t>adjusted xGOT</t>
        </is>
      </c>
      <c r="Q33" s="3" t="n">
        <v>0.976</v>
      </c>
      <c r="R33" s="3" t="n">
        <v>5.2</v>
      </c>
      <c r="S33" s="3" t="n">
        <v>0.2073</v>
      </c>
      <c r="T33" s="3" t="n">
        <v>0.242</v>
      </c>
      <c r="U33" s="3" t="n">
        <v>0.4608</v>
      </c>
      <c r="V33" s="3" t="n">
        <v>2.119</v>
      </c>
      <c r="W33" s="3">
        <f>IF(V33="",IFERROR(VLOOKUP($C33,Assumptions!$A$4:$F$7,6,FALSE),0),V33)</f>
        <v/>
      </c>
      <c r="X33" s="3">
        <f>N(O33)*IFERROR(VLOOKUP($C33,Assumptions!$A$4:$F$7,2,FALSE),0)</f>
        <v/>
      </c>
      <c r="Y33" s="3">
        <f>N(S33)*IFERROR(VLOOKUP($C33,Assumptions!$A$4:$F$7,3,FALSE),0)*Assumptions!$B$11</f>
        <v/>
      </c>
      <c r="Z33" s="3">
        <f>N(N33)*IFERROR(VLOOKUP($C33,Assumptions!$A$4:$F$7,4,FALSE),0)</f>
        <v/>
      </c>
      <c r="AA33" s="3">
        <f>N(T33)*IFERROR(VLOOKUP($C33,Assumptions!$A$4:$F$7,5,FALSE),0)</f>
        <v/>
      </c>
      <c r="AB33" s="3">
        <f>N(U33)</f>
        <v/>
      </c>
      <c r="AC33" s="3">
        <f>SUM(W33:AB33)</f>
        <v/>
      </c>
      <c r="AD33" s="3">
        <f>N(AC33)*N(M33)/90</f>
        <v/>
      </c>
      <c r="AE33" s="3">
        <f>IFERROR(AD33-VLOOKUP($C33,Assumptions!$A$29:$C$32,3,FALSE),"")</f>
        <v/>
      </c>
      <c r="AF33" s="3">
        <f>IFERROR(AE33/F33,"")</f>
        <v/>
      </c>
      <c r="AG33">
        <f>IF(AND($E33=TRUE,$C33="GKP"),AD33,"")</f>
        <v/>
      </c>
      <c r="AH33">
        <f>IF(AND($E33=TRUE,$C33="DEF"),AD33,"")</f>
        <v/>
      </c>
      <c r="AI33">
        <f>IF(AND($E33=TRUE,$C33="MID"),AD33,"")</f>
        <v/>
      </c>
      <c r="AJ33">
        <f>IF(AND($E33=TRUE,$C33="FWD"),AD33,"")</f>
        <v/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b">
        <v>1</v>
      </c>
      <c r="F34" s="2" t="n">
        <v>6</v>
      </c>
      <c r="G34" t="inlineStr">
        <is>
          <t>a</t>
        </is>
      </c>
      <c r="I34" s="2" t="n">
        <v>2991</v>
      </c>
      <c r="J34" t="n">
        <v>144</v>
      </c>
      <c r="K34" s="3" t="n">
        <v>2964</v>
      </c>
      <c r="L34" t="inlineStr">
        <is>
          <t>flat</t>
        </is>
      </c>
      <c r="M34" s="4" t="n">
        <v>2991</v>
      </c>
      <c r="N34" s="4" t="n">
        <v>0.263</v>
      </c>
      <c r="O34" s="3" t="n">
        <v>0.056</v>
      </c>
      <c r="P34" t="inlineStr">
        <is>
          <t>adjusted xGOT</t>
        </is>
      </c>
      <c r="Q34" s="3" t="n">
        <v>0.985</v>
      </c>
      <c r="R34" s="3" t="n">
        <v>5.1</v>
      </c>
      <c r="S34" s="3" t="n">
        <v>0.0696</v>
      </c>
      <c r="T34" s="3" t="n">
        <v>0.206</v>
      </c>
      <c r="U34" s="3" t="n">
        <v>0.5115</v>
      </c>
      <c r="V34" s="3" t="n">
        <v>2.076</v>
      </c>
      <c r="W34" s="3">
        <f>IF(V34="",IFERROR(VLOOKUP($C34,Assumptions!$A$4:$F$7,6,FALSE),0),V34)</f>
        <v/>
      </c>
      <c r="X34" s="3">
        <f>N(O34)*IFERROR(VLOOKUP($C34,Assumptions!$A$4:$F$7,2,FALSE),0)</f>
        <v/>
      </c>
      <c r="Y34" s="3">
        <f>N(S34)*IFERROR(VLOOKUP($C34,Assumptions!$A$4:$F$7,3,FALSE),0)*Assumptions!$B$11</f>
        <v/>
      </c>
      <c r="Z34" s="3">
        <f>N(N34)*IFERROR(VLOOKUP($C34,Assumptions!$A$4:$F$7,4,FALSE),0)</f>
        <v/>
      </c>
      <c r="AA34" s="3">
        <f>N(T34)*IFERROR(VLOOKUP($C34,Assumptions!$A$4:$F$7,5,FALSE),0)</f>
        <v/>
      </c>
      <c r="AB34" s="3">
        <f>N(U34)</f>
        <v/>
      </c>
      <c r="AC34" s="3">
        <f>SUM(W34:AB34)</f>
        <v/>
      </c>
      <c r="AD34" s="3">
        <f>N(AC34)*N(M34)/90</f>
        <v/>
      </c>
      <c r="AE34" s="3">
        <f>IFERROR(AD34-VLOOKUP($C34,Assumptions!$A$29:$C$32,3,FALSE),"")</f>
        <v/>
      </c>
      <c r="AF34" s="3">
        <f>IFERROR(AE34/F34,"")</f>
        <v/>
      </c>
      <c r="AG34">
        <f>IF(AND($E34=TRUE,$C34="GKP"),AD34,"")</f>
        <v/>
      </c>
      <c r="AH34">
        <f>IF(AND($E34=TRUE,$C34="DEF"),AD34,"")</f>
        <v/>
      </c>
      <c r="AI34">
        <f>IF(AND($E34=TRUE,$C34="MID"),AD34,"")</f>
        <v/>
      </c>
      <c r="AJ34">
        <f>IF(AND($E34=TRUE,$C34="FWD"),AD34,"")</f>
        <v/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b">
        <v>1</v>
      </c>
      <c r="F35" s="2" t="n">
        <v>8</v>
      </c>
      <c r="G35" t="inlineStr">
        <is>
          <t>a</t>
        </is>
      </c>
      <c r="I35" s="2" t="n">
        <v>2493</v>
      </c>
      <c r="J35" t="n">
        <v>143</v>
      </c>
      <c r="K35" s="3" t="n">
        <v>2616</v>
      </c>
      <c r="L35" t="inlineStr">
        <is>
          <t>flat</t>
        </is>
      </c>
      <c r="M35" s="4" t="n">
        <v>2493</v>
      </c>
      <c r="N35" s="4" t="n">
        <v>0.21</v>
      </c>
      <c r="O35" s="3" t="n">
        <v>0.2624</v>
      </c>
      <c r="P35" t="inlineStr">
        <is>
          <t>adjusted xGOT</t>
        </is>
      </c>
      <c r="Q35" s="3" t="n">
        <v>1.053</v>
      </c>
      <c r="R35" s="3" t="n">
        <v>26.8</v>
      </c>
      <c r="S35" s="3" t="n">
        <v>0.1274</v>
      </c>
      <c r="T35" s="3" t="n">
        <v>0.034</v>
      </c>
      <c r="U35" s="3" t="n">
        <v>0.5415</v>
      </c>
      <c r="V35" s="3" t="n">
        <v>2.202</v>
      </c>
      <c r="W35" s="3">
        <f>IF(V35="",IFERROR(VLOOKUP($C35,Assumptions!$A$4:$F$7,6,FALSE),0),V35)</f>
        <v/>
      </c>
      <c r="X35" s="3">
        <f>N(O35)*IFERROR(VLOOKUP($C35,Assumptions!$A$4:$F$7,2,FALSE),0)</f>
        <v/>
      </c>
      <c r="Y35" s="3">
        <f>N(S35)*IFERROR(VLOOKUP($C35,Assumptions!$A$4:$F$7,3,FALSE),0)*Assumptions!$B$11</f>
        <v/>
      </c>
      <c r="Z35" s="3">
        <f>N(N35)*IFERROR(VLOOKUP($C35,Assumptions!$A$4:$F$7,4,FALSE),0)</f>
        <v/>
      </c>
      <c r="AA35" s="3">
        <f>N(T35)*IFERROR(VLOOKUP($C35,Assumptions!$A$4:$F$7,5,FALSE),0)</f>
        <v/>
      </c>
      <c r="AB35" s="3">
        <f>N(U35)</f>
        <v/>
      </c>
      <c r="AC35" s="3">
        <f>SUM(W35:AB35)</f>
        <v/>
      </c>
      <c r="AD35" s="3">
        <f>N(AC35)*N(M35)/90</f>
        <v/>
      </c>
      <c r="AE35" s="3">
        <f>IFERROR(AD35-VLOOKUP($C35,Assumptions!$A$29:$C$32,3,FALSE),"")</f>
        <v/>
      </c>
      <c r="AF35" s="3">
        <f>IFERROR(AE35/F35,"")</f>
        <v/>
      </c>
      <c r="AG35">
        <f>IF(AND($E35=TRUE,$C35="GKP"),AD35,"")</f>
        <v/>
      </c>
      <c r="AH35">
        <f>IF(AND($E35=TRUE,$C35="DEF"),AD35,"")</f>
        <v/>
      </c>
      <c r="AI35">
        <f>IF(AND($E35=TRUE,$C35="MID"),AD35,"")</f>
        <v/>
      </c>
      <c r="AJ35">
        <f>IF(AND($E35=TRUE,$C35="FWD"),AD35,"")</f>
        <v/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b">
        <v>1</v>
      </c>
      <c r="F36" s="2" t="n">
        <v>5</v>
      </c>
      <c r="G36" t="inlineStr">
        <is>
          <t>a</t>
        </is>
      </c>
      <c r="I36" s="2" t="n">
        <v>3330</v>
      </c>
      <c r="J36" t="n">
        <v>143</v>
      </c>
      <c r="K36" s="3" t="n">
        <v>3385</v>
      </c>
      <c r="L36" t="inlineStr">
        <is>
          <t>flat</t>
        </is>
      </c>
      <c r="M36" s="4" t="n">
        <v>3330</v>
      </c>
      <c r="N36" s="4" t="n">
        <v>0.263</v>
      </c>
      <c r="O36" s="3" t="n">
        <v>0</v>
      </c>
      <c r="P36" t="inlineStr">
        <is>
          <t>blended xG</t>
        </is>
      </c>
      <c r="Q36" s="3" t="n">
        <v>1</v>
      </c>
      <c r="R36" s="3" t="n">
        <v>0</v>
      </c>
      <c r="S36" s="3" t="n">
        <v>0.0044</v>
      </c>
      <c r="T36" s="3" t="n">
        <v>0</v>
      </c>
      <c r="U36" s="3" t="n">
        <v>0.3784</v>
      </c>
      <c r="V36" s="3" t="n">
        <v>2</v>
      </c>
      <c r="W36" s="3">
        <f>IF(V36="",IFERROR(VLOOKUP($C36,Assumptions!$A$4:$F$7,6,FALSE),0),V36)</f>
        <v/>
      </c>
      <c r="X36" s="3">
        <f>N(O36)*IFERROR(VLOOKUP($C36,Assumptions!$A$4:$F$7,2,FALSE),0)</f>
        <v/>
      </c>
      <c r="Y36" s="3">
        <f>N(S36)*IFERROR(VLOOKUP($C36,Assumptions!$A$4:$F$7,3,FALSE),0)*Assumptions!$B$11</f>
        <v/>
      </c>
      <c r="Z36" s="3">
        <f>N(N36)*IFERROR(VLOOKUP($C36,Assumptions!$A$4:$F$7,4,FALSE),0)</f>
        <v/>
      </c>
      <c r="AA36" s="3">
        <f>N(T36)*IFERROR(VLOOKUP($C36,Assumptions!$A$4:$F$7,5,FALSE),0)</f>
        <v/>
      </c>
      <c r="AB36" s="3">
        <f>N(U36)</f>
        <v/>
      </c>
      <c r="AC36" s="3">
        <f>SUM(W36:AB36)</f>
        <v/>
      </c>
      <c r="AD36" s="3">
        <f>N(AC36)*N(M36)/90</f>
        <v/>
      </c>
      <c r="AE36" s="3">
        <f>IFERROR(AD36-VLOOKUP($C36,Assumptions!$A$29:$C$32,3,FALSE),"")</f>
        <v/>
      </c>
      <c r="AF36" s="3">
        <f>IFERROR(AE36/F36,"")</f>
        <v/>
      </c>
      <c r="AG36">
        <f>IF(AND($E36=TRUE,$C36="GKP"),AD36,"")</f>
        <v/>
      </c>
      <c r="AH36">
        <f>IF(AND($E36=TRUE,$C36="DEF"),AD36,"")</f>
        <v/>
      </c>
      <c r="AI36">
        <f>IF(AND($E36=TRUE,$C36="MID"),AD36,"")</f>
        <v/>
      </c>
      <c r="AJ36">
        <f>IF(AND($E36=TRUE,$C36="FWD"),AD36,"")</f>
        <v/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b">
        <v>1</v>
      </c>
      <c r="F37" s="2" t="n">
        <v>6</v>
      </c>
      <c r="G37" t="inlineStr">
        <is>
          <t>a</t>
        </is>
      </c>
      <c r="I37" s="2" t="n">
        <v>2721</v>
      </c>
      <c r="J37" t="n">
        <v>142</v>
      </c>
      <c r="K37" s="3" t="n">
        <v>3084</v>
      </c>
      <c r="L37" t="inlineStr">
        <is>
          <t>flat</t>
        </is>
      </c>
      <c r="M37" s="4" t="n">
        <v>2721</v>
      </c>
      <c r="N37" s="4" t="n">
        <v>0.21</v>
      </c>
      <c r="O37" s="3" t="n">
        <v>0.4469</v>
      </c>
      <c r="P37" t="inlineStr">
        <is>
          <t>adjusted xGOT</t>
        </is>
      </c>
      <c r="Q37" s="3" t="n">
        <v>0.868</v>
      </c>
      <c r="R37" s="3" t="n">
        <v>40.9</v>
      </c>
      <c r="S37" s="3" t="n">
        <v>0.0431</v>
      </c>
      <c r="T37" s="3" t="n">
        <v>0</v>
      </c>
      <c r="U37" s="3" t="n">
        <v>0.6615</v>
      </c>
      <c r="V37" s="3" t="n">
        <v>2.15</v>
      </c>
      <c r="W37" s="3">
        <f>IF(V37="",IFERROR(VLOOKUP($C37,Assumptions!$A$4:$F$7,6,FALSE),0),V37)</f>
        <v/>
      </c>
      <c r="X37" s="3">
        <f>N(O37)*IFERROR(VLOOKUP($C37,Assumptions!$A$4:$F$7,2,FALSE),0)</f>
        <v/>
      </c>
      <c r="Y37" s="3">
        <f>N(S37)*IFERROR(VLOOKUP($C37,Assumptions!$A$4:$F$7,3,FALSE),0)*Assumptions!$B$11</f>
        <v/>
      </c>
      <c r="Z37" s="3">
        <f>N(N37)*IFERROR(VLOOKUP($C37,Assumptions!$A$4:$F$7,4,FALSE),0)</f>
        <v/>
      </c>
      <c r="AA37" s="3">
        <f>N(T37)*IFERROR(VLOOKUP($C37,Assumptions!$A$4:$F$7,5,FALSE),0)</f>
        <v/>
      </c>
      <c r="AB37" s="3">
        <f>N(U37)</f>
        <v/>
      </c>
      <c r="AC37" s="3">
        <f>SUM(W37:AB37)</f>
        <v/>
      </c>
      <c r="AD37" s="3">
        <f>N(AC37)*N(M37)/90</f>
        <v/>
      </c>
      <c r="AE37" s="3">
        <f>IFERROR(AD37-VLOOKUP($C37,Assumptions!$A$29:$C$32,3,FALSE),"")</f>
        <v/>
      </c>
      <c r="AF37" s="3">
        <f>IFERROR(AE37/F37,"")</f>
        <v/>
      </c>
      <c r="AG37">
        <f>IF(AND($E37=TRUE,$C37="GKP"),AD37,"")</f>
        <v/>
      </c>
      <c r="AH37">
        <f>IF(AND($E37=TRUE,$C37="DEF"),AD37,"")</f>
        <v/>
      </c>
      <c r="AI37">
        <f>IF(AND($E37=TRUE,$C37="MID"),AD37,"")</f>
        <v/>
      </c>
      <c r="AJ37">
        <f>IF(AND($E37=TRUE,$C37="FWD"),AD37,"")</f>
        <v/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b">
        <v>1</v>
      </c>
      <c r="F38" s="2" t="n">
        <v>6</v>
      </c>
      <c r="G38" t="inlineStr">
        <is>
          <t>a</t>
        </is>
      </c>
      <c r="I38" s="2" t="n">
        <v>2732</v>
      </c>
      <c r="J38" t="n">
        <v>137</v>
      </c>
      <c r="K38" s="3" t="n">
        <v>3061</v>
      </c>
      <c r="L38" t="inlineStr">
        <is>
          <t>flat</t>
        </is>
      </c>
      <c r="M38" s="4" t="n">
        <v>2732</v>
      </c>
      <c r="N38" s="4" t="n">
        <v>0.29</v>
      </c>
      <c r="O38" s="3" t="n">
        <v>0.2664</v>
      </c>
      <c r="P38" t="inlineStr">
        <is>
          <t>adjusted xGOT</t>
        </is>
      </c>
      <c r="Q38" s="3" t="n">
        <v>0.892</v>
      </c>
      <c r="R38" s="3" t="n">
        <v>21.6</v>
      </c>
      <c r="S38" s="3" t="n">
        <v>0.1772</v>
      </c>
      <c r="T38" s="3" t="n">
        <v>0.097</v>
      </c>
      <c r="U38" s="3" t="n">
        <v>0.4612</v>
      </c>
      <c r="V38" s="3" t="n">
        <v>2.141</v>
      </c>
      <c r="W38" s="3">
        <f>IF(V38="",IFERROR(VLOOKUP($C38,Assumptions!$A$4:$F$7,6,FALSE),0),V38)</f>
        <v/>
      </c>
      <c r="X38" s="3">
        <f>N(O38)*IFERROR(VLOOKUP($C38,Assumptions!$A$4:$F$7,2,FALSE),0)</f>
        <v/>
      </c>
      <c r="Y38" s="3">
        <f>N(S38)*IFERROR(VLOOKUP($C38,Assumptions!$A$4:$F$7,3,FALSE),0)*Assumptions!$B$11</f>
        <v/>
      </c>
      <c r="Z38" s="3">
        <f>N(N38)*IFERROR(VLOOKUP($C38,Assumptions!$A$4:$F$7,4,FALSE),0)</f>
        <v/>
      </c>
      <c r="AA38" s="3">
        <f>N(T38)*IFERROR(VLOOKUP($C38,Assumptions!$A$4:$F$7,5,FALSE),0)</f>
        <v/>
      </c>
      <c r="AB38" s="3">
        <f>N(U38)</f>
        <v/>
      </c>
      <c r="AC38" s="3">
        <f>SUM(W38:AB38)</f>
        <v/>
      </c>
      <c r="AD38" s="3">
        <f>N(AC38)*N(M38)/90</f>
        <v/>
      </c>
      <c r="AE38" s="3">
        <f>IFERROR(AD38-VLOOKUP($C38,Assumptions!$A$29:$C$32,3,FALSE),"")</f>
        <v/>
      </c>
      <c r="AF38" s="3">
        <f>IFERROR(AE38/F38,"")</f>
        <v/>
      </c>
      <c r="AG38">
        <f>IF(AND($E38=TRUE,$C38="GKP"),AD38,"")</f>
        <v/>
      </c>
      <c r="AH38">
        <f>IF(AND($E38=TRUE,$C38="DEF"),AD38,"")</f>
        <v/>
      </c>
      <c r="AI38">
        <f>IF(AND($E38=TRUE,$C38="MID"),AD38,"")</f>
        <v/>
      </c>
      <c r="AJ38">
        <f>IF(AND($E38=TRUE,$C38="FWD"),AD38,"")</f>
        <v/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b">
        <v>1</v>
      </c>
      <c r="F39" s="2" t="n">
        <v>6</v>
      </c>
      <c r="G39" t="inlineStr">
        <is>
          <t>i</t>
        </is>
      </c>
      <c r="H39" t="inlineStr">
        <is>
          <t>Back injury - Unknown return date</t>
        </is>
      </c>
      <c r="I39" s="2" t="n">
        <v>2614</v>
      </c>
      <c r="J39" t="n">
        <v>137</v>
      </c>
      <c r="K39" s="3" t="n">
        <v>3278</v>
      </c>
      <c r="L39" t="inlineStr">
        <is>
          <t>ramp-up (injury / late WC return)</t>
        </is>
      </c>
      <c r="M39" s="4" t="n">
        <v>2614</v>
      </c>
      <c r="N39" s="4" t="n">
        <v>0.5</v>
      </c>
      <c r="O39" s="3" t="n">
        <v>0.0287</v>
      </c>
      <c r="P39" t="inlineStr">
        <is>
          <t>adjusted xGOT</t>
        </is>
      </c>
      <c r="Q39" s="3" t="n">
        <v>0.949</v>
      </c>
      <c r="R39" s="3" t="n">
        <v>5.9</v>
      </c>
      <c r="S39" s="3" t="n">
        <v>0.0433</v>
      </c>
      <c r="T39" s="3" t="n">
        <v>0.133</v>
      </c>
      <c r="U39" s="3" t="n">
        <v>0.3787</v>
      </c>
      <c r="V39" s="3" t="n">
        <v>2.031</v>
      </c>
      <c r="W39" s="3">
        <f>IF(V39="",IFERROR(VLOOKUP($C39,Assumptions!$A$4:$F$7,6,FALSE),0),V39)</f>
        <v/>
      </c>
      <c r="X39" s="3">
        <f>N(O39)*IFERROR(VLOOKUP($C39,Assumptions!$A$4:$F$7,2,FALSE),0)</f>
        <v/>
      </c>
      <c r="Y39" s="3">
        <f>N(S39)*IFERROR(VLOOKUP($C39,Assumptions!$A$4:$F$7,3,FALSE),0)*Assumptions!$B$11</f>
        <v/>
      </c>
      <c r="Z39" s="3">
        <f>N(N39)*IFERROR(VLOOKUP($C39,Assumptions!$A$4:$F$7,4,FALSE),0)</f>
        <v/>
      </c>
      <c r="AA39" s="3">
        <f>N(T39)*IFERROR(VLOOKUP($C39,Assumptions!$A$4:$F$7,5,FALSE),0)</f>
        <v/>
      </c>
      <c r="AB39" s="3">
        <f>N(U39)</f>
        <v/>
      </c>
      <c r="AC39" s="3">
        <f>SUM(W39:AB39)</f>
        <v/>
      </c>
      <c r="AD39" s="3">
        <f>N(AC39)*N(M39)/90</f>
        <v/>
      </c>
      <c r="AE39" s="3">
        <f>IFERROR(AD39-VLOOKUP($C39,Assumptions!$A$29:$C$32,3,FALSE),"")</f>
        <v/>
      </c>
      <c r="AF39" s="3">
        <f>IFERROR(AE39/F39,"")</f>
        <v/>
      </c>
      <c r="AG39">
        <f>IF(AND($E39=TRUE,$C39="GKP"),AD39,"")</f>
        <v/>
      </c>
      <c r="AH39">
        <f>IF(AND($E39=TRUE,$C39="DEF"),AD39,"")</f>
        <v/>
      </c>
      <c r="AI39">
        <f>IF(AND($E39=TRUE,$C39="MID"),AD39,"")</f>
        <v/>
      </c>
      <c r="AJ39">
        <f>IF(AND($E39=TRUE,$C39="FWD"),AD39,"")</f>
        <v/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b">
        <v>1</v>
      </c>
      <c r="F40" s="2" t="n">
        <v>6</v>
      </c>
      <c r="G40" t="inlineStr">
        <is>
          <t>a</t>
        </is>
      </c>
      <c r="I40" s="2" t="n">
        <v>2369</v>
      </c>
      <c r="J40" t="n">
        <v>137</v>
      </c>
      <c r="K40" s="3" t="n">
        <v>2964</v>
      </c>
      <c r="L40" t="inlineStr">
        <is>
          <t>flat</t>
        </is>
      </c>
      <c r="M40" s="4" t="n">
        <v>2369</v>
      </c>
      <c r="N40" s="4" t="n">
        <v>0.21</v>
      </c>
      <c r="O40" s="3" t="n">
        <v>0.1096</v>
      </c>
      <c r="P40" t="inlineStr">
        <is>
          <t>adjusted xGOT</t>
        </is>
      </c>
      <c r="Q40" s="3" t="n">
        <v>1.002</v>
      </c>
      <c r="R40" s="3" t="n">
        <v>2.9</v>
      </c>
      <c r="S40" s="3" t="n">
        <v>0.1981</v>
      </c>
      <c r="T40" s="3" t="n">
        <v>0.357</v>
      </c>
      <c r="U40" s="3" t="n">
        <v>0.5319</v>
      </c>
      <c r="V40" s="3" t="n">
        <v>2.127</v>
      </c>
      <c r="W40" s="3">
        <f>IF(V40="",IFERROR(VLOOKUP($C40,Assumptions!$A$4:$F$7,6,FALSE),0),V40)</f>
        <v/>
      </c>
      <c r="X40" s="3">
        <f>N(O40)*IFERROR(VLOOKUP($C40,Assumptions!$A$4:$F$7,2,FALSE),0)</f>
        <v/>
      </c>
      <c r="Y40" s="3">
        <f>N(S40)*IFERROR(VLOOKUP($C40,Assumptions!$A$4:$F$7,3,FALSE),0)*Assumptions!$B$11</f>
        <v/>
      </c>
      <c r="Z40" s="3">
        <f>N(N40)*IFERROR(VLOOKUP($C40,Assumptions!$A$4:$F$7,4,FALSE),0)</f>
        <v/>
      </c>
      <c r="AA40" s="3">
        <f>N(T40)*IFERROR(VLOOKUP($C40,Assumptions!$A$4:$F$7,5,FALSE),0)</f>
        <v/>
      </c>
      <c r="AB40" s="3">
        <f>N(U40)</f>
        <v/>
      </c>
      <c r="AC40" s="3">
        <f>SUM(W40:AB40)</f>
        <v/>
      </c>
      <c r="AD40" s="3">
        <f>N(AC40)*N(M40)/90</f>
        <v/>
      </c>
      <c r="AE40" s="3">
        <f>IFERROR(AD40-VLOOKUP($C40,Assumptions!$A$29:$C$32,3,FALSE),"")</f>
        <v/>
      </c>
      <c r="AF40" s="3">
        <f>IFERROR(AE40/F40,"")</f>
        <v/>
      </c>
      <c r="AG40">
        <f>IF(AND($E40=TRUE,$C40="GKP"),AD40,"")</f>
        <v/>
      </c>
      <c r="AH40">
        <f>IF(AND($E40=TRUE,$C40="DEF"),AD40,"")</f>
        <v/>
      </c>
      <c r="AI40">
        <f>IF(AND($E40=TRUE,$C40="MID"),AD40,"")</f>
        <v/>
      </c>
      <c r="AJ40">
        <f>IF(AND($E40=TRUE,$C40="FWD"),AD40,"")</f>
        <v/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b">
        <v>1</v>
      </c>
      <c r="F41" s="2" t="n">
        <v>5.5</v>
      </c>
      <c r="G41" t="inlineStr">
        <is>
          <t>a</t>
        </is>
      </c>
      <c r="I41" s="2" t="n">
        <v>2400</v>
      </c>
      <c r="J41" t="n">
        <v>136</v>
      </c>
      <c r="K41" s="3" t="n">
        <v>3055</v>
      </c>
      <c r="L41" t="inlineStr">
        <is>
          <t>flat</t>
        </is>
      </c>
      <c r="M41" s="4" t="n">
        <v>2400</v>
      </c>
      <c r="N41" s="4" t="n">
        <v>0.316</v>
      </c>
      <c r="O41" s="3" t="n">
        <v>0.08119999999999999</v>
      </c>
      <c r="P41" t="inlineStr">
        <is>
          <t>adjusted xGOT</t>
        </is>
      </c>
      <c r="Q41" s="3" t="n">
        <v>0.884</v>
      </c>
      <c r="R41" s="3" t="n">
        <v>8.6</v>
      </c>
      <c r="S41" s="3" t="n">
        <v>0.1689</v>
      </c>
      <c r="T41" s="3" t="n">
        <v>0.241</v>
      </c>
      <c r="U41" s="3" t="n">
        <v>0.3375</v>
      </c>
      <c r="V41" s="3" t="n">
        <v>2.062</v>
      </c>
      <c r="W41" s="3">
        <f>IF(V41="",IFERROR(VLOOKUP($C41,Assumptions!$A$4:$F$7,6,FALSE),0),V41)</f>
        <v/>
      </c>
      <c r="X41" s="3">
        <f>N(O41)*IFERROR(VLOOKUP($C41,Assumptions!$A$4:$F$7,2,FALSE),0)</f>
        <v/>
      </c>
      <c r="Y41" s="3">
        <f>N(S41)*IFERROR(VLOOKUP($C41,Assumptions!$A$4:$F$7,3,FALSE),0)*Assumptions!$B$11</f>
        <v/>
      </c>
      <c r="Z41" s="3">
        <f>N(N41)*IFERROR(VLOOKUP($C41,Assumptions!$A$4:$F$7,4,FALSE),0)</f>
        <v/>
      </c>
      <c r="AA41" s="3">
        <f>N(T41)*IFERROR(VLOOKUP($C41,Assumptions!$A$4:$F$7,5,FALSE),0)</f>
        <v/>
      </c>
      <c r="AB41" s="3">
        <f>N(U41)</f>
        <v/>
      </c>
      <c r="AC41" s="3">
        <f>SUM(W41:AB41)</f>
        <v/>
      </c>
      <c r="AD41" s="3">
        <f>N(AC41)*N(M41)/90</f>
        <v/>
      </c>
      <c r="AE41" s="3">
        <f>IFERROR(AD41-VLOOKUP($C41,Assumptions!$A$29:$C$32,3,FALSE),"")</f>
        <v/>
      </c>
      <c r="AF41" s="3">
        <f>IFERROR(AE41/F41,"")</f>
        <v/>
      </c>
      <c r="AG41">
        <f>IF(AND($E41=TRUE,$C41="GKP"),AD41,"")</f>
        <v/>
      </c>
      <c r="AH41">
        <f>IF(AND($E41=TRUE,$C41="DEF"),AD41,"")</f>
        <v/>
      </c>
      <c r="AI41">
        <f>IF(AND($E41=TRUE,$C41="MID"),AD41,"")</f>
        <v/>
      </c>
      <c r="AJ41">
        <f>IF(AND($E41=TRUE,$C41="FWD"),AD41,"")</f>
        <v/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b">
        <v>1</v>
      </c>
      <c r="F42" s="2" t="n">
        <v>5.5</v>
      </c>
      <c r="G42" t="inlineStr">
        <is>
          <t>u</t>
        </is>
      </c>
      <c r="H42" t="inlineStr">
        <is>
          <t>Has joined Como permanently</t>
        </is>
      </c>
      <c r="I42" s="2" t="n">
        <v>2780</v>
      </c>
      <c r="J42" t="n">
        <v>136</v>
      </c>
      <c r="K42" s="3" t="n"/>
      <c r="M42" s="4" t="n">
        <v>2780</v>
      </c>
      <c r="N42" s="4" t="n">
        <v>0.237</v>
      </c>
      <c r="O42" s="3" t="n">
        <v>0.0555</v>
      </c>
      <c r="P42" t="inlineStr">
        <is>
          <t>adjusted xGOT</t>
        </is>
      </c>
      <c r="Q42" s="3" t="n">
        <v>1.19</v>
      </c>
      <c r="R42" s="3" t="n">
        <v>4.4</v>
      </c>
      <c r="S42" s="3" t="n">
        <v>0.0269</v>
      </c>
      <c r="T42" s="3" t="n">
        <v>0.452</v>
      </c>
      <c r="U42" s="3" t="n">
        <v>0.1942</v>
      </c>
      <c r="V42" s="3" t="n">
        <v>2.072</v>
      </c>
      <c r="W42" s="3">
        <f>IF(V42="",IFERROR(VLOOKUP($C42,Assumptions!$A$4:$F$7,6,FALSE),0),V42)</f>
        <v/>
      </c>
      <c r="X42" s="3">
        <f>N(O42)*IFERROR(VLOOKUP($C42,Assumptions!$A$4:$F$7,2,FALSE),0)</f>
        <v/>
      </c>
      <c r="Y42" s="3">
        <f>N(S42)*IFERROR(VLOOKUP($C42,Assumptions!$A$4:$F$7,3,FALSE),0)*Assumptions!$B$11</f>
        <v/>
      </c>
      <c r="Z42" s="3">
        <f>N(N42)*IFERROR(VLOOKUP($C42,Assumptions!$A$4:$F$7,4,FALSE),0)</f>
        <v/>
      </c>
      <c r="AA42" s="3">
        <f>N(T42)*IFERROR(VLOOKUP($C42,Assumptions!$A$4:$F$7,5,FALSE),0)</f>
        <v/>
      </c>
      <c r="AB42" s="3">
        <f>N(U42)</f>
        <v/>
      </c>
      <c r="AC42" s="3">
        <f>SUM(W42:AB42)</f>
        <v/>
      </c>
      <c r="AD42" s="3">
        <f>N(AC42)*N(M42)/90</f>
        <v/>
      </c>
      <c r="AE42" s="3">
        <f>IFERROR(AD42-VLOOKUP($C42,Assumptions!$A$29:$C$32,3,FALSE),"")</f>
        <v/>
      </c>
      <c r="AF42" s="3">
        <f>IFERROR(AE42/F42,"")</f>
        <v/>
      </c>
      <c r="AG42">
        <f>IF(AND($E42=TRUE,$C42="GKP"),AD42,"")</f>
        <v/>
      </c>
      <c r="AH42">
        <f>IF(AND($E42=TRUE,$C42="DEF"),AD42,"")</f>
        <v/>
      </c>
      <c r="AI42">
        <f>IF(AND($E42=TRUE,$C42="MID"),AD42,"")</f>
        <v/>
      </c>
      <c r="AJ42">
        <f>IF(AND($E42=TRUE,$C42="FWD"),AD42,"")</f>
        <v/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b">
        <v>1</v>
      </c>
      <c r="F43" s="2" t="n">
        <v>5</v>
      </c>
      <c r="G43" t="inlineStr">
        <is>
          <t>a</t>
        </is>
      </c>
      <c r="I43" s="2" t="n">
        <v>3150</v>
      </c>
      <c r="J43" t="n">
        <v>136</v>
      </c>
      <c r="K43" s="3" t="n">
        <v>3420</v>
      </c>
      <c r="L43" t="inlineStr">
        <is>
          <t>flat</t>
        </is>
      </c>
      <c r="M43" s="4" t="n">
        <v>3150</v>
      </c>
      <c r="N43" s="4" t="n">
        <v>0.29</v>
      </c>
      <c r="O43" s="3" t="n">
        <v>0</v>
      </c>
      <c r="P43" t="inlineStr">
        <is>
          <t>blended xG</t>
        </is>
      </c>
      <c r="Q43" s="3" t="n">
        <v>1</v>
      </c>
      <c r="R43" s="3" t="n">
        <v>0</v>
      </c>
      <c r="S43" s="3" t="n">
        <v>0.0115</v>
      </c>
      <c r="T43" s="3" t="n">
        <v>0</v>
      </c>
      <c r="U43" s="3" t="n">
        <v>0.3429</v>
      </c>
      <c r="V43" s="3" t="n">
        <v>2</v>
      </c>
      <c r="W43" s="3">
        <f>IF(V43="",IFERROR(VLOOKUP($C43,Assumptions!$A$4:$F$7,6,FALSE),0),V43)</f>
        <v/>
      </c>
      <c r="X43" s="3">
        <f>N(O43)*IFERROR(VLOOKUP($C43,Assumptions!$A$4:$F$7,2,FALSE),0)</f>
        <v/>
      </c>
      <c r="Y43" s="3">
        <f>N(S43)*IFERROR(VLOOKUP($C43,Assumptions!$A$4:$F$7,3,FALSE),0)*Assumptions!$B$11</f>
        <v/>
      </c>
      <c r="Z43" s="3">
        <f>N(N43)*IFERROR(VLOOKUP($C43,Assumptions!$A$4:$F$7,4,FALSE),0)</f>
        <v/>
      </c>
      <c r="AA43" s="3">
        <f>N(T43)*IFERROR(VLOOKUP($C43,Assumptions!$A$4:$F$7,5,FALSE),0)</f>
        <v/>
      </c>
      <c r="AB43" s="3">
        <f>N(U43)</f>
        <v/>
      </c>
      <c r="AC43" s="3">
        <f>SUM(W43:AB43)</f>
        <v/>
      </c>
      <c r="AD43" s="3">
        <f>N(AC43)*N(M43)/90</f>
        <v/>
      </c>
      <c r="AE43" s="3">
        <f>IFERROR(AD43-VLOOKUP($C43,Assumptions!$A$29:$C$32,3,FALSE),"")</f>
        <v/>
      </c>
      <c r="AF43" s="3">
        <f>IFERROR(AE43/F43,"")</f>
        <v/>
      </c>
      <c r="AG43">
        <f>IF(AND($E43=TRUE,$C43="GKP"),AD43,"")</f>
        <v/>
      </c>
      <c r="AH43">
        <f>IF(AND($E43=TRUE,$C43="DEF"),AD43,"")</f>
        <v/>
      </c>
      <c r="AI43">
        <f>IF(AND($E43=TRUE,$C43="MID"),AD43,"")</f>
        <v/>
      </c>
      <c r="AJ43">
        <f>IF(AND($E43=TRUE,$C43="FWD"),AD43,"")</f>
        <v/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b">
        <v>1</v>
      </c>
      <c r="F44" s="2" t="n">
        <v>6.5</v>
      </c>
      <c r="G44" t="inlineStr">
        <is>
          <t>a</t>
        </is>
      </c>
      <c r="I44" s="2" t="n">
        <v>2271</v>
      </c>
      <c r="J44" t="n">
        <v>136</v>
      </c>
      <c r="K44" s="3" t="n">
        <v>2878</v>
      </c>
      <c r="L44" t="inlineStr">
        <is>
          <t>flat</t>
        </is>
      </c>
      <c r="M44" s="4" t="n">
        <v>2271</v>
      </c>
      <c r="N44" s="4" t="n">
        <v>0.263</v>
      </c>
      <c r="O44" s="3" t="n">
        <v>0.2639</v>
      </c>
      <c r="P44" t="inlineStr">
        <is>
          <t>adjusted xGOT</t>
        </is>
      </c>
      <c r="Q44" s="3" t="n">
        <v>0.838</v>
      </c>
      <c r="R44" s="3" t="n">
        <v>22.5</v>
      </c>
      <c r="S44" s="3" t="n">
        <v>0.1978</v>
      </c>
      <c r="T44" s="3" t="n">
        <v>0.08</v>
      </c>
      <c r="U44" s="3" t="n">
        <v>0.6341</v>
      </c>
      <c r="V44" s="3" t="n">
        <v>2.219</v>
      </c>
      <c r="W44" s="3">
        <f>IF(V44="",IFERROR(VLOOKUP($C44,Assumptions!$A$4:$F$7,6,FALSE),0),V44)</f>
        <v/>
      </c>
      <c r="X44" s="3">
        <f>N(O44)*IFERROR(VLOOKUP($C44,Assumptions!$A$4:$F$7,2,FALSE),0)</f>
        <v/>
      </c>
      <c r="Y44" s="3">
        <f>N(S44)*IFERROR(VLOOKUP($C44,Assumptions!$A$4:$F$7,3,FALSE),0)*Assumptions!$B$11</f>
        <v/>
      </c>
      <c r="Z44" s="3">
        <f>N(N44)*IFERROR(VLOOKUP($C44,Assumptions!$A$4:$F$7,4,FALSE),0)</f>
        <v/>
      </c>
      <c r="AA44" s="3">
        <f>N(T44)*IFERROR(VLOOKUP($C44,Assumptions!$A$4:$F$7,5,FALSE),0)</f>
        <v/>
      </c>
      <c r="AB44" s="3">
        <f>N(U44)</f>
        <v/>
      </c>
      <c r="AC44" s="3">
        <f>SUM(W44:AB44)</f>
        <v/>
      </c>
      <c r="AD44" s="3">
        <f>N(AC44)*N(M44)/90</f>
        <v/>
      </c>
      <c r="AE44" s="3">
        <f>IFERROR(AD44-VLOOKUP($C44,Assumptions!$A$29:$C$32,3,FALSE),"")</f>
        <v/>
      </c>
      <c r="AF44" s="3">
        <f>IFERROR(AE44/F44,"")</f>
        <v/>
      </c>
      <c r="AG44">
        <f>IF(AND($E44=TRUE,$C44="GKP"),AD44,"")</f>
        <v/>
      </c>
      <c r="AH44">
        <f>IF(AND($E44=TRUE,$C44="DEF"),AD44,"")</f>
        <v/>
      </c>
      <c r="AI44">
        <f>IF(AND($E44=TRUE,$C44="MID"),AD44,"")</f>
        <v/>
      </c>
      <c r="AJ44">
        <f>IF(AND($E44=TRUE,$C44="FWD"),AD44,"")</f>
        <v/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b">
        <v>1</v>
      </c>
      <c r="F45" s="2" t="n">
        <v>6</v>
      </c>
      <c r="G45" t="inlineStr">
        <is>
          <t>a</t>
        </is>
      </c>
      <c r="I45" s="2" t="n">
        <v>2848</v>
      </c>
      <c r="J45" t="n">
        <v>136</v>
      </c>
      <c r="K45" s="3" t="n">
        <v>3175</v>
      </c>
      <c r="L45" t="inlineStr">
        <is>
          <t>flat</t>
        </is>
      </c>
      <c r="M45" s="4" t="n">
        <v>2848</v>
      </c>
      <c r="N45" s="4" t="n">
        <v>0.29</v>
      </c>
      <c r="O45" s="3" t="n">
        <v>0.116</v>
      </c>
      <c r="P45" t="inlineStr">
        <is>
          <t>adjusted xGOT</t>
        </is>
      </c>
      <c r="Q45" s="3" t="n">
        <v>0.966</v>
      </c>
      <c r="R45" s="3" t="n">
        <v>5.4</v>
      </c>
      <c r="S45" s="3" t="n">
        <v>0.0921</v>
      </c>
      <c r="T45" s="3" t="n">
        <v>0.441</v>
      </c>
      <c r="U45" s="3" t="n">
        <v>0.2844</v>
      </c>
      <c r="V45" s="3" t="n">
        <v>2.212</v>
      </c>
      <c r="W45" s="3">
        <f>IF(V45="",IFERROR(VLOOKUP($C45,Assumptions!$A$4:$F$7,6,FALSE),0),V45)</f>
        <v/>
      </c>
      <c r="X45" s="3">
        <f>N(O45)*IFERROR(VLOOKUP($C45,Assumptions!$A$4:$F$7,2,FALSE),0)</f>
        <v/>
      </c>
      <c r="Y45" s="3">
        <f>N(S45)*IFERROR(VLOOKUP($C45,Assumptions!$A$4:$F$7,3,FALSE),0)*Assumptions!$B$11</f>
        <v/>
      </c>
      <c r="Z45" s="3">
        <f>N(N45)*IFERROR(VLOOKUP($C45,Assumptions!$A$4:$F$7,4,FALSE),0)</f>
        <v/>
      </c>
      <c r="AA45" s="3">
        <f>N(T45)*IFERROR(VLOOKUP($C45,Assumptions!$A$4:$F$7,5,FALSE),0)</f>
        <v/>
      </c>
      <c r="AB45" s="3">
        <f>N(U45)</f>
        <v/>
      </c>
      <c r="AC45" s="3">
        <f>SUM(W45:AB45)</f>
        <v/>
      </c>
      <c r="AD45" s="3">
        <f>N(AC45)*N(M45)/90</f>
        <v/>
      </c>
      <c r="AE45" s="3">
        <f>IFERROR(AD45-VLOOKUP($C45,Assumptions!$A$29:$C$32,3,FALSE),"")</f>
        <v/>
      </c>
      <c r="AF45" s="3">
        <f>IFERROR(AE45/F45,"")</f>
        <v/>
      </c>
      <c r="AG45">
        <f>IF(AND($E45=TRUE,$C45="GKP"),AD45,"")</f>
        <v/>
      </c>
      <c r="AH45">
        <f>IF(AND($E45=TRUE,$C45="DEF"),AD45,"")</f>
        <v/>
      </c>
      <c r="AI45">
        <f>IF(AND($E45=TRUE,$C45="MID"),AD45,"")</f>
        <v/>
      </c>
      <c r="AJ45">
        <f>IF(AND($E45=TRUE,$C45="FWD"),AD45,"")</f>
        <v/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b">
        <v>1</v>
      </c>
      <c r="F46" s="2" t="n">
        <v>6</v>
      </c>
      <c r="G46" t="inlineStr">
        <is>
          <t>a</t>
        </is>
      </c>
      <c r="I46" s="2" t="n">
        <v>3017</v>
      </c>
      <c r="J46" t="n">
        <v>135</v>
      </c>
      <c r="K46" s="3" t="n">
        <v>3089</v>
      </c>
      <c r="L46" t="inlineStr">
        <is>
          <t>flat</t>
        </is>
      </c>
      <c r="M46" s="4" t="n">
        <v>3017</v>
      </c>
      <c r="N46" s="4" t="n">
        <v>0.237</v>
      </c>
      <c r="O46" s="3" t="n">
        <v>0.0501</v>
      </c>
      <c r="P46" t="inlineStr">
        <is>
          <t>adjusted xGOT</t>
        </is>
      </c>
      <c r="Q46" s="3" t="n">
        <v>0.843</v>
      </c>
      <c r="R46" s="3" t="n">
        <v>6.1</v>
      </c>
      <c r="S46" s="3" t="n">
        <v>0.0939</v>
      </c>
      <c r="T46" s="3" t="n">
        <v>0.429</v>
      </c>
      <c r="U46" s="3" t="n">
        <v>0.179</v>
      </c>
      <c r="V46" s="3" t="n">
        <v>2.088</v>
      </c>
      <c r="W46" s="3">
        <f>IF(V46="",IFERROR(VLOOKUP($C46,Assumptions!$A$4:$F$7,6,FALSE),0),V46)</f>
        <v/>
      </c>
      <c r="X46" s="3">
        <f>N(O46)*IFERROR(VLOOKUP($C46,Assumptions!$A$4:$F$7,2,FALSE),0)</f>
        <v/>
      </c>
      <c r="Y46" s="3">
        <f>N(S46)*IFERROR(VLOOKUP($C46,Assumptions!$A$4:$F$7,3,FALSE),0)*Assumptions!$B$11</f>
        <v/>
      </c>
      <c r="Z46" s="3">
        <f>N(N46)*IFERROR(VLOOKUP($C46,Assumptions!$A$4:$F$7,4,FALSE),0)</f>
        <v/>
      </c>
      <c r="AA46" s="3">
        <f>N(T46)*IFERROR(VLOOKUP($C46,Assumptions!$A$4:$F$7,5,FALSE),0)</f>
        <v/>
      </c>
      <c r="AB46" s="3">
        <f>N(U46)</f>
        <v/>
      </c>
      <c r="AC46" s="3">
        <f>SUM(W46:AB46)</f>
        <v/>
      </c>
      <c r="AD46" s="3">
        <f>N(AC46)*N(M46)/90</f>
        <v/>
      </c>
      <c r="AE46" s="3">
        <f>IFERROR(AD46-VLOOKUP($C46,Assumptions!$A$29:$C$32,3,FALSE),"")</f>
        <v/>
      </c>
      <c r="AF46" s="3">
        <f>IFERROR(AE46/F46,"")</f>
        <v/>
      </c>
      <c r="AG46">
        <f>IF(AND($E46=TRUE,$C46="GKP"),AD46,"")</f>
        <v/>
      </c>
      <c r="AH46">
        <f>IF(AND($E46=TRUE,$C46="DEF"),AD46,"")</f>
        <v/>
      </c>
      <c r="AI46">
        <f>IF(AND($E46=TRUE,$C46="MID"),AD46,"")</f>
        <v/>
      </c>
      <c r="AJ46">
        <f>IF(AND($E46=TRUE,$C46="FWD"),AD46,"")</f>
        <v/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b">
        <v>1</v>
      </c>
      <c r="F47" s="2" t="n">
        <v>7.5</v>
      </c>
      <c r="G47" t="inlineStr">
        <is>
          <t>a</t>
        </is>
      </c>
      <c r="I47" s="2" t="n">
        <v>1772</v>
      </c>
      <c r="J47" t="n">
        <v>135</v>
      </c>
      <c r="K47" s="3" t="n">
        <v>1796</v>
      </c>
      <c r="L47" t="inlineStr">
        <is>
          <t>flat</t>
        </is>
      </c>
      <c r="M47" s="4" t="n">
        <v>1772</v>
      </c>
      <c r="N47" s="4" t="n">
        <v>0.421</v>
      </c>
      <c r="O47" s="3" t="n">
        <v>0.2231</v>
      </c>
      <c r="P47" t="inlineStr">
        <is>
          <t>adjusted xGOT</t>
        </is>
      </c>
      <c r="Q47" s="3" t="n">
        <v>1.026</v>
      </c>
      <c r="R47" s="3" t="n">
        <v>4.3</v>
      </c>
      <c r="S47" s="3" t="n">
        <v>0.4991</v>
      </c>
      <c r="T47" s="3" t="n">
        <v>0.105</v>
      </c>
      <c r="U47" s="3" t="n">
        <v>0.8126</v>
      </c>
      <c r="V47" s="3" t="n">
        <v>2.489</v>
      </c>
      <c r="W47" s="3">
        <f>IF(V47="",IFERROR(VLOOKUP($C47,Assumptions!$A$4:$F$7,6,FALSE),0),V47)</f>
        <v/>
      </c>
      <c r="X47" s="3">
        <f>N(O47)*IFERROR(VLOOKUP($C47,Assumptions!$A$4:$F$7,2,FALSE),0)</f>
        <v/>
      </c>
      <c r="Y47" s="3">
        <f>N(S47)*IFERROR(VLOOKUP($C47,Assumptions!$A$4:$F$7,3,FALSE),0)*Assumptions!$B$11</f>
        <v/>
      </c>
      <c r="Z47" s="3">
        <f>N(N47)*IFERROR(VLOOKUP($C47,Assumptions!$A$4:$F$7,4,FALSE),0)</f>
        <v/>
      </c>
      <c r="AA47" s="3">
        <f>N(T47)*IFERROR(VLOOKUP($C47,Assumptions!$A$4:$F$7,5,FALSE),0)</f>
        <v/>
      </c>
      <c r="AB47" s="3">
        <f>N(U47)</f>
        <v/>
      </c>
      <c r="AC47" s="3">
        <f>SUM(W47:AB47)</f>
        <v/>
      </c>
      <c r="AD47" s="3">
        <f>N(AC47)*N(M47)/90</f>
        <v/>
      </c>
      <c r="AE47" s="3">
        <f>IFERROR(AD47-VLOOKUP($C47,Assumptions!$A$29:$C$32,3,FALSE),"")</f>
        <v/>
      </c>
      <c r="AF47" s="3">
        <f>IFERROR(AE47/F47,"")</f>
        <v/>
      </c>
      <c r="AG47">
        <f>IF(AND($E47=TRUE,$C47="GKP"),AD47,"")</f>
        <v/>
      </c>
      <c r="AH47">
        <f>IF(AND($E47=TRUE,$C47="DEF"),AD47,"")</f>
        <v/>
      </c>
      <c r="AI47">
        <f>IF(AND($E47=TRUE,$C47="MID"),AD47,"")</f>
        <v/>
      </c>
      <c r="AJ47">
        <f>IF(AND($E47=TRUE,$C47="FWD"),AD47,"")</f>
        <v/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b">
        <v>1</v>
      </c>
      <c r="F48" s="2" t="n">
        <v>5.5</v>
      </c>
      <c r="G48" t="inlineStr">
        <is>
          <t>a</t>
        </is>
      </c>
      <c r="I48" s="2" t="n">
        <v>3420</v>
      </c>
      <c r="J48" t="n">
        <v>135</v>
      </c>
      <c r="K48" s="3" t="n">
        <v>3385</v>
      </c>
      <c r="L48" t="inlineStr">
        <is>
          <t>flat</t>
        </is>
      </c>
      <c r="M48" s="4" t="n">
        <v>3420</v>
      </c>
      <c r="N48" s="4" t="n">
        <v>0.29</v>
      </c>
      <c r="O48" s="3" t="n">
        <v>0</v>
      </c>
      <c r="P48" t="inlineStr">
        <is>
          <t>blended xG</t>
        </is>
      </c>
      <c r="Q48" s="3" t="n">
        <v>1</v>
      </c>
      <c r="R48" s="3" t="n">
        <v>0</v>
      </c>
      <c r="S48" s="3" t="n">
        <v>0.0057</v>
      </c>
      <c r="T48" s="3" t="n">
        <v>0</v>
      </c>
      <c r="U48" s="3" t="n">
        <v>0.3947</v>
      </c>
      <c r="V48" s="3" t="n">
        <v>2</v>
      </c>
      <c r="W48" s="3">
        <f>IF(V48="",IFERROR(VLOOKUP($C48,Assumptions!$A$4:$F$7,6,FALSE),0),V48)</f>
        <v/>
      </c>
      <c r="X48" s="3">
        <f>N(O48)*IFERROR(VLOOKUP($C48,Assumptions!$A$4:$F$7,2,FALSE),0)</f>
        <v/>
      </c>
      <c r="Y48" s="3">
        <f>N(S48)*IFERROR(VLOOKUP($C48,Assumptions!$A$4:$F$7,3,FALSE),0)*Assumptions!$B$11</f>
        <v/>
      </c>
      <c r="Z48" s="3">
        <f>N(N48)*IFERROR(VLOOKUP($C48,Assumptions!$A$4:$F$7,4,FALSE),0)</f>
        <v/>
      </c>
      <c r="AA48" s="3">
        <f>N(T48)*IFERROR(VLOOKUP($C48,Assumptions!$A$4:$F$7,5,FALSE),0)</f>
        <v/>
      </c>
      <c r="AB48" s="3">
        <f>N(U48)</f>
        <v/>
      </c>
      <c r="AC48" s="3">
        <f>SUM(W48:AB48)</f>
        <v/>
      </c>
      <c r="AD48" s="3">
        <f>N(AC48)*N(M48)/90</f>
        <v/>
      </c>
      <c r="AE48" s="3">
        <f>IFERROR(AD48-VLOOKUP($C48,Assumptions!$A$29:$C$32,3,FALSE),"")</f>
        <v/>
      </c>
      <c r="AF48" s="3">
        <f>IFERROR(AE48/F48,"")</f>
        <v/>
      </c>
      <c r="AG48">
        <f>IF(AND($E48=TRUE,$C48="GKP"),AD48,"")</f>
        <v/>
      </c>
      <c r="AH48">
        <f>IF(AND($E48=TRUE,$C48="DEF"),AD48,"")</f>
        <v/>
      </c>
      <c r="AI48">
        <f>IF(AND($E48=TRUE,$C48="MID"),AD48,"")</f>
        <v/>
      </c>
      <c r="AJ48">
        <f>IF(AND($E48=TRUE,$C48="FWD"),AD48,"")</f>
        <v/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b">
        <v>1</v>
      </c>
      <c r="F49" s="2" t="n">
        <v>5.5</v>
      </c>
      <c r="G49" t="inlineStr">
        <is>
          <t>a</t>
        </is>
      </c>
      <c r="I49" s="2" t="n">
        <v>3060</v>
      </c>
      <c r="J49" t="n">
        <v>135</v>
      </c>
      <c r="K49" s="3" t="n">
        <v>3420</v>
      </c>
      <c r="L49" t="inlineStr">
        <is>
          <t>flat</t>
        </is>
      </c>
      <c r="M49" s="4" t="n">
        <v>3060</v>
      </c>
      <c r="N49" s="4" t="n">
        <v>0.421</v>
      </c>
      <c r="O49" s="3" t="n">
        <v>0</v>
      </c>
      <c r="P49" t="inlineStr">
        <is>
          <t>blended xG</t>
        </is>
      </c>
      <c r="Q49" s="3" t="n">
        <v>1</v>
      </c>
      <c r="R49" s="3" t="n">
        <v>0</v>
      </c>
      <c r="S49" s="3" t="n">
        <v>0.0019</v>
      </c>
      <c r="T49" s="3" t="n">
        <v>0</v>
      </c>
      <c r="U49" s="3" t="n">
        <v>0.1765</v>
      </c>
      <c r="V49" s="3" t="n">
        <v>2</v>
      </c>
      <c r="W49" s="3">
        <f>IF(V49="",IFERROR(VLOOKUP($C49,Assumptions!$A$4:$F$7,6,FALSE),0),V49)</f>
        <v/>
      </c>
      <c r="X49" s="3">
        <f>N(O49)*IFERROR(VLOOKUP($C49,Assumptions!$A$4:$F$7,2,FALSE),0)</f>
        <v/>
      </c>
      <c r="Y49" s="3">
        <f>N(S49)*IFERROR(VLOOKUP($C49,Assumptions!$A$4:$F$7,3,FALSE),0)*Assumptions!$B$11</f>
        <v/>
      </c>
      <c r="Z49" s="3">
        <f>N(N49)*IFERROR(VLOOKUP($C49,Assumptions!$A$4:$F$7,4,FALSE),0)</f>
        <v/>
      </c>
      <c r="AA49" s="3">
        <f>N(T49)*IFERROR(VLOOKUP($C49,Assumptions!$A$4:$F$7,5,FALSE),0)</f>
        <v/>
      </c>
      <c r="AB49" s="3">
        <f>N(U49)</f>
        <v/>
      </c>
      <c r="AC49" s="3">
        <f>SUM(W49:AB49)</f>
        <v/>
      </c>
      <c r="AD49" s="3">
        <f>N(AC49)*N(M49)/90</f>
        <v/>
      </c>
      <c r="AE49" s="3">
        <f>IFERROR(AD49-VLOOKUP($C49,Assumptions!$A$29:$C$32,3,FALSE),"")</f>
        <v/>
      </c>
      <c r="AF49" s="3">
        <f>IFERROR(AE49/F49,"")</f>
        <v/>
      </c>
      <c r="AG49">
        <f>IF(AND($E49=TRUE,$C49="GKP"),AD49,"")</f>
        <v/>
      </c>
      <c r="AH49">
        <f>IF(AND($E49=TRUE,$C49="DEF"),AD49,"")</f>
        <v/>
      </c>
      <c r="AI49">
        <f>IF(AND($E49=TRUE,$C49="MID"),AD49,"")</f>
        <v/>
      </c>
      <c r="AJ49">
        <f>IF(AND($E49=TRUE,$C49="FWD"),AD49,"")</f>
        <v/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b">
        <v>1</v>
      </c>
      <c r="F50" s="2" t="n">
        <v>4.5</v>
      </c>
      <c r="G50" t="inlineStr">
        <is>
          <t>a</t>
        </is>
      </c>
      <c r="I50" s="2" t="n">
        <v>3253</v>
      </c>
      <c r="J50" t="n">
        <v>135</v>
      </c>
      <c r="K50" s="3" t="n">
        <v>2554</v>
      </c>
      <c r="L50" t="inlineStr">
        <is>
          <t>flat</t>
        </is>
      </c>
      <c r="M50" s="4" t="n">
        <v>3253</v>
      </c>
      <c r="N50" s="4" t="n">
        <v>0.316</v>
      </c>
      <c r="O50" s="3" t="n">
        <v>0.0427</v>
      </c>
      <c r="P50" t="inlineStr">
        <is>
          <t>adjusted xGOT</t>
        </is>
      </c>
      <c r="Q50" s="3" t="n">
        <v>0.97</v>
      </c>
      <c r="R50" s="3" t="n">
        <v>4.8</v>
      </c>
      <c r="S50" s="3" t="n">
        <v>0.077</v>
      </c>
      <c r="T50" s="3" t="n">
        <v>0.167</v>
      </c>
      <c r="U50" s="3" t="n">
        <v>0.2213</v>
      </c>
      <c r="V50" s="3" t="n">
        <v>2.02</v>
      </c>
      <c r="W50" s="3">
        <f>IF(V50="",IFERROR(VLOOKUP($C50,Assumptions!$A$4:$F$7,6,FALSE),0),V50)</f>
        <v/>
      </c>
      <c r="X50" s="3">
        <f>N(O50)*IFERROR(VLOOKUP($C50,Assumptions!$A$4:$F$7,2,FALSE),0)</f>
        <v/>
      </c>
      <c r="Y50" s="3">
        <f>N(S50)*IFERROR(VLOOKUP($C50,Assumptions!$A$4:$F$7,3,FALSE),0)*Assumptions!$B$11</f>
        <v/>
      </c>
      <c r="Z50" s="3">
        <f>N(N50)*IFERROR(VLOOKUP($C50,Assumptions!$A$4:$F$7,4,FALSE),0)</f>
        <v/>
      </c>
      <c r="AA50" s="3">
        <f>N(T50)*IFERROR(VLOOKUP($C50,Assumptions!$A$4:$F$7,5,FALSE),0)</f>
        <v/>
      </c>
      <c r="AB50" s="3">
        <f>N(U50)</f>
        <v/>
      </c>
      <c r="AC50" s="3">
        <f>SUM(W50:AB50)</f>
        <v/>
      </c>
      <c r="AD50" s="3">
        <f>N(AC50)*N(M50)/90</f>
        <v/>
      </c>
      <c r="AE50" s="3">
        <f>IFERROR(AD50-VLOOKUP($C50,Assumptions!$A$29:$C$32,3,FALSE),"")</f>
        <v/>
      </c>
      <c r="AF50" s="3">
        <f>IFERROR(AE50/F50,"")</f>
        <v/>
      </c>
      <c r="AG50">
        <f>IF(AND($E50=TRUE,$C50="GKP"),AD50,"")</f>
        <v/>
      </c>
      <c r="AH50">
        <f>IF(AND($E50=TRUE,$C50="DEF"),AD50,"")</f>
        <v/>
      </c>
      <c r="AI50">
        <f>IF(AND($E50=TRUE,$C50="MID"),AD50,"")</f>
        <v/>
      </c>
      <c r="AJ50">
        <f>IF(AND($E50=TRUE,$C50="FWD"),AD50,"")</f>
        <v/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b">
        <v>1</v>
      </c>
      <c r="F51" s="2" t="n">
        <v>5.5</v>
      </c>
      <c r="G51" t="inlineStr">
        <is>
          <t>a</t>
        </is>
      </c>
      <c r="I51" s="2" t="n">
        <v>3119</v>
      </c>
      <c r="J51" t="n">
        <v>134</v>
      </c>
      <c r="K51" s="3" t="n">
        <v>3207</v>
      </c>
      <c r="L51" t="inlineStr">
        <is>
          <t>flat</t>
        </is>
      </c>
      <c r="M51" s="4" t="n">
        <v>3119</v>
      </c>
      <c r="N51" s="4" t="n">
        <v>0.21</v>
      </c>
      <c r="O51" s="3" t="n">
        <v>0.0688</v>
      </c>
      <c r="P51" t="inlineStr">
        <is>
          <t>adjusted xGOT</t>
        </is>
      </c>
      <c r="Q51" s="3" t="n">
        <v>0.965</v>
      </c>
      <c r="R51" s="3" t="n">
        <v>2.5</v>
      </c>
      <c r="S51" s="3" t="n">
        <v>0.0487</v>
      </c>
      <c r="T51" s="3" t="n">
        <v>0.543</v>
      </c>
      <c r="U51" s="3" t="n">
        <v>0.3174</v>
      </c>
      <c r="V51" s="3" t="n">
        <v>2.02</v>
      </c>
      <c r="W51" s="3">
        <f>IF(V51="",IFERROR(VLOOKUP($C51,Assumptions!$A$4:$F$7,6,FALSE),0),V51)</f>
        <v/>
      </c>
      <c r="X51" s="3">
        <f>N(O51)*IFERROR(VLOOKUP($C51,Assumptions!$A$4:$F$7,2,FALSE),0)</f>
        <v/>
      </c>
      <c r="Y51" s="3">
        <f>N(S51)*IFERROR(VLOOKUP($C51,Assumptions!$A$4:$F$7,3,FALSE),0)*Assumptions!$B$11</f>
        <v/>
      </c>
      <c r="Z51" s="3">
        <f>N(N51)*IFERROR(VLOOKUP($C51,Assumptions!$A$4:$F$7,4,FALSE),0)</f>
        <v/>
      </c>
      <c r="AA51" s="3">
        <f>N(T51)*IFERROR(VLOOKUP($C51,Assumptions!$A$4:$F$7,5,FALSE),0)</f>
        <v/>
      </c>
      <c r="AB51" s="3">
        <f>N(U51)</f>
        <v/>
      </c>
      <c r="AC51" s="3">
        <f>SUM(W51:AB51)</f>
        <v/>
      </c>
      <c r="AD51" s="3">
        <f>N(AC51)*N(M51)/90</f>
        <v/>
      </c>
      <c r="AE51" s="3">
        <f>IFERROR(AD51-VLOOKUP($C51,Assumptions!$A$29:$C$32,3,FALSE),"")</f>
        <v/>
      </c>
      <c r="AF51" s="3">
        <f>IFERROR(AE51/F51,"")</f>
        <v/>
      </c>
      <c r="AG51">
        <f>IF(AND($E51=TRUE,$C51="GKP"),AD51,"")</f>
        <v/>
      </c>
      <c r="AH51">
        <f>IF(AND($E51=TRUE,$C51="DEF"),AD51,"")</f>
        <v/>
      </c>
      <c r="AI51">
        <f>IF(AND($E51=TRUE,$C51="MID"),AD51,"")</f>
        <v/>
      </c>
      <c r="AJ51">
        <f>IF(AND($E51=TRUE,$C51="FWD"),AD51,"")</f>
        <v/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b">
        <v>1</v>
      </c>
      <c r="F52" s="2" t="n">
        <v>5.5</v>
      </c>
      <c r="G52" t="inlineStr">
        <is>
          <t>a</t>
        </is>
      </c>
      <c r="I52" s="2" t="n">
        <v>2991</v>
      </c>
      <c r="J52" t="n">
        <v>133</v>
      </c>
      <c r="K52" s="3" t="n">
        <v>891</v>
      </c>
      <c r="L52" t="inlineStr">
        <is>
          <t>fade (losing his place)</t>
        </is>
      </c>
      <c r="M52" s="4" t="n">
        <v>2991</v>
      </c>
      <c r="N52" s="4" t="n">
        <v>0.5</v>
      </c>
      <c r="O52" s="3" t="n">
        <v>0.0914</v>
      </c>
      <c r="P52" t="inlineStr">
        <is>
          <t>adjusted xGOT</t>
        </is>
      </c>
      <c r="Q52" s="3" t="n">
        <v>1.07</v>
      </c>
      <c r="R52" s="3" t="n">
        <v>2.8</v>
      </c>
      <c r="S52" s="3" t="n">
        <v>0.0505</v>
      </c>
      <c r="T52" s="3" t="n">
        <v>0.206</v>
      </c>
      <c r="U52" s="3" t="n">
        <v>0.2708</v>
      </c>
      <c r="V52" s="3" t="n">
        <v>2.106</v>
      </c>
      <c r="W52" s="3">
        <f>IF(V52="",IFERROR(VLOOKUP($C52,Assumptions!$A$4:$F$7,6,FALSE),0),V52)</f>
        <v/>
      </c>
      <c r="X52" s="3">
        <f>N(O52)*IFERROR(VLOOKUP($C52,Assumptions!$A$4:$F$7,2,FALSE),0)</f>
        <v/>
      </c>
      <c r="Y52" s="3">
        <f>N(S52)*IFERROR(VLOOKUP($C52,Assumptions!$A$4:$F$7,3,FALSE),0)*Assumptions!$B$11</f>
        <v/>
      </c>
      <c r="Z52" s="3">
        <f>N(N52)*IFERROR(VLOOKUP($C52,Assumptions!$A$4:$F$7,4,FALSE),0)</f>
        <v/>
      </c>
      <c r="AA52" s="3">
        <f>N(T52)*IFERROR(VLOOKUP($C52,Assumptions!$A$4:$F$7,5,FALSE),0)</f>
        <v/>
      </c>
      <c r="AB52" s="3">
        <f>N(U52)</f>
        <v/>
      </c>
      <c r="AC52" s="3">
        <f>SUM(W52:AB52)</f>
        <v/>
      </c>
      <c r="AD52" s="3">
        <f>N(AC52)*N(M52)/90</f>
        <v/>
      </c>
      <c r="AE52" s="3">
        <f>IFERROR(AD52-VLOOKUP($C52,Assumptions!$A$29:$C$32,3,FALSE),"")</f>
        <v/>
      </c>
      <c r="AF52" s="3">
        <f>IFERROR(AE52/F52,"")</f>
        <v/>
      </c>
      <c r="AG52">
        <f>IF(AND($E52=TRUE,$C52="GKP"),AD52,"")</f>
        <v/>
      </c>
      <c r="AH52">
        <f>IF(AND($E52=TRUE,$C52="DEF"),AD52,"")</f>
        <v/>
      </c>
      <c r="AI52">
        <f>IF(AND($E52=TRUE,$C52="MID"),AD52,"")</f>
        <v/>
      </c>
      <c r="AJ52">
        <f>IF(AND($E52=TRUE,$C52="FWD"),AD52,"")</f>
        <v/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b">
        <v>1</v>
      </c>
      <c r="F53" s="2" t="n">
        <v>7</v>
      </c>
      <c r="G53" t="inlineStr">
        <is>
          <t>a</t>
        </is>
      </c>
      <c r="I53" s="2" t="n">
        <v>2736</v>
      </c>
      <c r="J53" t="n">
        <v>131</v>
      </c>
      <c r="K53" s="3" t="n">
        <v>2457</v>
      </c>
      <c r="L53" t="inlineStr">
        <is>
          <t>flat</t>
        </is>
      </c>
      <c r="M53" s="4" t="n">
        <v>2736</v>
      </c>
      <c r="N53" s="4" t="n">
        <v>0.263</v>
      </c>
      <c r="O53" s="3" t="n">
        <v>0.2404</v>
      </c>
      <c r="P53" t="inlineStr">
        <is>
          <t>adjusted xGOT</t>
        </is>
      </c>
      <c r="Q53" s="3" t="n">
        <v>0.875</v>
      </c>
      <c r="R53" s="3" t="n">
        <v>31</v>
      </c>
      <c r="S53" s="3" t="n">
        <v>0.1852</v>
      </c>
      <c r="T53" s="3" t="n">
        <v>0.031</v>
      </c>
      <c r="U53" s="3" t="n">
        <v>0.1645</v>
      </c>
      <c r="V53" s="3" t="n">
        <v>2.204</v>
      </c>
      <c r="W53" s="3">
        <f>IF(V53="",IFERROR(VLOOKUP($C53,Assumptions!$A$4:$F$7,6,FALSE),0),V53)</f>
        <v/>
      </c>
      <c r="X53" s="3">
        <f>N(O53)*IFERROR(VLOOKUP($C53,Assumptions!$A$4:$F$7,2,FALSE),0)</f>
        <v/>
      </c>
      <c r="Y53" s="3">
        <f>N(S53)*IFERROR(VLOOKUP($C53,Assumptions!$A$4:$F$7,3,FALSE),0)*Assumptions!$B$11</f>
        <v/>
      </c>
      <c r="Z53" s="3">
        <f>N(N53)*IFERROR(VLOOKUP($C53,Assumptions!$A$4:$F$7,4,FALSE),0)</f>
        <v/>
      </c>
      <c r="AA53" s="3">
        <f>N(T53)*IFERROR(VLOOKUP($C53,Assumptions!$A$4:$F$7,5,FALSE),0)</f>
        <v/>
      </c>
      <c r="AB53" s="3">
        <f>N(U53)</f>
        <v/>
      </c>
      <c r="AC53" s="3">
        <f>SUM(W53:AB53)</f>
        <v/>
      </c>
      <c r="AD53" s="3">
        <f>N(AC53)*N(M53)/90</f>
        <v/>
      </c>
      <c r="AE53" s="3">
        <f>IFERROR(AD53-VLOOKUP($C53,Assumptions!$A$29:$C$32,3,FALSE),"")</f>
        <v/>
      </c>
      <c r="AF53" s="3">
        <f>IFERROR(AE53/F53,"")</f>
        <v/>
      </c>
      <c r="AG53">
        <f>IF(AND($E53=TRUE,$C53="GKP"),AD53,"")</f>
        <v/>
      </c>
      <c r="AH53">
        <f>IF(AND($E53=TRUE,$C53="DEF"),AD53,"")</f>
        <v/>
      </c>
      <c r="AI53">
        <f>IF(AND($E53=TRUE,$C53="MID"),AD53,"")</f>
        <v/>
      </c>
      <c r="AJ53">
        <f>IF(AND($E53=TRUE,$C53="FWD"),AD53,"")</f>
        <v/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b">
        <v>1</v>
      </c>
      <c r="F54" s="2" t="n">
        <v>5</v>
      </c>
      <c r="G54" t="inlineStr">
        <is>
          <t>a</t>
        </is>
      </c>
      <c r="I54" s="2" t="n">
        <v>3330</v>
      </c>
      <c r="J54" t="n">
        <v>131</v>
      </c>
      <c r="K54" s="3" t="n">
        <v>3385</v>
      </c>
      <c r="L54" t="inlineStr">
        <is>
          <t>flat</t>
        </is>
      </c>
      <c r="M54" s="4" t="n">
        <v>3330</v>
      </c>
      <c r="N54" s="4" t="n">
        <v>0.316</v>
      </c>
      <c r="O54" s="3" t="n">
        <v>0</v>
      </c>
      <c r="P54" t="inlineStr">
        <is>
          <t>adjusted xGOT</t>
        </is>
      </c>
      <c r="Q54" s="3" t="n">
        <v>0.999</v>
      </c>
      <c r="R54" s="3" t="n">
        <v>0</v>
      </c>
      <c r="S54" s="3" t="n">
        <v>0.0017</v>
      </c>
      <c r="T54" s="3" t="n">
        <v>0</v>
      </c>
      <c r="U54" s="3" t="n">
        <v>0.1892</v>
      </c>
      <c r="V54" s="3" t="n">
        <v>2</v>
      </c>
      <c r="W54" s="3">
        <f>IF(V54="",IFERROR(VLOOKUP($C54,Assumptions!$A$4:$F$7,6,FALSE),0),V54)</f>
        <v/>
      </c>
      <c r="X54" s="3">
        <f>N(O54)*IFERROR(VLOOKUP($C54,Assumptions!$A$4:$F$7,2,FALSE),0)</f>
        <v/>
      </c>
      <c r="Y54" s="3">
        <f>N(S54)*IFERROR(VLOOKUP($C54,Assumptions!$A$4:$F$7,3,FALSE),0)*Assumptions!$B$11</f>
        <v/>
      </c>
      <c r="Z54" s="3">
        <f>N(N54)*IFERROR(VLOOKUP($C54,Assumptions!$A$4:$F$7,4,FALSE),0)</f>
        <v/>
      </c>
      <c r="AA54" s="3">
        <f>N(T54)*IFERROR(VLOOKUP($C54,Assumptions!$A$4:$F$7,5,FALSE),0)</f>
        <v/>
      </c>
      <c r="AB54" s="3">
        <f>N(U54)</f>
        <v/>
      </c>
      <c r="AC54" s="3">
        <f>SUM(W54:AB54)</f>
        <v/>
      </c>
      <c r="AD54" s="3">
        <f>N(AC54)*N(M54)/90</f>
        <v/>
      </c>
      <c r="AE54" s="3">
        <f>IFERROR(AD54-VLOOKUP($C54,Assumptions!$A$29:$C$32,3,FALSE),"")</f>
        <v/>
      </c>
      <c r="AF54" s="3">
        <f>IFERROR(AE54/F54,"")</f>
        <v/>
      </c>
      <c r="AG54">
        <f>IF(AND($E54=TRUE,$C54="GKP"),AD54,"")</f>
        <v/>
      </c>
      <c r="AH54">
        <f>IF(AND($E54=TRUE,$C54="DEF"),AD54,"")</f>
        <v/>
      </c>
      <c r="AI54">
        <f>IF(AND($E54=TRUE,$C54="MID"),AD54,"")</f>
        <v/>
      </c>
      <c r="AJ54">
        <f>IF(AND($E54=TRUE,$C54="FWD"),AD54,"")</f>
        <v/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b">
        <v>1</v>
      </c>
      <c r="F55" s="2" t="n">
        <v>5</v>
      </c>
      <c r="G55" t="inlineStr">
        <is>
          <t>a</t>
        </is>
      </c>
      <c r="I55" s="2" t="n">
        <v>2588</v>
      </c>
      <c r="J55" t="n">
        <v>131</v>
      </c>
      <c r="K55" s="3" t="n">
        <v>623</v>
      </c>
      <c r="L55" t="inlineStr">
        <is>
          <t>flat</t>
        </is>
      </c>
      <c r="M55" s="4" t="n">
        <v>2588</v>
      </c>
      <c r="N55" s="4" t="n">
        <v>0.29</v>
      </c>
      <c r="O55" s="3" t="n">
        <v>0.08400000000000001</v>
      </c>
      <c r="P55" t="inlineStr">
        <is>
          <t>adjusted xGOT</t>
        </is>
      </c>
      <c r="Q55" s="3" t="n">
        <v>1.05</v>
      </c>
      <c r="R55" s="3" t="n">
        <v>4.8</v>
      </c>
      <c r="S55" s="3" t="n">
        <v>0.0108</v>
      </c>
      <c r="T55" s="3" t="n">
        <v>0.517</v>
      </c>
      <c r="U55" s="3" t="n">
        <v>0.313</v>
      </c>
      <c r="V55" s="3" t="n">
        <v>2.156</v>
      </c>
      <c r="W55" s="3">
        <f>IF(V55="",IFERROR(VLOOKUP($C55,Assumptions!$A$4:$F$7,6,FALSE),0),V55)</f>
        <v/>
      </c>
      <c r="X55" s="3">
        <f>N(O55)*IFERROR(VLOOKUP($C55,Assumptions!$A$4:$F$7,2,FALSE),0)</f>
        <v/>
      </c>
      <c r="Y55" s="3">
        <f>N(S55)*IFERROR(VLOOKUP($C55,Assumptions!$A$4:$F$7,3,FALSE),0)*Assumptions!$B$11</f>
        <v/>
      </c>
      <c r="Z55" s="3">
        <f>N(N55)*IFERROR(VLOOKUP($C55,Assumptions!$A$4:$F$7,4,FALSE),0)</f>
        <v/>
      </c>
      <c r="AA55" s="3">
        <f>N(T55)*IFERROR(VLOOKUP($C55,Assumptions!$A$4:$F$7,5,FALSE),0)</f>
        <v/>
      </c>
      <c r="AB55" s="3">
        <f>N(U55)</f>
        <v/>
      </c>
      <c r="AC55" s="3">
        <f>SUM(W55:AB55)</f>
        <v/>
      </c>
      <c r="AD55" s="3">
        <f>N(AC55)*N(M55)/90</f>
        <v/>
      </c>
      <c r="AE55" s="3">
        <f>IFERROR(AD55-VLOOKUP($C55,Assumptions!$A$29:$C$32,3,FALSE),"")</f>
        <v/>
      </c>
      <c r="AF55" s="3">
        <f>IFERROR(AE55/F55,"")</f>
        <v/>
      </c>
      <c r="AG55">
        <f>IF(AND($E55=TRUE,$C55="GKP"),AD55,"")</f>
        <v/>
      </c>
      <c r="AH55">
        <f>IF(AND($E55=TRUE,$C55="DEF"),AD55,"")</f>
        <v/>
      </c>
      <c r="AI55">
        <f>IF(AND($E55=TRUE,$C55="MID"),AD55,"")</f>
        <v/>
      </c>
      <c r="AJ55">
        <f>IF(AND($E55=TRUE,$C55="FWD"),AD55,"")</f>
        <v/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b">
        <v>1</v>
      </c>
      <c r="F56" s="2" t="n">
        <v>7</v>
      </c>
      <c r="G56" t="inlineStr">
        <is>
          <t>a</t>
        </is>
      </c>
      <c r="I56" s="2" t="n">
        <v>2078</v>
      </c>
      <c r="J56" t="n">
        <v>131</v>
      </c>
      <c r="K56" s="3" t="n">
        <v>2063</v>
      </c>
      <c r="L56" t="inlineStr">
        <is>
          <t>flat</t>
        </is>
      </c>
      <c r="M56" s="4" t="n">
        <v>2078</v>
      </c>
      <c r="N56" s="4" t="n">
        <v>0.421</v>
      </c>
      <c r="O56" s="3" t="n">
        <v>0.3272</v>
      </c>
      <c r="P56" t="inlineStr">
        <is>
          <t>adjusted xGOT</t>
        </is>
      </c>
      <c r="Q56" s="3" t="n">
        <v>1.253</v>
      </c>
      <c r="R56" s="3" t="n">
        <v>27.1</v>
      </c>
      <c r="S56" s="3" t="n">
        <v>0.2353</v>
      </c>
      <c r="T56" s="3" t="n">
        <v>0.13</v>
      </c>
      <c r="U56" s="3" t="n">
        <v>0.5629999999999999</v>
      </c>
      <c r="V56" s="3" t="n">
        <v>2.382</v>
      </c>
      <c r="W56" s="3">
        <f>IF(V56="",IFERROR(VLOOKUP($C56,Assumptions!$A$4:$F$7,6,FALSE),0),V56)</f>
        <v/>
      </c>
      <c r="X56" s="3">
        <f>N(O56)*IFERROR(VLOOKUP($C56,Assumptions!$A$4:$F$7,2,FALSE),0)</f>
        <v/>
      </c>
      <c r="Y56" s="3">
        <f>N(S56)*IFERROR(VLOOKUP($C56,Assumptions!$A$4:$F$7,3,FALSE),0)*Assumptions!$B$11</f>
        <v/>
      </c>
      <c r="Z56" s="3">
        <f>N(N56)*IFERROR(VLOOKUP($C56,Assumptions!$A$4:$F$7,4,FALSE),0)</f>
        <v/>
      </c>
      <c r="AA56" s="3">
        <f>N(T56)*IFERROR(VLOOKUP($C56,Assumptions!$A$4:$F$7,5,FALSE),0)</f>
        <v/>
      </c>
      <c r="AB56" s="3">
        <f>N(U56)</f>
        <v/>
      </c>
      <c r="AC56" s="3">
        <f>SUM(W56:AB56)</f>
        <v/>
      </c>
      <c r="AD56" s="3">
        <f>N(AC56)*N(M56)/90</f>
        <v/>
      </c>
      <c r="AE56" s="3">
        <f>IFERROR(AD56-VLOOKUP($C56,Assumptions!$A$29:$C$32,3,FALSE),"")</f>
        <v/>
      </c>
      <c r="AF56" s="3">
        <f>IFERROR(AE56/F56,"")</f>
        <v/>
      </c>
      <c r="AG56">
        <f>IF(AND($E56=TRUE,$C56="GKP"),AD56,"")</f>
        <v/>
      </c>
      <c r="AH56">
        <f>IF(AND($E56=TRUE,$C56="DEF"),AD56,"")</f>
        <v/>
      </c>
      <c r="AI56">
        <f>IF(AND($E56=TRUE,$C56="MID"),AD56,"")</f>
        <v/>
      </c>
      <c r="AJ56">
        <f>IF(AND($E56=TRUE,$C56="FWD"),AD56,"")</f>
        <v/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b">
        <v>1</v>
      </c>
      <c r="F57" s="2" t="n">
        <v>4.5</v>
      </c>
      <c r="G57" t="inlineStr">
        <is>
          <t>a</t>
        </is>
      </c>
      <c r="I57" s="2" t="n">
        <v>3420</v>
      </c>
      <c r="J57" t="n">
        <v>130</v>
      </c>
      <c r="K57" s="3" t="n">
        <v>3385</v>
      </c>
      <c r="L57" t="inlineStr">
        <is>
          <t>flat</t>
        </is>
      </c>
      <c r="M57" s="4" t="n">
        <v>3420</v>
      </c>
      <c r="N57" s="4" t="n">
        <v>0.263</v>
      </c>
      <c r="O57" s="3" t="n">
        <v>0</v>
      </c>
      <c r="P57" t="inlineStr">
        <is>
          <t>blended xG</t>
        </is>
      </c>
      <c r="Q57" s="3" t="n">
        <v>1</v>
      </c>
      <c r="R57" s="3" t="n">
        <v>0</v>
      </c>
      <c r="S57" s="3" t="n">
        <v>0.0018</v>
      </c>
      <c r="T57" s="3" t="n">
        <v>0</v>
      </c>
      <c r="U57" s="3" t="n">
        <v>0.2895</v>
      </c>
      <c r="V57" s="3" t="n">
        <v>2</v>
      </c>
      <c r="W57" s="3">
        <f>IF(V57="",IFERROR(VLOOKUP($C57,Assumptions!$A$4:$F$7,6,FALSE),0),V57)</f>
        <v/>
      </c>
      <c r="X57" s="3">
        <f>N(O57)*IFERROR(VLOOKUP($C57,Assumptions!$A$4:$F$7,2,FALSE),0)</f>
        <v/>
      </c>
      <c r="Y57" s="3">
        <f>N(S57)*IFERROR(VLOOKUP($C57,Assumptions!$A$4:$F$7,3,FALSE),0)*Assumptions!$B$11</f>
        <v/>
      </c>
      <c r="Z57" s="3">
        <f>N(N57)*IFERROR(VLOOKUP($C57,Assumptions!$A$4:$F$7,4,FALSE),0)</f>
        <v/>
      </c>
      <c r="AA57" s="3">
        <f>N(T57)*IFERROR(VLOOKUP($C57,Assumptions!$A$4:$F$7,5,FALSE),0)</f>
        <v/>
      </c>
      <c r="AB57" s="3">
        <f>N(U57)</f>
        <v/>
      </c>
      <c r="AC57" s="3">
        <f>SUM(W57:AB57)</f>
        <v/>
      </c>
      <c r="AD57" s="3">
        <f>N(AC57)*N(M57)/90</f>
        <v/>
      </c>
      <c r="AE57" s="3">
        <f>IFERROR(AD57-VLOOKUP($C57,Assumptions!$A$29:$C$32,3,FALSE),"")</f>
        <v/>
      </c>
      <c r="AF57" s="3">
        <f>IFERROR(AE57/F57,"")</f>
        <v/>
      </c>
      <c r="AG57">
        <f>IF(AND($E57=TRUE,$C57="GKP"),AD57,"")</f>
        <v/>
      </c>
      <c r="AH57">
        <f>IF(AND($E57=TRUE,$C57="DEF"),AD57,"")</f>
        <v/>
      </c>
      <c r="AI57">
        <f>IF(AND($E57=TRUE,$C57="MID"),AD57,"")</f>
        <v/>
      </c>
      <c r="AJ57">
        <f>IF(AND($E57=TRUE,$C57="FWD"),AD57,"")</f>
        <v/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b">
        <v>1</v>
      </c>
      <c r="F58" s="2" t="n">
        <v>5.5</v>
      </c>
      <c r="G58" t="inlineStr">
        <is>
          <t>a</t>
        </is>
      </c>
      <c r="I58" s="2" t="n">
        <v>2971</v>
      </c>
      <c r="J58" t="n">
        <v>129</v>
      </c>
      <c r="K58" s="3" t="n">
        <v>3044</v>
      </c>
      <c r="L58" t="inlineStr">
        <is>
          <t>flat</t>
        </is>
      </c>
      <c r="M58" s="4" t="n">
        <v>2971</v>
      </c>
      <c r="N58" s="4" t="n">
        <v>0.263</v>
      </c>
      <c r="O58" s="3" t="n">
        <v>0.06320000000000001</v>
      </c>
      <c r="P58" t="inlineStr">
        <is>
          <t>adjusted xGOT</t>
        </is>
      </c>
      <c r="Q58" s="3" t="n">
        <v>0.931</v>
      </c>
      <c r="R58" s="3" t="n">
        <v>6.5</v>
      </c>
      <c r="S58" s="3" t="n">
        <v>0.06270000000000001</v>
      </c>
      <c r="T58" s="3" t="n">
        <v>0.5</v>
      </c>
      <c r="U58" s="3" t="n">
        <v>0.1818</v>
      </c>
      <c r="V58" s="3" t="n">
        <v>2.03</v>
      </c>
      <c r="W58" s="3">
        <f>IF(V58="",IFERROR(VLOOKUP($C58,Assumptions!$A$4:$F$7,6,FALSE),0),V58)</f>
        <v/>
      </c>
      <c r="X58" s="3">
        <f>N(O58)*IFERROR(VLOOKUP($C58,Assumptions!$A$4:$F$7,2,FALSE),0)</f>
        <v/>
      </c>
      <c r="Y58" s="3">
        <f>N(S58)*IFERROR(VLOOKUP($C58,Assumptions!$A$4:$F$7,3,FALSE),0)*Assumptions!$B$11</f>
        <v/>
      </c>
      <c r="Z58" s="3">
        <f>N(N58)*IFERROR(VLOOKUP($C58,Assumptions!$A$4:$F$7,4,FALSE),0)</f>
        <v/>
      </c>
      <c r="AA58" s="3">
        <f>N(T58)*IFERROR(VLOOKUP($C58,Assumptions!$A$4:$F$7,5,FALSE),0)</f>
        <v/>
      </c>
      <c r="AB58" s="3">
        <f>N(U58)</f>
        <v/>
      </c>
      <c r="AC58" s="3">
        <f>SUM(W58:AB58)</f>
        <v/>
      </c>
      <c r="AD58" s="3">
        <f>N(AC58)*N(M58)/90</f>
        <v/>
      </c>
      <c r="AE58" s="3">
        <f>IFERROR(AD58-VLOOKUP($C58,Assumptions!$A$29:$C$32,3,FALSE),"")</f>
        <v/>
      </c>
      <c r="AF58" s="3">
        <f>IFERROR(AE58/F58,"")</f>
        <v/>
      </c>
      <c r="AG58">
        <f>IF(AND($E58=TRUE,$C58="GKP"),AD58,"")</f>
        <v/>
      </c>
      <c r="AH58">
        <f>IF(AND($E58=TRUE,$C58="DEF"),AD58,"")</f>
        <v/>
      </c>
      <c r="AI58">
        <f>IF(AND($E58=TRUE,$C58="MID"),AD58,"")</f>
        <v/>
      </c>
      <c r="AJ58">
        <f>IF(AND($E58=TRUE,$C58="FWD"),AD58,"")</f>
        <v/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b">
        <v>1</v>
      </c>
      <c r="F59" s="2" t="n">
        <v>5</v>
      </c>
      <c r="G59" t="inlineStr">
        <is>
          <t>a</t>
        </is>
      </c>
      <c r="I59" s="2" t="n">
        <v>3203</v>
      </c>
      <c r="J59" t="n">
        <v>128</v>
      </c>
      <c r="K59" s="3" t="n">
        <v>3331</v>
      </c>
      <c r="L59" t="inlineStr">
        <is>
          <t>flat</t>
        </is>
      </c>
      <c r="M59" s="4" t="n">
        <v>3203</v>
      </c>
      <c r="N59" s="4" t="n">
        <v>0.237</v>
      </c>
      <c r="O59" s="3" t="n">
        <v>0.0581</v>
      </c>
      <c r="P59" t="inlineStr">
        <is>
          <t>adjusted xGOT</t>
        </is>
      </c>
      <c r="Q59" s="3" t="n">
        <v>1.029</v>
      </c>
      <c r="R59" s="3" t="n">
        <v>6.3</v>
      </c>
      <c r="S59" s="3" t="n">
        <v>0.1175</v>
      </c>
      <c r="T59" s="3" t="n">
        <v>0.111</v>
      </c>
      <c r="U59" s="3" t="n">
        <v>0.4215</v>
      </c>
      <c r="V59" s="3" t="n">
        <v>1.995</v>
      </c>
      <c r="W59" s="3">
        <f>IF(V59="",IFERROR(VLOOKUP($C59,Assumptions!$A$4:$F$7,6,FALSE),0),V59)</f>
        <v/>
      </c>
      <c r="X59" s="3">
        <f>N(O59)*IFERROR(VLOOKUP($C59,Assumptions!$A$4:$F$7,2,FALSE),0)</f>
        <v/>
      </c>
      <c r="Y59" s="3">
        <f>N(S59)*IFERROR(VLOOKUP($C59,Assumptions!$A$4:$F$7,3,FALSE),0)*Assumptions!$B$11</f>
        <v/>
      </c>
      <c r="Z59" s="3">
        <f>N(N59)*IFERROR(VLOOKUP($C59,Assumptions!$A$4:$F$7,4,FALSE),0)</f>
        <v/>
      </c>
      <c r="AA59" s="3">
        <f>N(T59)*IFERROR(VLOOKUP($C59,Assumptions!$A$4:$F$7,5,FALSE),0)</f>
        <v/>
      </c>
      <c r="AB59" s="3">
        <f>N(U59)</f>
        <v/>
      </c>
      <c r="AC59" s="3">
        <f>SUM(W59:AB59)</f>
        <v/>
      </c>
      <c r="AD59" s="3">
        <f>N(AC59)*N(M59)/90</f>
        <v/>
      </c>
      <c r="AE59" s="3">
        <f>IFERROR(AD59-VLOOKUP($C59,Assumptions!$A$29:$C$32,3,FALSE),"")</f>
        <v/>
      </c>
      <c r="AF59" s="3">
        <f>IFERROR(AE59/F59,"")</f>
        <v/>
      </c>
      <c r="AG59">
        <f>IF(AND($E59=TRUE,$C59="GKP"),AD59,"")</f>
        <v/>
      </c>
      <c r="AH59">
        <f>IF(AND($E59=TRUE,$C59="DEF"),AD59,"")</f>
        <v/>
      </c>
      <c r="AI59">
        <f>IF(AND($E59=TRUE,$C59="MID"),AD59,"")</f>
        <v/>
      </c>
      <c r="AJ59">
        <f>IF(AND($E59=TRUE,$C59="FWD"),AD59,"")</f>
        <v/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b">
        <v>1</v>
      </c>
      <c r="F60" s="2" t="n">
        <v>7.5</v>
      </c>
      <c r="G60" t="inlineStr">
        <is>
          <t>a</t>
        </is>
      </c>
      <c r="I60" s="2" t="n">
        <v>2217</v>
      </c>
      <c r="J60" t="n">
        <v>128</v>
      </c>
      <c r="K60" s="3" t="n">
        <v>1459</v>
      </c>
      <c r="L60" t="inlineStr">
        <is>
          <t>flat</t>
        </is>
      </c>
      <c r="M60" s="4" t="n">
        <v>2217</v>
      </c>
      <c r="N60" s="4" t="n">
        <v>0.5</v>
      </c>
      <c r="O60" s="3" t="n">
        <v>0.4274</v>
      </c>
      <c r="P60" t="inlineStr">
        <is>
          <t>adjusted xGOT</t>
        </is>
      </c>
      <c r="Q60" s="3" t="n">
        <v>0.859</v>
      </c>
      <c r="R60" s="3" t="n">
        <v>12.3</v>
      </c>
      <c r="S60" s="3" t="n">
        <v>0.09320000000000001</v>
      </c>
      <c r="T60" s="3" t="n">
        <v>0</v>
      </c>
      <c r="U60" s="3" t="n">
        <v>0.6495</v>
      </c>
      <c r="V60" s="3" t="n">
        <v>2.355</v>
      </c>
      <c r="W60" s="3">
        <f>IF(V60="",IFERROR(VLOOKUP($C60,Assumptions!$A$4:$F$7,6,FALSE),0),V60)</f>
        <v/>
      </c>
      <c r="X60" s="3">
        <f>N(O60)*IFERROR(VLOOKUP($C60,Assumptions!$A$4:$F$7,2,FALSE),0)</f>
        <v/>
      </c>
      <c r="Y60" s="3">
        <f>N(S60)*IFERROR(VLOOKUP($C60,Assumptions!$A$4:$F$7,3,FALSE),0)*Assumptions!$B$11</f>
        <v/>
      </c>
      <c r="Z60" s="3">
        <f>N(N60)*IFERROR(VLOOKUP($C60,Assumptions!$A$4:$F$7,4,FALSE),0)</f>
        <v/>
      </c>
      <c r="AA60" s="3">
        <f>N(T60)*IFERROR(VLOOKUP($C60,Assumptions!$A$4:$F$7,5,FALSE),0)</f>
        <v/>
      </c>
      <c r="AB60" s="3">
        <f>N(U60)</f>
        <v/>
      </c>
      <c r="AC60" s="3">
        <f>SUM(W60:AB60)</f>
        <v/>
      </c>
      <c r="AD60" s="3">
        <f>N(AC60)*N(M60)/90</f>
        <v/>
      </c>
      <c r="AE60" s="3">
        <f>IFERROR(AD60-VLOOKUP($C60,Assumptions!$A$29:$C$32,3,FALSE),"")</f>
        <v/>
      </c>
      <c r="AF60" s="3">
        <f>IFERROR(AE60/F60,"")</f>
        <v/>
      </c>
      <c r="AG60">
        <f>IF(AND($E60=TRUE,$C60="GKP"),AD60,"")</f>
        <v/>
      </c>
      <c r="AH60">
        <f>IF(AND($E60=TRUE,$C60="DEF"),AD60,"")</f>
        <v/>
      </c>
      <c r="AI60">
        <f>IF(AND($E60=TRUE,$C60="MID"),AD60,"")</f>
        <v/>
      </c>
      <c r="AJ60">
        <f>IF(AND($E60=TRUE,$C60="FWD"),AD60,"")</f>
        <v/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b">
        <v>1</v>
      </c>
      <c r="F61" s="2" t="n">
        <v>6</v>
      </c>
      <c r="G61" t="inlineStr">
        <is>
          <t>a</t>
        </is>
      </c>
      <c r="I61" s="2" t="n">
        <v>2781</v>
      </c>
      <c r="J61" t="n">
        <v>128</v>
      </c>
      <c r="K61" s="3" t="n">
        <v>3186</v>
      </c>
      <c r="L61" t="inlineStr">
        <is>
          <t>flat</t>
        </is>
      </c>
      <c r="M61" s="4" t="n">
        <v>2781</v>
      </c>
      <c r="N61" s="4" t="n">
        <v>0.29</v>
      </c>
      <c r="O61" s="3" t="n">
        <v>0.2564</v>
      </c>
      <c r="P61" t="inlineStr">
        <is>
          <t>adjusted xGOT</t>
        </is>
      </c>
      <c r="Q61" s="3" t="n">
        <v>1.186</v>
      </c>
      <c r="R61" s="3" t="n">
        <v>12.9</v>
      </c>
      <c r="S61" s="3" t="n">
        <v>0.1435</v>
      </c>
      <c r="T61" s="3" t="n">
        <v>0.188</v>
      </c>
      <c r="U61" s="3" t="n">
        <v>0.2589</v>
      </c>
      <c r="V61" s="3" t="n">
        <v>2.071</v>
      </c>
      <c r="W61" s="3">
        <f>IF(V61="",IFERROR(VLOOKUP($C61,Assumptions!$A$4:$F$7,6,FALSE),0),V61)</f>
        <v/>
      </c>
      <c r="X61" s="3">
        <f>N(O61)*IFERROR(VLOOKUP($C61,Assumptions!$A$4:$F$7,2,FALSE),0)</f>
        <v/>
      </c>
      <c r="Y61" s="3">
        <f>N(S61)*IFERROR(VLOOKUP($C61,Assumptions!$A$4:$F$7,3,FALSE),0)*Assumptions!$B$11</f>
        <v/>
      </c>
      <c r="Z61" s="3">
        <f>N(N61)*IFERROR(VLOOKUP($C61,Assumptions!$A$4:$F$7,4,FALSE),0)</f>
        <v/>
      </c>
      <c r="AA61" s="3">
        <f>N(T61)*IFERROR(VLOOKUP($C61,Assumptions!$A$4:$F$7,5,FALSE),0)</f>
        <v/>
      </c>
      <c r="AB61" s="3">
        <f>N(U61)</f>
        <v/>
      </c>
      <c r="AC61" s="3">
        <f>SUM(W61:AB61)</f>
        <v/>
      </c>
      <c r="AD61" s="3">
        <f>N(AC61)*N(M61)/90</f>
        <v/>
      </c>
      <c r="AE61" s="3">
        <f>IFERROR(AD61-VLOOKUP($C61,Assumptions!$A$29:$C$32,3,FALSE),"")</f>
        <v/>
      </c>
      <c r="AF61" s="3">
        <f>IFERROR(AE61/F61,"")</f>
        <v/>
      </c>
      <c r="AG61">
        <f>IF(AND($E61=TRUE,$C61="GKP"),AD61,"")</f>
        <v/>
      </c>
      <c r="AH61">
        <f>IF(AND($E61=TRUE,$C61="DEF"),AD61,"")</f>
        <v/>
      </c>
      <c r="AI61">
        <f>IF(AND($E61=TRUE,$C61="MID"),AD61,"")</f>
        <v/>
      </c>
      <c r="AJ61">
        <f>IF(AND($E61=TRUE,$C61="FWD"),AD61,"")</f>
        <v/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b">
        <v>1</v>
      </c>
      <c r="F62" s="2" t="n">
        <v>5</v>
      </c>
      <c r="G62" t="inlineStr">
        <is>
          <t>a</t>
        </is>
      </c>
      <c r="I62" s="2" t="n">
        <v>2825</v>
      </c>
      <c r="J62" t="n">
        <v>128</v>
      </c>
      <c r="K62" s="3" t="n">
        <v>3283</v>
      </c>
      <c r="L62" t="inlineStr">
        <is>
          <t>flat</t>
        </is>
      </c>
      <c r="M62" s="4" t="n">
        <v>2825</v>
      </c>
      <c r="N62" s="4" t="n">
        <v>0.316</v>
      </c>
      <c r="O62" s="3" t="n">
        <v>0.07199999999999999</v>
      </c>
      <c r="P62" t="inlineStr">
        <is>
          <t>adjusted xGOT</t>
        </is>
      </c>
      <c r="Q62" s="3" t="n">
        <v>0.9340000000000001</v>
      </c>
      <c r="R62" s="3" t="n">
        <v>5.1</v>
      </c>
      <c r="S62" s="3" t="n">
        <v>0.0326</v>
      </c>
      <c r="T62" s="3" t="n">
        <v>0.419</v>
      </c>
      <c r="U62" s="3" t="n">
        <v>0.1593</v>
      </c>
      <c r="V62" s="3" t="n">
        <v>2.039</v>
      </c>
      <c r="W62" s="3">
        <f>IF(V62="",IFERROR(VLOOKUP($C62,Assumptions!$A$4:$F$7,6,FALSE),0),V62)</f>
        <v/>
      </c>
      <c r="X62" s="3">
        <f>N(O62)*IFERROR(VLOOKUP($C62,Assumptions!$A$4:$F$7,2,FALSE),0)</f>
        <v/>
      </c>
      <c r="Y62" s="3">
        <f>N(S62)*IFERROR(VLOOKUP($C62,Assumptions!$A$4:$F$7,3,FALSE),0)*Assumptions!$B$11</f>
        <v/>
      </c>
      <c r="Z62" s="3">
        <f>N(N62)*IFERROR(VLOOKUP($C62,Assumptions!$A$4:$F$7,4,FALSE),0)</f>
        <v/>
      </c>
      <c r="AA62" s="3">
        <f>N(T62)*IFERROR(VLOOKUP($C62,Assumptions!$A$4:$F$7,5,FALSE),0)</f>
        <v/>
      </c>
      <c r="AB62" s="3">
        <f>N(U62)</f>
        <v/>
      </c>
      <c r="AC62" s="3">
        <f>SUM(W62:AB62)</f>
        <v/>
      </c>
      <c r="AD62" s="3">
        <f>N(AC62)*N(M62)/90</f>
        <v/>
      </c>
      <c r="AE62" s="3">
        <f>IFERROR(AD62-VLOOKUP($C62,Assumptions!$A$29:$C$32,3,FALSE),"")</f>
        <v/>
      </c>
      <c r="AF62" s="3">
        <f>IFERROR(AE62/F62,"")</f>
        <v/>
      </c>
      <c r="AG62">
        <f>IF(AND($E62=TRUE,$C62="GKP"),AD62,"")</f>
        <v/>
      </c>
      <c r="AH62">
        <f>IF(AND($E62=TRUE,$C62="DEF"),AD62,"")</f>
        <v/>
      </c>
      <c r="AI62">
        <f>IF(AND($E62=TRUE,$C62="MID"),AD62,"")</f>
        <v/>
      </c>
      <c r="AJ62">
        <f>IF(AND($E62=TRUE,$C62="FWD"),AD62,"")</f>
        <v/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b">
        <v>1</v>
      </c>
      <c r="F63" s="2" t="n">
        <v>6</v>
      </c>
      <c r="G63" t="inlineStr">
        <is>
          <t>a</t>
        </is>
      </c>
      <c r="I63" s="2" t="n">
        <v>2717</v>
      </c>
      <c r="J63" t="n">
        <v>127</v>
      </c>
      <c r="K63" s="3" t="n">
        <v>716</v>
      </c>
      <c r="L63" t="inlineStr">
        <is>
          <t>flat</t>
        </is>
      </c>
      <c r="M63" s="4" t="n">
        <v>2717</v>
      </c>
      <c r="N63" s="4" t="n">
        <v>0.263</v>
      </c>
      <c r="O63" s="3" t="n">
        <v>0.2106</v>
      </c>
      <c r="P63" t="inlineStr">
        <is>
          <t>adjusted xGOT</t>
        </is>
      </c>
      <c r="Q63" s="3" t="n">
        <v>1.244</v>
      </c>
      <c r="R63" s="3" t="n">
        <v>6.9</v>
      </c>
      <c r="S63" s="3" t="n">
        <v>0.1197</v>
      </c>
      <c r="T63" s="3" t="n">
        <v>0.031</v>
      </c>
      <c r="U63" s="3" t="n">
        <v>0.1987</v>
      </c>
      <c r="V63" s="3" t="n">
        <v>2.219</v>
      </c>
      <c r="W63" s="3">
        <f>IF(V63="",IFERROR(VLOOKUP($C63,Assumptions!$A$4:$F$7,6,FALSE),0),V63)</f>
        <v/>
      </c>
      <c r="X63" s="3">
        <f>N(O63)*IFERROR(VLOOKUP($C63,Assumptions!$A$4:$F$7,2,FALSE),0)</f>
        <v/>
      </c>
      <c r="Y63" s="3">
        <f>N(S63)*IFERROR(VLOOKUP($C63,Assumptions!$A$4:$F$7,3,FALSE),0)*Assumptions!$B$11</f>
        <v/>
      </c>
      <c r="Z63" s="3">
        <f>N(N63)*IFERROR(VLOOKUP($C63,Assumptions!$A$4:$F$7,4,FALSE),0)</f>
        <v/>
      </c>
      <c r="AA63" s="3">
        <f>N(T63)*IFERROR(VLOOKUP($C63,Assumptions!$A$4:$F$7,5,FALSE),0)</f>
        <v/>
      </c>
      <c r="AB63" s="3">
        <f>N(U63)</f>
        <v/>
      </c>
      <c r="AC63" s="3">
        <f>SUM(W63:AB63)</f>
        <v/>
      </c>
      <c r="AD63" s="3">
        <f>N(AC63)*N(M63)/90</f>
        <v/>
      </c>
      <c r="AE63" s="3">
        <f>IFERROR(AD63-VLOOKUP($C63,Assumptions!$A$29:$C$32,3,FALSE),"")</f>
        <v/>
      </c>
      <c r="AF63" s="3">
        <f>IFERROR(AE63/F63,"")</f>
        <v/>
      </c>
      <c r="AG63">
        <f>IF(AND($E63=TRUE,$C63="GKP"),AD63,"")</f>
        <v/>
      </c>
      <c r="AH63">
        <f>IF(AND($E63=TRUE,$C63="DEF"),AD63,"")</f>
        <v/>
      </c>
      <c r="AI63">
        <f>IF(AND($E63=TRUE,$C63="MID"),AD63,"")</f>
        <v/>
      </c>
      <c r="AJ63">
        <f>IF(AND($E63=TRUE,$C63="FWD"),AD63,"")</f>
        <v/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b">
        <v>1</v>
      </c>
      <c r="F64" s="2" t="n">
        <v>5</v>
      </c>
      <c r="G64" t="inlineStr">
        <is>
          <t>a</t>
        </is>
      </c>
      <c r="I64" s="2" t="n">
        <v>2963</v>
      </c>
      <c r="J64" t="n">
        <v>126</v>
      </c>
      <c r="K64" s="3" t="n">
        <v>3243</v>
      </c>
      <c r="L64" t="inlineStr">
        <is>
          <t>flat</t>
        </is>
      </c>
      <c r="M64" s="4" t="n">
        <v>2963</v>
      </c>
      <c r="N64" s="4" t="n">
        <v>0.21</v>
      </c>
      <c r="O64" s="3" t="n">
        <v>0.1515</v>
      </c>
      <c r="P64" t="inlineStr">
        <is>
          <t>adjusted xGOT</t>
        </is>
      </c>
      <c r="Q64" s="3" t="n">
        <v>1.039</v>
      </c>
      <c r="R64" s="3" t="n">
        <v>4.8</v>
      </c>
      <c r="S64" s="3" t="n">
        <v>0.0271</v>
      </c>
      <c r="T64" s="3" t="n">
        <v>0.364</v>
      </c>
      <c r="U64" s="3" t="n">
        <v>0.2734</v>
      </c>
      <c r="V64" s="3" t="n">
        <v>2.035</v>
      </c>
      <c r="W64" s="3">
        <f>IF(V64="",IFERROR(VLOOKUP($C64,Assumptions!$A$4:$F$7,6,FALSE),0),V64)</f>
        <v/>
      </c>
      <c r="X64" s="3">
        <f>N(O64)*IFERROR(VLOOKUP($C64,Assumptions!$A$4:$F$7,2,FALSE),0)</f>
        <v/>
      </c>
      <c r="Y64" s="3">
        <f>N(S64)*IFERROR(VLOOKUP($C64,Assumptions!$A$4:$F$7,3,FALSE),0)*Assumptions!$B$11</f>
        <v/>
      </c>
      <c r="Z64" s="3">
        <f>N(N64)*IFERROR(VLOOKUP($C64,Assumptions!$A$4:$F$7,4,FALSE),0)</f>
        <v/>
      </c>
      <c r="AA64" s="3">
        <f>N(T64)*IFERROR(VLOOKUP($C64,Assumptions!$A$4:$F$7,5,FALSE),0)</f>
        <v/>
      </c>
      <c r="AB64" s="3">
        <f>N(U64)</f>
        <v/>
      </c>
      <c r="AC64" s="3">
        <f>SUM(W64:AB64)</f>
        <v/>
      </c>
      <c r="AD64" s="3">
        <f>N(AC64)*N(M64)/90</f>
        <v/>
      </c>
      <c r="AE64" s="3">
        <f>IFERROR(AD64-VLOOKUP($C64,Assumptions!$A$29:$C$32,3,FALSE),"")</f>
        <v/>
      </c>
      <c r="AF64" s="3">
        <f>IFERROR(AE64/F64,"")</f>
        <v/>
      </c>
      <c r="AG64">
        <f>IF(AND($E64=TRUE,$C64="GKP"),AD64,"")</f>
        <v/>
      </c>
      <c r="AH64">
        <f>IF(AND($E64=TRUE,$C64="DEF"),AD64,"")</f>
        <v/>
      </c>
      <c r="AI64">
        <f>IF(AND($E64=TRUE,$C64="MID"),AD64,"")</f>
        <v/>
      </c>
      <c r="AJ64">
        <f>IF(AND($E64=TRUE,$C64="FWD"),AD64,"")</f>
        <v/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b">
        <v>1</v>
      </c>
      <c r="F65" s="2" t="n">
        <v>5.5</v>
      </c>
      <c r="G65" t="inlineStr">
        <is>
          <t>a</t>
        </is>
      </c>
      <c r="I65" s="2" t="n">
        <v>2449</v>
      </c>
      <c r="J65" t="n">
        <v>126</v>
      </c>
      <c r="K65" s="3" t="n">
        <v>1035</v>
      </c>
      <c r="L65" t="inlineStr">
        <is>
          <t>flat</t>
        </is>
      </c>
      <c r="M65" s="4" t="n">
        <v>2449</v>
      </c>
      <c r="N65" s="4" t="n">
        <v>0.21</v>
      </c>
      <c r="O65" s="3" t="n">
        <v>0.1593</v>
      </c>
      <c r="P65" t="inlineStr">
        <is>
          <t>adjusted xGOT</t>
        </is>
      </c>
      <c r="Q65" s="3" t="n">
        <v>0.957</v>
      </c>
      <c r="R65" s="3" t="n">
        <v>8.5</v>
      </c>
      <c r="S65" s="3" t="n">
        <v>0.1702</v>
      </c>
      <c r="T65" s="3" t="n">
        <v>0.1</v>
      </c>
      <c r="U65" s="3" t="n">
        <v>0.2205</v>
      </c>
      <c r="V65" s="3" t="n">
        <v>2.389</v>
      </c>
      <c r="W65" s="3">
        <f>IF(V65="",IFERROR(VLOOKUP($C65,Assumptions!$A$4:$F$7,6,FALSE),0),V65)</f>
        <v/>
      </c>
      <c r="X65" s="3">
        <f>N(O65)*IFERROR(VLOOKUP($C65,Assumptions!$A$4:$F$7,2,FALSE),0)</f>
        <v/>
      </c>
      <c r="Y65" s="3">
        <f>N(S65)*IFERROR(VLOOKUP($C65,Assumptions!$A$4:$F$7,3,FALSE),0)*Assumptions!$B$11</f>
        <v/>
      </c>
      <c r="Z65" s="3">
        <f>N(N65)*IFERROR(VLOOKUP($C65,Assumptions!$A$4:$F$7,4,FALSE),0)</f>
        <v/>
      </c>
      <c r="AA65" s="3">
        <f>N(T65)*IFERROR(VLOOKUP($C65,Assumptions!$A$4:$F$7,5,FALSE),0)</f>
        <v/>
      </c>
      <c r="AB65" s="3">
        <f>N(U65)</f>
        <v/>
      </c>
      <c r="AC65" s="3">
        <f>SUM(W65:AB65)</f>
        <v/>
      </c>
      <c r="AD65" s="3">
        <f>N(AC65)*N(M65)/90</f>
        <v/>
      </c>
      <c r="AE65" s="3">
        <f>IFERROR(AD65-VLOOKUP($C65,Assumptions!$A$29:$C$32,3,FALSE),"")</f>
        <v/>
      </c>
      <c r="AF65" s="3">
        <f>IFERROR(AE65/F65,"")</f>
        <v/>
      </c>
      <c r="AG65">
        <f>IF(AND($E65=TRUE,$C65="GKP"),AD65,"")</f>
        <v/>
      </c>
      <c r="AH65">
        <f>IF(AND($E65=TRUE,$C65="DEF"),AD65,"")</f>
        <v/>
      </c>
      <c r="AI65">
        <f>IF(AND($E65=TRUE,$C65="MID"),AD65,"")</f>
        <v/>
      </c>
      <c r="AJ65">
        <f>IF(AND($E65=TRUE,$C65="FWD"),AD65,"")</f>
        <v/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b">
        <v>1</v>
      </c>
      <c r="F66" s="2" t="n">
        <v>6</v>
      </c>
      <c r="G66" t="inlineStr">
        <is>
          <t>a</t>
        </is>
      </c>
      <c r="I66" s="2" t="n">
        <v>2249</v>
      </c>
      <c r="J66" t="n">
        <v>126</v>
      </c>
      <c r="K66" s="3" t="n">
        <v>586</v>
      </c>
      <c r="L66" t="inlineStr">
        <is>
          <t>flat</t>
        </is>
      </c>
      <c r="M66" s="4" t="n">
        <v>2249</v>
      </c>
      <c r="N66" s="4" t="n">
        <v>0.237</v>
      </c>
      <c r="O66" s="3" t="n">
        <v>0.4876</v>
      </c>
      <c r="P66" t="inlineStr">
        <is>
          <t>adjusted xGOT</t>
        </is>
      </c>
      <c r="Q66" s="3" t="n">
        <v>0.986</v>
      </c>
      <c r="R66" s="3" t="n">
        <v>35.6</v>
      </c>
      <c r="S66" s="3" t="n">
        <v>0.0733</v>
      </c>
      <c r="T66" s="3" t="n">
        <v>0</v>
      </c>
      <c r="U66" s="3" t="n">
        <v>0.7203000000000001</v>
      </c>
      <c r="V66" s="3" t="n">
        <v>2.481</v>
      </c>
      <c r="W66" s="3">
        <f>IF(V66="",IFERROR(VLOOKUP($C66,Assumptions!$A$4:$F$7,6,FALSE),0),V66)</f>
        <v/>
      </c>
      <c r="X66" s="3">
        <f>N(O66)*IFERROR(VLOOKUP($C66,Assumptions!$A$4:$F$7,2,FALSE),0)</f>
        <v/>
      </c>
      <c r="Y66" s="3">
        <f>N(S66)*IFERROR(VLOOKUP($C66,Assumptions!$A$4:$F$7,3,FALSE),0)*Assumptions!$B$11</f>
        <v/>
      </c>
      <c r="Z66" s="3">
        <f>N(N66)*IFERROR(VLOOKUP($C66,Assumptions!$A$4:$F$7,4,FALSE),0)</f>
        <v/>
      </c>
      <c r="AA66" s="3">
        <f>N(T66)*IFERROR(VLOOKUP($C66,Assumptions!$A$4:$F$7,5,FALSE),0)</f>
        <v/>
      </c>
      <c r="AB66" s="3">
        <f>N(U66)</f>
        <v/>
      </c>
      <c r="AC66" s="3">
        <f>SUM(W66:AB66)</f>
        <v/>
      </c>
      <c r="AD66" s="3">
        <f>N(AC66)*N(M66)/90</f>
        <v/>
      </c>
      <c r="AE66" s="3">
        <f>IFERROR(AD66-VLOOKUP($C66,Assumptions!$A$29:$C$32,3,FALSE),"")</f>
        <v/>
      </c>
      <c r="AF66" s="3">
        <f>IFERROR(AE66/F66,"")</f>
        <v/>
      </c>
      <c r="AG66">
        <f>IF(AND($E66=TRUE,$C66="GKP"),AD66,"")</f>
        <v/>
      </c>
      <c r="AH66">
        <f>IF(AND($E66=TRUE,$C66="DEF"),AD66,"")</f>
        <v/>
      </c>
      <c r="AI66">
        <f>IF(AND($E66=TRUE,$C66="MID"),AD66,"")</f>
        <v/>
      </c>
      <c r="AJ66">
        <f>IF(AND($E66=TRUE,$C66="FWD"),AD66,"")</f>
        <v/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b">
        <v>1</v>
      </c>
      <c r="F67" s="2" t="n">
        <v>7.5</v>
      </c>
      <c r="G67" t="inlineStr">
        <is>
          <t>a</t>
        </is>
      </c>
      <c r="I67" s="2" t="n">
        <v>2374</v>
      </c>
      <c r="J67" t="n">
        <v>125</v>
      </c>
      <c r="K67" s="3" t="n">
        <v>2902</v>
      </c>
      <c r="L67" t="inlineStr">
        <is>
          <t>flat</t>
        </is>
      </c>
      <c r="M67" s="4" t="n">
        <v>2374</v>
      </c>
      <c r="N67" s="4" t="n">
        <v>0.263</v>
      </c>
      <c r="O67" s="3" t="n">
        <v>0.2532</v>
      </c>
      <c r="P67" t="inlineStr">
        <is>
          <t>adjusted xGOT</t>
        </is>
      </c>
      <c r="Q67" s="3" t="n">
        <v>0.978</v>
      </c>
      <c r="R67" s="3" t="n">
        <v>6.8</v>
      </c>
      <c r="S67" s="3" t="n">
        <v>0.1995</v>
      </c>
      <c r="T67" s="3" t="n">
        <v>0.037</v>
      </c>
      <c r="U67" s="3" t="n">
        <v>0.6445</v>
      </c>
      <c r="V67" s="3" t="n">
        <v>2.275</v>
      </c>
      <c r="W67" s="3">
        <f>IF(V67="",IFERROR(VLOOKUP($C67,Assumptions!$A$4:$F$7,6,FALSE),0),V67)</f>
        <v/>
      </c>
      <c r="X67" s="3">
        <f>N(O67)*IFERROR(VLOOKUP($C67,Assumptions!$A$4:$F$7,2,FALSE),0)</f>
        <v/>
      </c>
      <c r="Y67" s="3">
        <f>N(S67)*IFERROR(VLOOKUP($C67,Assumptions!$A$4:$F$7,3,FALSE),0)*Assumptions!$B$11</f>
        <v/>
      </c>
      <c r="Z67" s="3">
        <f>N(N67)*IFERROR(VLOOKUP($C67,Assumptions!$A$4:$F$7,4,FALSE),0)</f>
        <v/>
      </c>
      <c r="AA67" s="3">
        <f>N(T67)*IFERROR(VLOOKUP($C67,Assumptions!$A$4:$F$7,5,FALSE),0)</f>
        <v/>
      </c>
      <c r="AB67" s="3">
        <f>N(U67)</f>
        <v/>
      </c>
      <c r="AC67" s="3">
        <f>SUM(W67:AB67)</f>
        <v/>
      </c>
      <c r="AD67" s="3">
        <f>N(AC67)*N(M67)/90</f>
        <v/>
      </c>
      <c r="AE67" s="3">
        <f>IFERROR(AD67-VLOOKUP($C67,Assumptions!$A$29:$C$32,3,FALSE),"")</f>
        <v/>
      </c>
      <c r="AF67" s="3">
        <f>IFERROR(AE67/F67,"")</f>
        <v/>
      </c>
      <c r="AG67">
        <f>IF(AND($E67=TRUE,$C67="GKP"),AD67,"")</f>
        <v/>
      </c>
      <c r="AH67">
        <f>IF(AND($E67=TRUE,$C67="DEF"),AD67,"")</f>
        <v/>
      </c>
      <c r="AI67">
        <f>IF(AND($E67=TRUE,$C67="MID"),AD67,"")</f>
        <v/>
      </c>
      <c r="AJ67">
        <f>IF(AND($E67=TRUE,$C67="FWD"),AD67,"")</f>
        <v/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b">
        <v>1</v>
      </c>
      <c r="F68" s="2" t="n">
        <v>6.5</v>
      </c>
      <c r="G68" t="inlineStr">
        <is>
          <t>a</t>
        </is>
      </c>
      <c r="I68" s="2" t="n">
        <v>2629</v>
      </c>
      <c r="J68" t="n">
        <v>125</v>
      </c>
      <c r="K68" s="3" t="n">
        <v>1773</v>
      </c>
      <c r="L68" t="inlineStr">
        <is>
          <t>flat</t>
        </is>
      </c>
      <c r="M68" s="4" t="n">
        <v>2629</v>
      </c>
      <c r="N68" s="4" t="n">
        <v>0.237</v>
      </c>
      <c r="O68" s="3" t="n">
        <v>0.1289</v>
      </c>
      <c r="P68" t="inlineStr">
        <is>
          <t>adjusted xGOT</t>
        </is>
      </c>
      <c r="Q68" s="3" t="n">
        <v>0.82</v>
      </c>
      <c r="R68" s="3" t="n">
        <v>12.4</v>
      </c>
      <c r="S68" s="3" t="n">
        <v>0.2529</v>
      </c>
      <c r="T68" s="3" t="n">
        <v>0</v>
      </c>
      <c r="U68" s="3" t="n">
        <v>0.3423</v>
      </c>
      <c r="V68" s="3" t="n">
        <v>2.191</v>
      </c>
      <c r="W68" s="3">
        <f>IF(V68="",IFERROR(VLOOKUP($C68,Assumptions!$A$4:$F$7,6,FALSE),0),V68)</f>
        <v/>
      </c>
      <c r="X68" s="3">
        <f>N(O68)*IFERROR(VLOOKUP($C68,Assumptions!$A$4:$F$7,2,FALSE),0)</f>
        <v/>
      </c>
      <c r="Y68" s="3">
        <f>N(S68)*IFERROR(VLOOKUP($C68,Assumptions!$A$4:$F$7,3,FALSE),0)*Assumptions!$B$11</f>
        <v/>
      </c>
      <c r="Z68" s="3">
        <f>N(N68)*IFERROR(VLOOKUP($C68,Assumptions!$A$4:$F$7,4,FALSE),0)</f>
        <v/>
      </c>
      <c r="AA68" s="3">
        <f>N(T68)*IFERROR(VLOOKUP($C68,Assumptions!$A$4:$F$7,5,FALSE),0)</f>
        <v/>
      </c>
      <c r="AB68" s="3">
        <f>N(U68)</f>
        <v/>
      </c>
      <c r="AC68" s="3">
        <f>SUM(W68:AB68)</f>
        <v/>
      </c>
      <c r="AD68" s="3">
        <f>N(AC68)*N(M68)/90</f>
        <v/>
      </c>
      <c r="AE68" s="3">
        <f>IFERROR(AD68-VLOOKUP($C68,Assumptions!$A$29:$C$32,3,FALSE),"")</f>
        <v/>
      </c>
      <c r="AF68" s="3">
        <f>IFERROR(AE68/F68,"")</f>
        <v/>
      </c>
      <c r="AG68">
        <f>IF(AND($E68=TRUE,$C68="GKP"),AD68,"")</f>
        <v/>
      </c>
      <c r="AH68">
        <f>IF(AND($E68=TRUE,$C68="DEF"),AD68,"")</f>
        <v/>
      </c>
      <c r="AI68">
        <f>IF(AND($E68=TRUE,$C68="MID"),AD68,"")</f>
        <v/>
      </c>
      <c r="AJ68">
        <f>IF(AND($E68=TRUE,$C68="FWD"),AD68,"")</f>
        <v/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b">
        <v>1</v>
      </c>
      <c r="F69" s="2" t="n">
        <v>7.5</v>
      </c>
      <c r="G69" t="inlineStr">
        <is>
          <t>i</t>
        </is>
      </c>
      <c r="H69" t="inlineStr">
        <is>
          <t>Achilles injury - Unknown return date</t>
        </is>
      </c>
      <c r="I69" s="2" t="n">
        <v>1797</v>
      </c>
      <c r="J69" t="n">
        <v>125</v>
      </c>
      <c r="K69" s="3" t="n">
        <v>942</v>
      </c>
      <c r="L69" t="inlineStr">
        <is>
          <t>flat</t>
        </is>
      </c>
      <c r="M69" s="4" t="n">
        <v>1797</v>
      </c>
      <c r="N69" s="4" t="n">
        <v>0.263</v>
      </c>
      <c r="O69" s="3" t="n">
        <v>0.4807</v>
      </c>
      <c r="P69" t="inlineStr">
        <is>
          <t>adjusted xGOT</t>
        </is>
      </c>
      <c r="Q69" s="3" t="n">
        <v>0.95</v>
      </c>
      <c r="R69" s="3" t="n">
        <v>10.1</v>
      </c>
      <c r="S69" s="3" t="n">
        <v>0.1237</v>
      </c>
      <c r="T69" s="3" t="n">
        <v>0</v>
      </c>
      <c r="U69" s="3" t="n">
        <v>1.1018</v>
      </c>
      <c r="V69" s="3" t="n">
        <v>2.354</v>
      </c>
      <c r="W69" s="3">
        <f>IF(V69="",IFERROR(VLOOKUP($C69,Assumptions!$A$4:$F$7,6,FALSE),0),V69)</f>
        <v/>
      </c>
      <c r="X69" s="3">
        <f>N(O69)*IFERROR(VLOOKUP($C69,Assumptions!$A$4:$F$7,2,FALSE),0)</f>
        <v/>
      </c>
      <c r="Y69" s="3">
        <f>N(S69)*IFERROR(VLOOKUP($C69,Assumptions!$A$4:$F$7,3,FALSE),0)*Assumptions!$B$11</f>
        <v/>
      </c>
      <c r="Z69" s="3">
        <f>N(N69)*IFERROR(VLOOKUP($C69,Assumptions!$A$4:$F$7,4,FALSE),0)</f>
        <v/>
      </c>
      <c r="AA69" s="3">
        <f>N(T69)*IFERROR(VLOOKUP($C69,Assumptions!$A$4:$F$7,5,FALSE),0)</f>
        <v/>
      </c>
      <c r="AB69" s="3">
        <f>N(U69)</f>
        <v/>
      </c>
      <c r="AC69" s="3">
        <f>SUM(W69:AB69)</f>
        <v/>
      </c>
      <c r="AD69" s="3">
        <f>N(AC69)*N(M69)/90</f>
        <v/>
      </c>
      <c r="AE69" s="3">
        <f>IFERROR(AD69-VLOOKUP($C69,Assumptions!$A$29:$C$32,3,FALSE),"")</f>
        <v/>
      </c>
      <c r="AF69" s="3">
        <f>IFERROR(AE69/F69,"")</f>
        <v/>
      </c>
      <c r="AG69">
        <f>IF(AND($E69=TRUE,$C69="GKP"),AD69,"")</f>
        <v/>
      </c>
      <c r="AH69">
        <f>IF(AND($E69=TRUE,$C69="DEF"),AD69,"")</f>
        <v/>
      </c>
      <c r="AI69">
        <f>IF(AND($E69=TRUE,$C69="MID"),AD69,"")</f>
        <v/>
      </c>
      <c r="AJ69">
        <f>IF(AND($E69=TRUE,$C69="FWD"),AD69,"")</f>
        <v/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b">
        <v>1</v>
      </c>
      <c r="F70" s="2" t="n">
        <v>5</v>
      </c>
      <c r="G70" t="inlineStr">
        <is>
          <t>d</t>
        </is>
      </c>
      <c r="H70" t="inlineStr">
        <is>
          <t>Knock - 75% chance of playing</t>
        </is>
      </c>
      <c r="I70" s="2" t="n">
        <v>2797</v>
      </c>
      <c r="J70" t="n">
        <v>125</v>
      </c>
      <c r="K70" s="3" t="n">
        <v>3067</v>
      </c>
      <c r="L70" t="inlineStr">
        <is>
          <t>flat</t>
        </is>
      </c>
      <c r="M70" s="4" t="n">
        <v>2797</v>
      </c>
      <c r="N70" s="4" t="n">
        <v>0.29</v>
      </c>
      <c r="O70" s="3" t="n">
        <v>0.0515</v>
      </c>
      <c r="P70" t="inlineStr">
        <is>
          <t>adjusted xGOT</t>
        </is>
      </c>
      <c r="Q70" s="3" t="n">
        <v>0.988</v>
      </c>
      <c r="R70" s="3" t="n">
        <v>1.6</v>
      </c>
      <c r="S70" s="3" t="n">
        <v>0.0244</v>
      </c>
      <c r="T70" s="3" t="n">
        <v>0.375</v>
      </c>
      <c r="U70" s="3" t="n">
        <v>0.1609</v>
      </c>
      <c r="V70" s="3" t="n">
        <v>2.059</v>
      </c>
      <c r="W70" s="3">
        <f>IF(V70="",IFERROR(VLOOKUP($C70,Assumptions!$A$4:$F$7,6,FALSE),0),V70)</f>
        <v/>
      </c>
      <c r="X70" s="3">
        <f>N(O70)*IFERROR(VLOOKUP($C70,Assumptions!$A$4:$F$7,2,FALSE),0)</f>
        <v/>
      </c>
      <c r="Y70" s="3">
        <f>N(S70)*IFERROR(VLOOKUP($C70,Assumptions!$A$4:$F$7,3,FALSE),0)*Assumptions!$B$11</f>
        <v/>
      </c>
      <c r="Z70" s="3">
        <f>N(N70)*IFERROR(VLOOKUP($C70,Assumptions!$A$4:$F$7,4,FALSE),0)</f>
        <v/>
      </c>
      <c r="AA70" s="3">
        <f>N(T70)*IFERROR(VLOOKUP($C70,Assumptions!$A$4:$F$7,5,FALSE),0)</f>
        <v/>
      </c>
      <c r="AB70" s="3">
        <f>N(U70)</f>
        <v/>
      </c>
      <c r="AC70" s="3">
        <f>SUM(W70:AB70)</f>
        <v/>
      </c>
      <c r="AD70" s="3">
        <f>N(AC70)*N(M70)/90</f>
        <v/>
      </c>
      <c r="AE70" s="3">
        <f>IFERROR(AD70-VLOOKUP($C70,Assumptions!$A$29:$C$32,3,FALSE),"")</f>
        <v/>
      </c>
      <c r="AF70" s="3">
        <f>IFERROR(AE70/F70,"")</f>
        <v/>
      </c>
      <c r="AG70">
        <f>IF(AND($E70=TRUE,$C70="GKP"),AD70,"")</f>
        <v/>
      </c>
      <c r="AH70">
        <f>IF(AND($E70=TRUE,$C70="DEF"),AD70,"")</f>
        <v/>
      </c>
      <c r="AI70">
        <f>IF(AND($E70=TRUE,$C70="MID"),AD70,"")</f>
        <v/>
      </c>
      <c r="AJ70">
        <f>IF(AND($E70=TRUE,$C70="FWD"),AD70,"")</f>
        <v/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b">
        <v>1</v>
      </c>
      <c r="F71" s="2" t="n">
        <v>6</v>
      </c>
      <c r="G71" t="inlineStr">
        <is>
          <t>a</t>
        </is>
      </c>
      <c r="I71" s="2" t="n">
        <v>2744</v>
      </c>
      <c r="J71" t="n">
        <v>125</v>
      </c>
      <c r="K71" s="3" t="n">
        <v>2804</v>
      </c>
      <c r="L71" t="inlineStr">
        <is>
          <t>flat</t>
        </is>
      </c>
      <c r="M71" s="4" t="n">
        <v>2744</v>
      </c>
      <c r="N71" s="4" t="n">
        <v>0.263</v>
      </c>
      <c r="O71" s="3" t="n">
        <v>0.3777</v>
      </c>
      <c r="P71" t="inlineStr">
        <is>
          <t>adjusted xGOT</t>
        </is>
      </c>
      <c r="Q71" s="3" t="n">
        <v>0.953</v>
      </c>
      <c r="R71" s="3" t="n">
        <v>23.9</v>
      </c>
      <c r="S71" s="3" t="n">
        <v>0.1085</v>
      </c>
      <c r="T71" s="3" t="n">
        <v>0</v>
      </c>
      <c r="U71" s="3" t="n">
        <v>0.164</v>
      </c>
      <c r="V71" s="3" t="n">
        <v>2.132</v>
      </c>
      <c r="W71" s="3">
        <f>IF(V71="",IFERROR(VLOOKUP($C71,Assumptions!$A$4:$F$7,6,FALSE),0),V71)</f>
        <v/>
      </c>
      <c r="X71" s="3">
        <f>N(O71)*IFERROR(VLOOKUP($C71,Assumptions!$A$4:$F$7,2,FALSE),0)</f>
        <v/>
      </c>
      <c r="Y71" s="3">
        <f>N(S71)*IFERROR(VLOOKUP($C71,Assumptions!$A$4:$F$7,3,FALSE),0)*Assumptions!$B$11</f>
        <v/>
      </c>
      <c r="Z71" s="3">
        <f>N(N71)*IFERROR(VLOOKUP($C71,Assumptions!$A$4:$F$7,4,FALSE),0)</f>
        <v/>
      </c>
      <c r="AA71" s="3">
        <f>N(T71)*IFERROR(VLOOKUP($C71,Assumptions!$A$4:$F$7,5,FALSE),0)</f>
        <v/>
      </c>
      <c r="AB71" s="3">
        <f>N(U71)</f>
        <v/>
      </c>
      <c r="AC71" s="3">
        <f>SUM(W71:AB71)</f>
        <v/>
      </c>
      <c r="AD71" s="3">
        <f>N(AC71)*N(M71)/90</f>
        <v/>
      </c>
      <c r="AE71" s="3">
        <f>IFERROR(AD71-VLOOKUP($C71,Assumptions!$A$29:$C$32,3,FALSE),"")</f>
        <v/>
      </c>
      <c r="AF71" s="3">
        <f>IFERROR(AE71/F71,"")</f>
        <v/>
      </c>
      <c r="AG71">
        <f>IF(AND($E71=TRUE,$C71="GKP"),AD71,"")</f>
        <v/>
      </c>
      <c r="AH71">
        <f>IF(AND($E71=TRUE,$C71="DEF"),AD71,"")</f>
        <v/>
      </c>
      <c r="AI71">
        <f>IF(AND($E71=TRUE,$C71="MID"),AD71,"")</f>
        <v/>
      </c>
      <c r="AJ71">
        <f>IF(AND($E71=TRUE,$C71="FWD"),AD71,"")</f>
        <v/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b">
        <v>1</v>
      </c>
      <c r="F72" s="2" t="n">
        <v>4.5</v>
      </c>
      <c r="G72" t="inlineStr">
        <is>
          <t>a</t>
        </is>
      </c>
      <c r="I72" s="2" t="n">
        <v>3420</v>
      </c>
      <c r="J72" t="n">
        <v>124</v>
      </c>
      <c r="K72" s="3" t="n">
        <v>3385</v>
      </c>
      <c r="L72" t="inlineStr">
        <is>
          <t>flat</t>
        </is>
      </c>
      <c r="M72" s="4" t="n">
        <v>3420</v>
      </c>
      <c r="N72" s="4" t="n">
        <v>0.29</v>
      </c>
      <c r="O72" s="3" t="n">
        <v>0</v>
      </c>
      <c r="P72" t="inlineStr">
        <is>
          <t>blended xG</t>
        </is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0.1842</v>
      </c>
      <c r="V72" s="3" t="n">
        <v>2</v>
      </c>
      <c r="W72" s="3">
        <f>IF(V72="",IFERROR(VLOOKUP($C72,Assumptions!$A$4:$F$7,6,FALSE),0),V72)</f>
        <v/>
      </c>
      <c r="X72" s="3">
        <f>N(O72)*IFERROR(VLOOKUP($C72,Assumptions!$A$4:$F$7,2,FALSE),0)</f>
        <v/>
      </c>
      <c r="Y72" s="3">
        <f>N(S72)*IFERROR(VLOOKUP($C72,Assumptions!$A$4:$F$7,3,FALSE),0)*Assumptions!$B$11</f>
        <v/>
      </c>
      <c r="Z72" s="3">
        <f>N(N72)*IFERROR(VLOOKUP($C72,Assumptions!$A$4:$F$7,4,FALSE),0)</f>
        <v/>
      </c>
      <c r="AA72" s="3">
        <f>N(T72)*IFERROR(VLOOKUP($C72,Assumptions!$A$4:$F$7,5,FALSE),0)</f>
        <v/>
      </c>
      <c r="AB72" s="3">
        <f>N(U72)</f>
        <v/>
      </c>
      <c r="AC72" s="3">
        <f>SUM(W72:AB72)</f>
        <v/>
      </c>
      <c r="AD72" s="3">
        <f>N(AC72)*N(M72)/90</f>
        <v/>
      </c>
      <c r="AE72" s="3">
        <f>IFERROR(AD72-VLOOKUP($C72,Assumptions!$A$29:$C$32,3,FALSE),"")</f>
        <v/>
      </c>
      <c r="AF72" s="3">
        <f>IFERROR(AE72/F72,"")</f>
        <v/>
      </c>
      <c r="AG72">
        <f>IF(AND($E72=TRUE,$C72="GKP"),AD72,"")</f>
        <v/>
      </c>
      <c r="AH72">
        <f>IF(AND($E72=TRUE,$C72="DEF"),AD72,"")</f>
        <v/>
      </c>
      <c r="AI72">
        <f>IF(AND($E72=TRUE,$C72="MID"),AD72,"")</f>
        <v/>
      </c>
      <c r="AJ72">
        <f>IF(AND($E72=TRUE,$C72="FWD"),AD72,"")</f>
        <v/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b">
        <v>1</v>
      </c>
      <c r="F73" s="2" t="n">
        <v>5.5</v>
      </c>
      <c r="G73" t="inlineStr">
        <is>
          <t>a</t>
        </is>
      </c>
      <c r="I73" s="2" t="n">
        <v>2901</v>
      </c>
      <c r="J73" t="n">
        <v>124</v>
      </c>
      <c r="K73" s="3" t="n">
        <v>3295</v>
      </c>
      <c r="L73" t="inlineStr">
        <is>
          <t>flat</t>
        </is>
      </c>
      <c r="M73" s="4" t="n">
        <v>2901</v>
      </c>
      <c r="N73" s="4" t="n">
        <v>0.29</v>
      </c>
      <c r="O73" s="3" t="n">
        <v>0.0342</v>
      </c>
      <c r="P73" t="inlineStr">
        <is>
          <t>adjusted xGOT</t>
        </is>
      </c>
      <c r="Q73" s="3" t="n">
        <v>1.091</v>
      </c>
      <c r="R73" s="3" t="n">
        <v>5.7</v>
      </c>
      <c r="S73" s="3" t="n">
        <v>0.1153</v>
      </c>
      <c r="T73" s="3" t="n">
        <v>0.406</v>
      </c>
      <c r="U73" s="3" t="n">
        <v>0.2482</v>
      </c>
      <c r="V73" s="3" t="n">
        <v>2.048</v>
      </c>
      <c r="W73" s="3">
        <f>IF(V73="",IFERROR(VLOOKUP($C73,Assumptions!$A$4:$F$7,6,FALSE),0),V73)</f>
        <v/>
      </c>
      <c r="X73" s="3">
        <f>N(O73)*IFERROR(VLOOKUP($C73,Assumptions!$A$4:$F$7,2,FALSE),0)</f>
        <v/>
      </c>
      <c r="Y73" s="3">
        <f>N(S73)*IFERROR(VLOOKUP($C73,Assumptions!$A$4:$F$7,3,FALSE),0)*Assumptions!$B$11</f>
        <v/>
      </c>
      <c r="Z73" s="3">
        <f>N(N73)*IFERROR(VLOOKUP($C73,Assumptions!$A$4:$F$7,4,FALSE),0)</f>
        <v/>
      </c>
      <c r="AA73" s="3">
        <f>N(T73)*IFERROR(VLOOKUP($C73,Assumptions!$A$4:$F$7,5,FALSE),0)</f>
        <v/>
      </c>
      <c r="AB73" s="3">
        <f>N(U73)</f>
        <v/>
      </c>
      <c r="AC73" s="3">
        <f>SUM(W73:AB73)</f>
        <v/>
      </c>
      <c r="AD73" s="3">
        <f>N(AC73)*N(M73)/90</f>
        <v/>
      </c>
      <c r="AE73" s="3">
        <f>IFERROR(AD73-VLOOKUP($C73,Assumptions!$A$29:$C$32,3,FALSE),"")</f>
        <v/>
      </c>
      <c r="AF73" s="3">
        <f>IFERROR(AE73/F73,"")</f>
        <v/>
      </c>
      <c r="AG73">
        <f>IF(AND($E73=TRUE,$C73="GKP"),AD73,"")</f>
        <v/>
      </c>
      <c r="AH73">
        <f>IF(AND($E73=TRUE,$C73="DEF"),AD73,"")</f>
        <v/>
      </c>
      <c r="AI73">
        <f>IF(AND($E73=TRUE,$C73="MID"),AD73,"")</f>
        <v/>
      </c>
      <c r="AJ73">
        <f>IF(AND($E73=TRUE,$C73="FWD"),AD73,"")</f>
        <v/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b">
        <v>1</v>
      </c>
      <c r="F74" s="2" t="n">
        <v>5</v>
      </c>
      <c r="G74" t="inlineStr">
        <is>
          <t>s</t>
        </is>
      </c>
      <c r="H74" t="inlineStr">
        <is>
          <t>Suspended until 30 Aug</t>
        </is>
      </c>
      <c r="I74" s="2" t="n">
        <v>2882</v>
      </c>
      <c r="J74" t="n">
        <v>123</v>
      </c>
      <c r="K74" s="3" t="n">
        <v>3032</v>
      </c>
      <c r="L74" t="inlineStr">
        <is>
          <t>flat</t>
        </is>
      </c>
      <c r="M74" s="4" t="n">
        <v>2882</v>
      </c>
      <c r="N74" s="4" t="n">
        <v>0.237</v>
      </c>
      <c r="O74" s="3" t="n">
        <v>0.0428</v>
      </c>
      <c r="P74" t="inlineStr">
        <is>
          <t>adjusted xGOT</t>
        </is>
      </c>
      <c r="Q74" s="3" t="n">
        <v>0.958</v>
      </c>
      <c r="R74" s="3" t="n">
        <v>6.1</v>
      </c>
      <c r="S74" s="3" t="n">
        <v>0.0376</v>
      </c>
      <c r="T74" s="3" t="n">
        <v>0.606</v>
      </c>
      <c r="U74" s="3" t="n">
        <v>0.1874</v>
      </c>
      <c r="V74" s="3" t="n">
        <v>1.999</v>
      </c>
      <c r="W74" s="3">
        <f>IF(V74="",IFERROR(VLOOKUP($C74,Assumptions!$A$4:$F$7,6,FALSE),0),V74)</f>
        <v/>
      </c>
      <c r="X74" s="3">
        <f>N(O74)*IFERROR(VLOOKUP($C74,Assumptions!$A$4:$F$7,2,FALSE),0)</f>
        <v/>
      </c>
      <c r="Y74" s="3">
        <f>N(S74)*IFERROR(VLOOKUP($C74,Assumptions!$A$4:$F$7,3,FALSE),0)*Assumptions!$B$11</f>
        <v/>
      </c>
      <c r="Z74" s="3">
        <f>N(N74)*IFERROR(VLOOKUP($C74,Assumptions!$A$4:$F$7,4,FALSE),0)</f>
        <v/>
      </c>
      <c r="AA74" s="3">
        <f>N(T74)*IFERROR(VLOOKUP($C74,Assumptions!$A$4:$F$7,5,FALSE),0)</f>
        <v/>
      </c>
      <c r="AB74" s="3">
        <f>N(U74)</f>
        <v/>
      </c>
      <c r="AC74" s="3">
        <f>SUM(W74:AB74)</f>
        <v/>
      </c>
      <c r="AD74" s="3">
        <f>N(AC74)*N(M74)/90</f>
        <v/>
      </c>
      <c r="AE74" s="3">
        <f>IFERROR(AD74-VLOOKUP($C74,Assumptions!$A$29:$C$32,3,FALSE),"")</f>
        <v/>
      </c>
      <c r="AF74" s="3">
        <f>IFERROR(AE74/F74,"")</f>
        <v/>
      </c>
      <c r="AG74">
        <f>IF(AND($E74=TRUE,$C74="GKP"),AD74,"")</f>
        <v/>
      </c>
      <c r="AH74">
        <f>IF(AND($E74=TRUE,$C74="DEF"),AD74,"")</f>
        <v/>
      </c>
      <c r="AI74">
        <f>IF(AND($E74=TRUE,$C74="MID"),AD74,"")</f>
        <v/>
      </c>
      <c r="AJ74">
        <f>IF(AND($E74=TRUE,$C74="FWD"),AD74,"")</f>
        <v/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b">
        <v>1</v>
      </c>
      <c r="F75" s="2" t="n">
        <v>4.5</v>
      </c>
      <c r="G75" t="inlineStr">
        <is>
          <t>a</t>
        </is>
      </c>
      <c r="I75" s="2" t="n">
        <v>3420</v>
      </c>
      <c r="J75" t="n">
        <v>122</v>
      </c>
      <c r="K75" s="3" t="n">
        <v>3420</v>
      </c>
      <c r="L75" t="inlineStr">
        <is>
          <t>flat</t>
        </is>
      </c>
      <c r="M75" s="4" t="n">
        <v>3420</v>
      </c>
      <c r="N75" s="4" t="n">
        <v>0.237</v>
      </c>
      <c r="O75" s="3" t="n">
        <v>0</v>
      </c>
      <c r="P75" t="inlineStr">
        <is>
          <t>blended xG</t>
        </is>
      </c>
      <c r="Q75" s="3" t="n">
        <v>1</v>
      </c>
      <c r="R75" s="3" t="n">
        <v>0</v>
      </c>
      <c r="S75" s="3" t="n">
        <v>0.0003</v>
      </c>
      <c r="T75" s="3" t="n">
        <v>0</v>
      </c>
      <c r="U75" s="3" t="n">
        <v>0.2632</v>
      </c>
      <c r="V75" s="3" t="n">
        <v>2</v>
      </c>
      <c r="W75" s="3">
        <f>IF(V75="",IFERROR(VLOOKUP($C75,Assumptions!$A$4:$F$7,6,FALSE),0),V75)</f>
        <v/>
      </c>
      <c r="X75" s="3">
        <f>N(O75)*IFERROR(VLOOKUP($C75,Assumptions!$A$4:$F$7,2,FALSE),0)</f>
        <v/>
      </c>
      <c r="Y75" s="3">
        <f>N(S75)*IFERROR(VLOOKUP($C75,Assumptions!$A$4:$F$7,3,FALSE),0)*Assumptions!$B$11</f>
        <v/>
      </c>
      <c r="Z75" s="3">
        <f>N(N75)*IFERROR(VLOOKUP($C75,Assumptions!$A$4:$F$7,4,FALSE),0)</f>
        <v/>
      </c>
      <c r="AA75" s="3">
        <f>N(T75)*IFERROR(VLOOKUP($C75,Assumptions!$A$4:$F$7,5,FALSE),0)</f>
        <v/>
      </c>
      <c r="AB75" s="3">
        <f>N(U75)</f>
        <v/>
      </c>
      <c r="AC75" s="3">
        <f>SUM(W75:AB75)</f>
        <v/>
      </c>
      <c r="AD75" s="3">
        <f>N(AC75)*N(M75)/90</f>
        <v/>
      </c>
      <c r="AE75" s="3">
        <f>IFERROR(AD75-VLOOKUP($C75,Assumptions!$A$29:$C$32,3,FALSE),"")</f>
        <v/>
      </c>
      <c r="AF75" s="3">
        <f>IFERROR(AE75/F75,"")</f>
        <v/>
      </c>
      <c r="AG75">
        <f>IF(AND($E75=TRUE,$C75="GKP"),AD75,"")</f>
        <v/>
      </c>
      <c r="AH75">
        <f>IF(AND($E75=TRUE,$C75="DEF"),AD75,"")</f>
        <v/>
      </c>
      <c r="AI75">
        <f>IF(AND($E75=TRUE,$C75="MID"),AD75,"")</f>
        <v/>
      </c>
      <c r="AJ75">
        <f>IF(AND($E75=TRUE,$C75="FWD"),AD75,"")</f>
        <v/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b">
        <v>1</v>
      </c>
      <c r="F76" s="2" t="n">
        <v>5</v>
      </c>
      <c r="G76" t="inlineStr">
        <is>
          <t>a</t>
        </is>
      </c>
      <c r="I76" s="2" t="n">
        <v>2835</v>
      </c>
      <c r="J76" t="n">
        <v>120</v>
      </c>
      <c r="K76" s="3" t="n">
        <v>3385</v>
      </c>
      <c r="L76" t="inlineStr">
        <is>
          <t>flat</t>
        </is>
      </c>
      <c r="M76" s="4" t="n">
        <v>2835</v>
      </c>
      <c r="N76" s="4" t="n">
        <v>0.237</v>
      </c>
      <c r="O76" s="3" t="n">
        <v>0</v>
      </c>
      <c r="P76" t="inlineStr">
        <is>
          <t>blended xG</t>
        </is>
      </c>
      <c r="Q76" s="3" t="n">
        <v>1</v>
      </c>
      <c r="R76" s="3" t="n">
        <v>0</v>
      </c>
      <c r="S76" s="3" t="n">
        <v>0.0069</v>
      </c>
      <c r="T76" s="3" t="n">
        <v>0</v>
      </c>
      <c r="U76" s="3" t="n">
        <v>0.3175</v>
      </c>
      <c r="V76" s="3" t="n">
        <v>2</v>
      </c>
      <c r="W76" s="3">
        <f>IF(V76="",IFERROR(VLOOKUP($C76,Assumptions!$A$4:$F$7,6,FALSE),0),V76)</f>
        <v/>
      </c>
      <c r="X76" s="3">
        <f>N(O76)*IFERROR(VLOOKUP($C76,Assumptions!$A$4:$F$7,2,FALSE),0)</f>
        <v/>
      </c>
      <c r="Y76" s="3">
        <f>N(S76)*IFERROR(VLOOKUP($C76,Assumptions!$A$4:$F$7,3,FALSE),0)*Assumptions!$B$11</f>
        <v/>
      </c>
      <c r="Z76" s="3">
        <f>N(N76)*IFERROR(VLOOKUP($C76,Assumptions!$A$4:$F$7,4,FALSE),0)</f>
        <v/>
      </c>
      <c r="AA76" s="3">
        <f>N(T76)*IFERROR(VLOOKUP($C76,Assumptions!$A$4:$F$7,5,FALSE),0)</f>
        <v/>
      </c>
      <c r="AB76" s="3">
        <f>N(U76)</f>
        <v/>
      </c>
      <c r="AC76" s="3">
        <f>SUM(W76:AB76)</f>
        <v/>
      </c>
      <c r="AD76" s="3">
        <f>N(AC76)*N(M76)/90</f>
        <v/>
      </c>
      <c r="AE76" s="3">
        <f>IFERROR(AD76-VLOOKUP($C76,Assumptions!$A$29:$C$32,3,FALSE),"")</f>
        <v/>
      </c>
      <c r="AF76" s="3">
        <f>IFERROR(AE76/F76,"")</f>
        <v/>
      </c>
      <c r="AG76">
        <f>IF(AND($E76=TRUE,$C76="GKP"),AD76,"")</f>
        <v/>
      </c>
      <c r="AH76">
        <f>IF(AND($E76=TRUE,$C76="DEF"),AD76,"")</f>
        <v/>
      </c>
      <c r="AI76">
        <f>IF(AND($E76=TRUE,$C76="MID"),AD76,"")</f>
        <v/>
      </c>
      <c r="AJ76">
        <f>IF(AND($E76=TRUE,$C76="FWD"),AD76,"")</f>
        <v/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b">
        <v>1</v>
      </c>
      <c r="F77" s="2" t="n">
        <v>7.5</v>
      </c>
      <c r="G77" t="inlineStr">
        <is>
          <t>a</t>
        </is>
      </c>
      <c r="I77" s="2" t="n">
        <v>1773</v>
      </c>
      <c r="J77" t="n">
        <v>120</v>
      </c>
      <c r="K77" s="3" t="n">
        <v>2502</v>
      </c>
      <c r="L77" t="inlineStr">
        <is>
          <t>flat</t>
        </is>
      </c>
      <c r="M77" s="4" t="n">
        <v>1773</v>
      </c>
      <c r="N77" s="4" t="n">
        <v>0.421</v>
      </c>
      <c r="O77" s="3" t="n">
        <v>0.1865</v>
      </c>
      <c r="P77" t="inlineStr">
        <is>
          <t>adjusted xGOT</t>
        </is>
      </c>
      <c r="Q77" s="3" t="n">
        <v>1.28</v>
      </c>
      <c r="R77" s="3" t="n">
        <v>6.8</v>
      </c>
      <c r="S77" s="3" t="n">
        <v>0.3404</v>
      </c>
      <c r="T77" s="3" t="n">
        <v>0</v>
      </c>
      <c r="U77" s="3" t="n">
        <v>0.7614</v>
      </c>
      <c r="V77" s="3" t="n">
        <v>2.437</v>
      </c>
      <c r="W77" s="3">
        <f>IF(V77="",IFERROR(VLOOKUP($C77,Assumptions!$A$4:$F$7,6,FALSE),0),V77)</f>
        <v/>
      </c>
      <c r="X77" s="3">
        <f>N(O77)*IFERROR(VLOOKUP($C77,Assumptions!$A$4:$F$7,2,FALSE),0)</f>
        <v/>
      </c>
      <c r="Y77" s="3">
        <f>N(S77)*IFERROR(VLOOKUP($C77,Assumptions!$A$4:$F$7,3,FALSE),0)*Assumptions!$B$11</f>
        <v/>
      </c>
      <c r="Z77" s="3">
        <f>N(N77)*IFERROR(VLOOKUP($C77,Assumptions!$A$4:$F$7,4,FALSE),0)</f>
        <v/>
      </c>
      <c r="AA77" s="3">
        <f>N(T77)*IFERROR(VLOOKUP($C77,Assumptions!$A$4:$F$7,5,FALSE),0)</f>
        <v/>
      </c>
      <c r="AB77" s="3">
        <f>N(U77)</f>
        <v/>
      </c>
      <c r="AC77" s="3">
        <f>SUM(W77:AB77)</f>
        <v/>
      </c>
      <c r="AD77" s="3">
        <f>N(AC77)*N(M77)/90</f>
        <v/>
      </c>
      <c r="AE77" s="3">
        <f>IFERROR(AD77-VLOOKUP($C77,Assumptions!$A$29:$C$32,3,FALSE),"")</f>
        <v/>
      </c>
      <c r="AF77" s="3">
        <f>IFERROR(AE77/F77,"")</f>
        <v/>
      </c>
      <c r="AG77">
        <f>IF(AND($E77=TRUE,$C77="GKP"),AD77,"")</f>
        <v/>
      </c>
      <c r="AH77">
        <f>IF(AND($E77=TRUE,$C77="DEF"),AD77,"")</f>
        <v/>
      </c>
      <c r="AI77">
        <f>IF(AND($E77=TRUE,$C77="MID"),AD77,"")</f>
        <v/>
      </c>
      <c r="AJ77">
        <f>IF(AND($E77=TRUE,$C77="FWD"),AD77,"")</f>
        <v/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b">
        <v>1</v>
      </c>
      <c r="F78" s="2" t="n">
        <v>5.5</v>
      </c>
      <c r="G78" t="inlineStr">
        <is>
          <t>a</t>
        </is>
      </c>
      <c r="I78" s="2" t="n">
        <v>3375</v>
      </c>
      <c r="J78" t="n">
        <v>119</v>
      </c>
      <c r="K78" s="3" t="n">
        <v>3312</v>
      </c>
      <c r="L78" t="inlineStr">
        <is>
          <t>flat</t>
        </is>
      </c>
      <c r="M78" s="4" t="n">
        <v>3375</v>
      </c>
      <c r="N78" s="4" t="n">
        <v>0.237</v>
      </c>
      <c r="O78" s="3" t="n">
        <v>0.022</v>
      </c>
      <c r="P78" t="inlineStr">
        <is>
          <t>adjusted xGOT</t>
        </is>
      </c>
      <c r="Q78" s="3" t="n">
        <v>0.994</v>
      </c>
      <c r="R78" s="3" t="n">
        <v>4.9</v>
      </c>
      <c r="S78" s="3" t="n">
        <v>0.0126</v>
      </c>
      <c r="T78" s="3" t="n">
        <v>0.351</v>
      </c>
      <c r="U78" s="3" t="n">
        <v>0.0267</v>
      </c>
      <c r="V78" s="3" t="n">
        <v>2</v>
      </c>
      <c r="W78" s="3">
        <f>IF(V78="",IFERROR(VLOOKUP($C78,Assumptions!$A$4:$F$7,6,FALSE),0),V78)</f>
        <v/>
      </c>
      <c r="X78" s="3">
        <f>N(O78)*IFERROR(VLOOKUP($C78,Assumptions!$A$4:$F$7,2,FALSE),0)</f>
        <v/>
      </c>
      <c r="Y78" s="3">
        <f>N(S78)*IFERROR(VLOOKUP($C78,Assumptions!$A$4:$F$7,3,FALSE),0)*Assumptions!$B$11</f>
        <v/>
      </c>
      <c r="Z78" s="3">
        <f>N(N78)*IFERROR(VLOOKUP($C78,Assumptions!$A$4:$F$7,4,FALSE),0)</f>
        <v/>
      </c>
      <c r="AA78" s="3">
        <f>N(T78)*IFERROR(VLOOKUP($C78,Assumptions!$A$4:$F$7,5,FALSE),0)</f>
        <v/>
      </c>
      <c r="AB78" s="3">
        <f>N(U78)</f>
        <v/>
      </c>
      <c r="AC78" s="3">
        <f>SUM(W78:AB78)</f>
        <v/>
      </c>
      <c r="AD78" s="3">
        <f>N(AC78)*N(M78)/90</f>
        <v/>
      </c>
      <c r="AE78" s="3">
        <f>IFERROR(AD78-VLOOKUP($C78,Assumptions!$A$29:$C$32,3,FALSE),"")</f>
        <v/>
      </c>
      <c r="AF78" s="3">
        <f>IFERROR(AE78/F78,"")</f>
        <v/>
      </c>
      <c r="AG78">
        <f>IF(AND($E78=TRUE,$C78="GKP"),AD78,"")</f>
        <v/>
      </c>
      <c r="AH78">
        <f>IF(AND($E78=TRUE,$C78="DEF"),AD78,"")</f>
        <v/>
      </c>
      <c r="AI78">
        <f>IF(AND($E78=TRUE,$C78="MID"),AD78,"")</f>
        <v/>
      </c>
      <c r="AJ78">
        <f>IF(AND($E78=TRUE,$C78="FWD"),AD78,"")</f>
        <v/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b">
        <v>1</v>
      </c>
      <c r="F79" s="2" t="n">
        <v>6</v>
      </c>
      <c r="G79" t="inlineStr">
        <is>
          <t>a</t>
        </is>
      </c>
      <c r="I79" s="2" t="n">
        <v>1954</v>
      </c>
      <c r="J79" t="n">
        <v>119</v>
      </c>
      <c r="K79" s="3" t="n">
        <v>697</v>
      </c>
      <c r="L79" t="inlineStr">
        <is>
          <t>fade (losing his place)</t>
        </is>
      </c>
      <c r="M79" s="4" t="n">
        <v>1954</v>
      </c>
      <c r="N79" s="4" t="n">
        <v>0.237</v>
      </c>
      <c r="O79" s="3" t="n">
        <v>0.4198</v>
      </c>
      <c r="P79" t="inlineStr">
        <is>
          <t>adjusted xGOT</t>
        </is>
      </c>
      <c r="Q79" s="3" t="n">
        <v>1.055</v>
      </c>
      <c r="R79" s="3" t="n">
        <v>25.3</v>
      </c>
      <c r="S79" s="3" t="n">
        <v>0.1121</v>
      </c>
      <c r="T79" s="3" t="n">
        <v>0</v>
      </c>
      <c r="U79" s="3" t="n">
        <v>0.783</v>
      </c>
      <c r="V79" s="3" t="n">
        <v>2.349</v>
      </c>
      <c r="W79" s="3">
        <f>IF(V79="",IFERROR(VLOOKUP($C79,Assumptions!$A$4:$F$7,6,FALSE),0),V79)</f>
        <v/>
      </c>
      <c r="X79" s="3">
        <f>N(O79)*IFERROR(VLOOKUP($C79,Assumptions!$A$4:$F$7,2,FALSE),0)</f>
        <v/>
      </c>
      <c r="Y79" s="3">
        <f>N(S79)*IFERROR(VLOOKUP($C79,Assumptions!$A$4:$F$7,3,FALSE),0)*Assumptions!$B$11</f>
        <v/>
      </c>
      <c r="Z79" s="3">
        <f>N(N79)*IFERROR(VLOOKUP($C79,Assumptions!$A$4:$F$7,4,FALSE),0)</f>
        <v/>
      </c>
      <c r="AA79" s="3">
        <f>N(T79)*IFERROR(VLOOKUP($C79,Assumptions!$A$4:$F$7,5,FALSE),0)</f>
        <v/>
      </c>
      <c r="AB79" s="3">
        <f>N(U79)</f>
        <v/>
      </c>
      <c r="AC79" s="3">
        <f>SUM(W79:AB79)</f>
        <v/>
      </c>
      <c r="AD79" s="3">
        <f>N(AC79)*N(M79)/90</f>
        <v/>
      </c>
      <c r="AE79" s="3">
        <f>IFERROR(AD79-VLOOKUP($C79,Assumptions!$A$29:$C$32,3,FALSE),"")</f>
        <v/>
      </c>
      <c r="AF79" s="3">
        <f>IFERROR(AE79/F79,"")</f>
        <v/>
      </c>
      <c r="AG79">
        <f>IF(AND($E79=TRUE,$C79="GKP"),AD79,"")</f>
        <v/>
      </c>
      <c r="AH79">
        <f>IF(AND($E79=TRUE,$C79="DEF"),AD79,"")</f>
        <v/>
      </c>
      <c r="AI79">
        <f>IF(AND($E79=TRUE,$C79="MID"),AD79,"")</f>
        <v/>
      </c>
      <c r="AJ79">
        <f>IF(AND($E79=TRUE,$C79="FWD"),AD79,"")</f>
        <v/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b">
        <v>1</v>
      </c>
      <c r="F80" s="2" t="n">
        <v>4.5</v>
      </c>
      <c r="G80" t="inlineStr">
        <is>
          <t>a</t>
        </is>
      </c>
      <c r="I80" s="2" t="n">
        <v>3130</v>
      </c>
      <c r="J80" t="n">
        <v>118</v>
      </c>
      <c r="K80" s="3" t="n">
        <v>3198</v>
      </c>
      <c r="L80" t="inlineStr">
        <is>
          <t>flat</t>
        </is>
      </c>
      <c r="M80" s="4" t="n">
        <v>3130</v>
      </c>
      <c r="N80" s="4" t="n">
        <v>0.263</v>
      </c>
      <c r="O80" s="3" t="n">
        <v>0.0626</v>
      </c>
      <c r="P80" t="inlineStr">
        <is>
          <t>adjusted xGOT</t>
        </is>
      </c>
      <c r="Q80" s="3" t="n">
        <v>1.057</v>
      </c>
      <c r="R80" s="3" t="n">
        <v>2.5</v>
      </c>
      <c r="S80" s="3" t="n">
        <v>0.0799</v>
      </c>
      <c r="T80" s="3" t="n">
        <v>0.059</v>
      </c>
      <c r="U80" s="3" t="n">
        <v>0.23</v>
      </c>
      <c r="V80" s="3" t="n">
        <v>2.07</v>
      </c>
      <c r="W80" s="3">
        <f>IF(V80="",IFERROR(VLOOKUP($C80,Assumptions!$A$4:$F$7,6,FALSE),0),V80)</f>
        <v/>
      </c>
      <c r="X80" s="3">
        <f>N(O80)*IFERROR(VLOOKUP($C80,Assumptions!$A$4:$F$7,2,FALSE),0)</f>
        <v/>
      </c>
      <c r="Y80" s="3">
        <f>N(S80)*IFERROR(VLOOKUP($C80,Assumptions!$A$4:$F$7,3,FALSE),0)*Assumptions!$B$11</f>
        <v/>
      </c>
      <c r="Z80" s="3">
        <f>N(N80)*IFERROR(VLOOKUP($C80,Assumptions!$A$4:$F$7,4,FALSE),0)</f>
        <v/>
      </c>
      <c r="AA80" s="3">
        <f>N(T80)*IFERROR(VLOOKUP($C80,Assumptions!$A$4:$F$7,5,FALSE),0)</f>
        <v/>
      </c>
      <c r="AB80" s="3">
        <f>N(U80)</f>
        <v/>
      </c>
      <c r="AC80" s="3">
        <f>SUM(W80:AB80)</f>
        <v/>
      </c>
      <c r="AD80" s="3">
        <f>N(AC80)*N(M80)/90</f>
        <v/>
      </c>
      <c r="AE80" s="3">
        <f>IFERROR(AD80-VLOOKUP($C80,Assumptions!$A$29:$C$32,3,FALSE),"")</f>
        <v/>
      </c>
      <c r="AF80" s="3">
        <f>IFERROR(AE80/F80,"")</f>
        <v/>
      </c>
      <c r="AG80">
        <f>IF(AND($E80=TRUE,$C80="GKP"),AD80,"")</f>
        <v/>
      </c>
      <c r="AH80">
        <f>IF(AND($E80=TRUE,$C80="DEF"),AD80,"")</f>
        <v/>
      </c>
      <c r="AI80">
        <f>IF(AND($E80=TRUE,$C80="MID"),AD80,"")</f>
        <v/>
      </c>
      <c r="AJ80">
        <f>IF(AND($E80=TRUE,$C80="FWD"),AD80,"")</f>
        <v/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b">
        <v>1</v>
      </c>
      <c r="F81" s="2" t="n">
        <v>6.5</v>
      </c>
      <c r="G81" t="inlineStr">
        <is>
          <t>a</t>
        </is>
      </c>
      <c r="I81" s="2" t="n">
        <v>2173</v>
      </c>
      <c r="J81" t="n">
        <v>117</v>
      </c>
      <c r="K81" s="3" t="n">
        <v>3135</v>
      </c>
      <c r="L81" t="inlineStr">
        <is>
          <t>flat</t>
        </is>
      </c>
      <c r="M81" s="4" t="n">
        <v>2173</v>
      </c>
      <c r="N81" s="4" t="n">
        <v>0.316</v>
      </c>
      <c r="O81" s="3" t="n">
        <v>0.4489</v>
      </c>
      <c r="P81" t="inlineStr">
        <is>
          <t>adjusted xGOT</t>
        </is>
      </c>
      <c r="Q81" s="3" t="n">
        <v>0.992</v>
      </c>
      <c r="R81" s="3" t="n">
        <v>21.8</v>
      </c>
      <c r="S81" s="3" t="n">
        <v>0.0698</v>
      </c>
      <c r="T81" s="3" t="n">
        <v>0</v>
      </c>
      <c r="U81" s="3" t="n">
        <v>0.4142</v>
      </c>
      <c r="V81" s="3" t="n">
        <v>2.071</v>
      </c>
      <c r="W81" s="3">
        <f>IF(V81="",IFERROR(VLOOKUP($C81,Assumptions!$A$4:$F$7,6,FALSE),0),V81)</f>
        <v/>
      </c>
      <c r="X81" s="3">
        <f>N(O81)*IFERROR(VLOOKUP($C81,Assumptions!$A$4:$F$7,2,FALSE),0)</f>
        <v/>
      </c>
      <c r="Y81" s="3">
        <f>N(S81)*IFERROR(VLOOKUP($C81,Assumptions!$A$4:$F$7,3,FALSE),0)*Assumptions!$B$11</f>
        <v/>
      </c>
      <c r="Z81" s="3">
        <f>N(N81)*IFERROR(VLOOKUP($C81,Assumptions!$A$4:$F$7,4,FALSE),0)</f>
        <v/>
      </c>
      <c r="AA81" s="3">
        <f>N(T81)*IFERROR(VLOOKUP($C81,Assumptions!$A$4:$F$7,5,FALSE),0)</f>
        <v/>
      </c>
      <c r="AB81" s="3">
        <f>N(U81)</f>
        <v/>
      </c>
      <c r="AC81" s="3">
        <f>SUM(W81:AB81)</f>
        <v/>
      </c>
      <c r="AD81" s="3">
        <f>N(AC81)*N(M81)/90</f>
        <v/>
      </c>
      <c r="AE81" s="3">
        <f>IFERROR(AD81-VLOOKUP($C81,Assumptions!$A$29:$C$32,3,FALSE),"")</f>
        <v/>
      </c>
      <c r="AF81" s="3">
        <f>IFERROR(AE81/F81,"")</f>
        <v/>
      </c>
      <c r="AG81">
        <f>IF(AND($E81=TRUE,$C81="GKP"),AD81,"")</f>
        <v/>
      </c>
      <c r="AH81">
        <f>IF(AND($E81=TRUE,$C81="DEF"),AD81,"")</f>
        <v/>
      </c>
      <c r="AI81">
        <f>IF(AND($E81=TRUE,$C81="MID"),AD81,"")</f>
        <v/>
      </c>
      <c r="AJ81">
        <f>IF(AND($E81=TRUE,$C81="FWD"),AD81,"")</f>
        <v/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b">
        <v>1</v>
      </c>
      <c r="F82" s="2" t="n">
        <v>6</v>
      </c>
      <c r="G82" t="inlineStr">
        <is>
          <t>i</t>
        </is>
      </c>
      <c r="H82" t="inlineStr">
        <is>
          <t>Leg injury - Expected back 28 Nov</t>
        </is>
      </c>
      <c r="I82" s="2" t="n">
        <v>2389</v>
      </c>
      <c r="J82" t="n">
        <v>117</v>
      </c>
      <c r="K82" s="3" t="n">
        <v>2713</v>
      </c>
      <c r="L82" t="inlineStr">
        <is>
          <t>ramp-up (injury / late WC return)</t>
        </is>
      </c>
      <c r="M82" s="4" t="n">
        <v>2389</v>
      </c>
      <c r="N82" s="4" t="n">
        <v>0.263</v>
      </c>
      <c r="O82" s="3" t="n">
        <v>0.1513</v>
      </c>
      <c r="P82" t="inlineStr">
        <is>
          <t>adjusted xGOT</t>
        </is>
      </c>
      <c r="Q82" s="3" t="n">
        <v>1.054</v>
      </c>
      <c r="R82" s="3" t="n">
        <v>7.9</v>
      </c>
      <c r="S82" s="3" t="n">
        <v>0.2053</v>
      </c>
      <c r="T82" s="3" t="n">
        <v>0.038</v>
      </c>
      <c r="U82" s="3" t="n">
        <v>0.3767</v>
      </c>
      <c r="V82" s="3" t="n">
        <v>2.223</v>
      </c>
      <c r="W82" s="3">
        <f>IF(V82="",IFERROR(VLOOKUP($C82,Assumptions!$A$4:$F$7,6,FALSE),0),V82)</f>
        <v/>
      </c>
      <c r="X82" s="3">
        <f>N(O82)*IFERROR(VLOOKUP($C82,Assumptions!$A$4:$F$7,2,FALSE),0)</f>
        <v/>
      </c>
      <c r="Y82" s="3">
        <f>N(S82)*IFERROR(VLOOKUP($C82,Assumptions!$A$4:$F$7,3,FALSE),0)*Assumptions!$B$11</f>
        <v/>
      </c>
      <c r="Z82" s="3">
        <f>N(N82)*IFERROR(VLOOKUP($C82,Assumptions!$A$4:$F$7,4,FALSE),0)</f>
        <v/>
      </c>
      <c r="AA82" s="3">
        <f>N(T82)*IFERROR(VLOOKUP($C82,Assumptions!$A$4:$F$7,5,FALSE),0)</f>
        <v/>
      </c>
      <c r="AB82" s="3">
        <f>N(U82)</f>
        <v/>
      </c>
      <c r="AC82" s="3">
        <f>SUM(W82:AB82)</f>
        <v/>
      </c>
      <c r="AD82" s="3">
        <f>N(AC82)*N(M82)/90</f>
        <v/>
      </c>
      <c r="AE82" s="3">
        <f>IFERROR(AD82-VLOOKUP($C82,Assumptions!$A$29:$C$32,3,FALSE),"")</f>
        <v/>
      </c>
      <c r="AF82" s="3">
        <f>IFERROR(AE82/F82,"")</f>
        <v/>
      </c>
      <c r="AG82">
        <f>IF(AND($E82=TRUE,$C82="GKP"),AD82,"")</f>
        <v/>
      </c>
      <c r="AH82">
        <f>IF(AND($E82=TRUE,$C82="DEF"),AD82,"")</f>
        <v/>
      </c>
      <c r="AI82">
        <f>IF(AND($E82=TRUE,$C82="MID"),AD82,"")</f>
        <v/>
      </c>
      <c r="AJ82">
        <f>IF(AND($E82=TRUE,$C82="FWD"),AD82,"")</f>
        <v/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b">
        <v>1</v>
      </c>
      <c r="F83" s="2" t="n">
        <v>5.5</v>
      </c>
      <c r="G83" t="inlineStr">
        <is>
          <t>a</t>
        </is>
      </c>
      <c r="I83" s="2" t="n">
        <v>2793</v>
      </c>
      <c r="J83" t="n">
        <v>117</v>
      </c>
      <c r="K83" s="3" t="n">
        <v>3084</v>
      </c>
      <c r="L83" t="inlineStr">
        <is>
          <t>flat</t>
        </is>
      </c>
      <c r="M83" s="4" t="n">
        <v>2793</v>
      </c>
      <c r="N83" s="4" t="n">
        <v>0.237</v>
      </c>
      <c r="O83" s="3" t="n">
        <v>0.0338</v>
      </c>
      <c r="P83" t="inlineStr">
        <is>
          <t>adjusted xGOT</t>
        </is>
      </c>
      <c r="Q83" s="3" t="n">
        <v>0.999</v>
      </c>
      <c r="R83" s="3" t="n">
        <v>7.4</v>
      </c>
      <c r="S83" s="3" t="n">
        <v>0.1388</v>
      </c>
      <c r="T83" s="3" t="n">
        <v>0.25</v>
      </c>
      <c r="U83" s="3" t="n">
        <v>0.29</v>
      </c>
      <c r="V83" s="3" t="n">
        <v>2.095</v>
      </c>
      <c r="W83" s="3">
        <f>IF(V83="",IFERROR(VLOOKUP($C83,Assumptions!$A$4:$F$7,6,FALSE),0),V83)</f>
        <v/>
      </c>
      <c r="X83" s="3">
        <f>N(O83)*IFERROR(VLOOKUP($C83,Assumptions!$A$4:$F$7,2,FALSE),0)</f>
        <v/>
      </c>
      <c r="Y83" s="3">
        <f>N(S83)*IFERROR(VLOOKUP($C83,Assumptions!$A$4:$F$7,3,FALSE),0)*Assumptions!$B$11</f>
        <v/>
      </c>
      <c r="Z83" s="3">
        <f>N(N83)*IFERROR(VLOOKUP($C83,Assumptions!$A$4:$F$7,4,FALSE),0)</f>
        <v/>
      </c>
      <c r="AA83" s="3">
        <f>N(T83)*IFERROR(VLOOKUP($C83,Assumptions!$A$4:$F$7,5,FALSE),0)</f>
        <v/>
      </c>
      <c r="AB83" s="3">
        <f>N(U83)</f>
        <v/>
      </c>
      <c r="AC83" s="3">
        <f>SUM(W83:AB83)</f>
        <v/>
      </c>
      <c r="AD83" s="3">
        <f>N(AC83)*N(M83)/90</f>
        <v/>
      </c>
      <c r="AE83" s="3">
        <f>IFERROR(AD83-VLOOKUP($C83,Assumptions!$A$29:$C$32,3,FALSE),"")</f>
        <v/>
      </c>
      <c r="AF83" s="3">
        <f>IFERROR(AE83/F83,"")</f>
        <v/>
      </c>
      <c r="AG83">
        <f>IF(AND($E83=TRUE,$C83="GKP"),AD83,"")</f>
        <v/>
      </c>
      <c r="AH83">
        <f>IF(AND($E83=TRUE,$C83="DEF"),AD83,"")</f>
        <v/>
      </c>
      <c r="AI83">
        <f>IF(AND($E83=TRUE,$C83="MID"),AD83,"")</f>
        <v/>
      </c>
      <c r="AJ83">
        <f>IF(AND($E83=TRUE,$C83="FWD"),AD83,"")</f>
        <v/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b">
        <v>1</v>
      </c>
      <c r="F84" s="2" t="n">
        <v>4.5</v>
      </c>
      <c r="G84" t="inlineStr">
        <is>
          <t>a</t>
        </is>
      </c>
      <c r="I84" s="2" t="n">
        <v>3016</v>
      </c>
      <c r="J84" t="n">
        <v>117</v>
      </c>
      <c r="K84" s="3" t="n">
        <v>3342</v>
      </c>
      <c r="L84" t="inlineStr">
        <is>
          <t>flat</t>
        </is>
      </c>
      <c r="M84" s="4" t="n">
        <v>3016</v>
      </c>
      <c r="N84" s="4" t="n">
        <v>0.237</v>
      </c>
      <c r="O84" s="3" t="n">
        <v>0.0354</v>
      </c>
      <c r="P84" t="inlineStr">
        <is>
          <t>adjusted xGOT</t>
        </is>
      </c>
      <c r="Q84" s="3" t="n">
        <v>1.04</v>
      </c>
      <c r="R84" s="3" t="n">
        <v>6.2</v>
      </c>
      <c r="S84" s="3" t="n">
        <v>0.09180000000000001</v>
      </c>
      <c r="T84" s="3" t="n">
        <v>0.029</v>
      </c>
      <c r="U84" s="3" t="n">
        <v>0.2089</v>
      </c>
      <c r="V84" s="3" t="n">
        <v>2.029</v>
      </c>
      <c r="W84" s="3">
        <f>IF(V84="",IFERROR(VLOOKUP($C84,Assumptions!$A$4:$F$7,6,FALSE),0),V84)</f>
        <v/>
      </c>
      <c r="X84" s="3">
        <f>N(O84)*IFERROR(VLOOKUP($C84,Assumptions!$A$4:$F$7,2,FALSE),0)</f>
        <v/>
      </c>
      <c r="Y84" s="3">
        <f>N(S84)*IFERROR(VLOOKUP($C84,Assumptions!$A$4:$F$7,3,FALSE),0)*Assumptions!$B$11</f>
        <v/>
      </c>
      <c r="Z84" s="3">
        <f>N(N84)*IFERROR(VLOOKUP($C84,Assumptions!$A$4:$F$7,4,FALSE),0)</f>
        <v/>
      </c>
      <c r="AA84" s="3">
        <f>N(T84)*IFERROR(VLOOKUP($C84,Assumptions!$A$4:$F$7,5,FALSE),0)</f>
        <v/>
      </c>
      <c r="AB84" s="3">
        <f>N(U84)</f>
        <v/>
      </c>
      <c r="AC84" s="3">
        <f>SUM(W84:AB84)</f>
        <v/>
      </c>
      <c r="AD84" s="3">
        <f>N(AC84)*N(M84)/90</f>
        <v/>
      </c>
      <c r="AE84" s="3">
        <f>IFERROR(AD84-VLOOKUP($C84,Assumptions!$A$29:$C$32,3,FALSE),"")</f>
        <v/>
      </c>
      <c r="AF84" s="3">
        <f>IFERROR(AE84/F84,"")</f>
        <v/>
      </c>
      <c r="AG84">
        <f>IF(AND($E84=TRUE,$C84="GKP"),AD84,"")</f>
        <v/>
      </c>
      <c r="AH84">
        <f>IF(AND($E84=TRUE,$C84="DEF"),AD84,"")</f>
        <v/>
      </c>
      <c r="AI84">
        <f>IF(AND($E84=TRUE,$C84="MID"),AD84,"")</f>
        <v/>
      </c>
      <c r="AJ84">
        <f>IF(AND($E84=TRUE,$C84="FWD"),AD84,"")</f>
        <v/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b">
        <v>1</v>
      </c>
      <c r="F85" s="2" t="n">
        <v>5</v>
      </c>
      <c r="G85" t="inlineStr">
        <is>
          <t>a</t>
        </is>
      </c>
      <c r="I85" s="2" t="n">
        <v>2144</v>
      </c>
      <c r="J85" t="n">
        <v>116</v>
      </c>
      <c r="K85" s="3" t="n">
        <v>2867</v>
      </c>
      <c r="L85" t="inlineStr">
        <is>
          <t>flat</t>
        </is>
      </c>
      <c r="M85" s="4" t="n">
        <v>2144</v>
      </c>
      <c r="N85" s="4" t="n">
        <v>0.29</v>
      </c>
      <c r="O85" s="3" t="n">
        <v>0.1017</v>
      </c>
      <c r="P85" t="inlineStr">
        <is>
          <t>adjusted xGOT</t>
        </is>
      </c>
      <c r="Q85" s="3" t="n">
        <v>0.985</v>
      </c>
      <c r="R85" s="3" t="n">
        <v>2.5</v>
      </c>
      <c r="S85" s="3" t="n">
        <v>0.0464</v>
      </c>
      <c r="T85" s="3" t="n">
        <v>0.625</v>
      </c>
      <c r="U85" s="3" t="n">
        <v>0.3358</v>
      </c>
      <c r="V85" s="3" t="n">
        <v>2.141</v>
      </c>
      <c r="W85" s="3">
        <f>IF(V85="",IFERROR(VLOOKUP($C85,Assumptions!$A$4:$F$7,6,FALSE),0),V85)</f>
        <v/>
      </c>
      <c r="X85" s="3">
        <f>N(O85)*IFERROR(VLOOKUP($C85,Assumptions!$A$4:$F$7,2,FALSE),0)</f>
        <v/>
      </c>
      <c r="Y85" s="3">
        <f>N(S85)*IFERROR(VLOOKUP($C85,Assumptions!$A$4:$F$7,3,FALSE),0)*Assumptions!$B$11</f>
        <v/>
      </c>
      <c r="Z85" s="3">
        <f>N(N85)*IFERROR(VLOOKUP($C85,Assumptions!$A$4:$F$7,4,FALSE),0)</f>
        <v/>
      </c>
      <c r="AA85" s="3">
        <f>N(T85)*IFERROR(VLOOKUP($C85,Assumptions!$A$4:$F$7,5,FALSE),0)</f>
        <v/>
      </c>
      <c r="AB85" s="3">
        <f>N(U85)</f>
        <v/>
      </c>
      <c r="AC85" s="3">
        <f>SUM(W85:AB85)</f>
        <v/>
      </c>
      <c r="AD85" s="3">
        <f>N(AC85)*N(M85)/90</f>
        <v/>
      </c>
      <c r="AE85" s="3">
        <f>IFERROR(AD85-VLOOKUP($C85,Assumptions!$A$29:$C$32,3,FALSE),"")</f>
        <v/>
      </c>
      <c r="AF85" s="3">
        <f>IFERROR(AE85/F85,"")</f>
        <v/>
      </c>
      <c r="AG85">
        <f>IF(AND($E85=TRUE,$C85="GKP"),AD85,"")</f>
        <v/>
      </c>
      <c r="AH85">
        <f>IF(AND($E85=TRUE,$C85="DEF"),AD85,"")</f>
        <v/>
      </c>
      <c r="AI85">
        <f>IF(AND($E85=TRUE,$C85="MID"),AD85,"")</f>
        <v/>
      </c>
      <c r="AJ85">
        <f>IF(AND($E85=TRUE,$C85="FWD"),AD85,"")</f>
        <v/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b">
        <v>1</v>
      </c>
      <c r="F86" s="2" t="n">
        <v>5</v>
      </c>
      <c r="G86" t="inlineStr">
        <is>
          <t>a</t>
        </is>
      </c>
      <c r="I86" s="2" t="n">
        <v>3118</v>
      </c>
      <c r="J86" t="n">
        <v>116</v>
      </c>
      <c r="K86" s="3" t="n">
        <v>3164</v>
      </c>
      <c r="L86" t="inlineStr">
        <is>
          <t>flat</t>
        </is>
      </c>
      <c r="M86" s="4" t="n">
        <v>3118</v>
      </c>
      <c r="N86" s="4" t="n">
        <v>0.29</v>
      </c>
      <c r="O86" s="3" t="n">
        <v>0.0554</v>
      </c>
      <c r="P86" t="inlineStr">
        <is>
          <t>adjusted xGOT</t>
        </is>
      </c>
      <c r="Q86" s="3" t="n">
        <v>1.149</v>
      </c>
      <c r="R86" s="3" t="n">
        <v>2.4</v>
      </c>
      <c r="S86" s="3" t="n">
        <v>0.0249</v>
      </c>
      <c r="T86" s="3" t="n">
        <v>0.171</v>
      </c>
      <c r="U86" s="3" t="n">
        <v>0.1155</v>
      </c>
      <c r="V86" s="3" t="n">
        <v>2.107</v>
      </c>
      <c r="W86" s="3">
        <f>IF(V86="",IFERROR(VLOOKUP($C86,Assumptions!$A$4:$F$7,6,FALSE),0),V86)</f>
        <v/>
      </c>
      <c r="X86" s="3">
        <f>N(O86)*IFERROR(VLOOKUP($C86,Assumptions!$A$4:$F$7,2,FALSE),0)</f>
        <v/>
      </c>
      <c r="Y86" s="3">
        <f>N(S86)*IFERROR(VLOOKUP($C86,Assumptions!$A$4:$F$7,3,FALSE),0)*Assumptions!$B$11</f>
        <v/>
      </c>
      <c r="Z86" s="3">
        <f>N(N86)*IFERROR(VLOOKUP($C86,Assumptions!$A$4:$F$7,4,FALSE),0)</f>
        <v/>
      </c>
      <c r="AA86" s="3">
        <f>N(T86)*IFERROR(VLOOKUP($C86,Assumptions!$A$4:$F$7,5,FALSE),0)</f>
        <v/>
      </c>
      <c r="AB86" s="3">
        <f>N(U86)</f>
        <v/>
      </c>
      <c r="AC86" s="3">
        <f>SUM(W86:AB86)</f>
        <v/>
      </c>
      <c r="AD86" s="3">
        <f>N(AC86)*N(M86)/90</f>
        <v/>
      </c>
      <c r="AE86" s="3">
        <f>IFERROR(AD86-VLOOKUP($C86,Assumptions!$A$29:$C$32,3,FALSE),"")</f>
        <v/>
      </c>
      <c r="AF86" s="3">
        <f>IFERROR(AE86/F86,"")</f>
        <v/>
      </c>
      <c r="AG86">
        <f>IF(AND($E86=TRUE,$C86="GKP"),AD86,"")</f>
        <v/>
      </c>
      <c r="AH86">
        <f>IF(AND($E86=TRUE,$C86="DEF"),AD86,"")</f>
        <v/>
      </c>
      <c r="AI86">
        <f>IF(AND($E86=TRUE,$C86="MID"),AD86,"")</f>
        <v/>
      </c>
      <c r="AJ86">
        <f>IF(AND($E86=TRUE,$C86="FWD"),AD86,"")</f>
        <v/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b">
        <v>1</v>
      </c>
      <c r="F87" s="2" t="n">
        <v>5</v>
      </c>
      <c r="G87" t="inlineStr">
        <is>
          <t>a</t>
        </is>
      </c>
      <c r="I87" s="2" t="n">
        <v>3041</v>
      </c>
      <c r="J87" t="n">
        <v>116</v>
      </c>
      <c r="K87" s="3" t="n">
        <v>3089</v>
      </c>
      <c r="L87" t="inlineStr">
        <is>
          <t>flat</t>
        </is>
      </c>
      <c r="M87" s="4" t="n">
        <v>3041</v>
      </c>
      <c r="N87" s="4" t="n">
        <v>0.237</v>
      </c>
      <c r="O87" s="3" t="n">
        <v>0.09760000000000001</v>
      </c>
      <c r="P87" t="inlineStr">
        <is>
          <t>adjusted xGOT</t>
        </is>
      </c>
      <c r="Q87" s="3" t="n">
        <v>1.17</v>
      </c>
      <c r="R87" s="3" t="n">
        <v>4</v>
      </c>
      <c r="S87" s="3" t="n">
        <v>0.0206</v>
      </c>
      <c r="T87" s="3" t="n">
        <v>0.08599999999999999</v>
      </c>
      <c r="U87" s="3" t="n">
        <v>0.2664</v>
      </c>
      <c r="V87" s="3" t="n">
        <v>2.012</v>
      </c>
      <c r="W87" s="3">
        <f>IF(V87="",IFERROR(VLOOKUP($C87,Assumptions!$A$4:$F$7,6,FALSE),0),V87)</f>
        <v/>
      </c>
      <c r="X87" s="3">
        <f>N(O87)*IFERROR(VLOOKUP($C87,Assumptions!$A$4:$F$7,2,FALSE),0)</f>
        <v/>
      </c>
      <c r="Y87" s="3">
        <f>N(S87)*IFERROR(VLOOKUP($C87,Assumptions!$A$4:$F$7,3,FALSE),0)*Assumptions!$B$11</f>
        <v/>
      </c>
      <c r="Z87" s="3">
        <f>N(N87)*IFERROR(VLOOKUP($C87,Assumptions!$A$4:$F$7,4,FALSE),0)</f>
        <v/>
      </c>
      <c r="AA87" s="3">
        <f>N(T87)*IFERROR(VLOOKUP($C87,Assumptions!$A$4:$F$7,5,FALSE),0)</f>
        <v/>
      </c>
      <c r="AB87" s="3">
        <f>N(U87)</f>
        <v/>
      </c>
      <c r="AC87" s="3">
        <f>SUM(W87:AB87)</f>
        <v/>
      </c>
      <c r="AD87" s="3">
        <f>N(AC87)*N(M87)/90</f>
        <v/>
      </c>
      <c r="AE87" s="3">
        <f>IFERROR(AD87-VLOOKUP($C87,Assumptions!$A$29:$C$32,3,FALSE),"")</f>
        <v/>
      </c>
      <c r="AF87" s="3">
        <f>IFERROR(AE87/F87,"")</f>
        <v/>
      </c>
      <c r="AG87">
        <f>IF(AND($E87=TRUE,$C87="GKP"),AD87,"")</f>
        <v/>
      </c>
      <c r="AH87">
        <f>IF(AND($E87=TRUE,$C87="DEF"),AD87,"")</f>
        <v/>
      </c>
      <c r="AI87">
        <f>IF(AND($E87=TRUE,$C87="MID"),AD87,"")</f>
        <v/>
      </c>
      <c r="AJ87">
        <f>IF(AND($E87=TRUE,$C87="FWD"),AD87,"")</f>
        <v/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b">
        <v>1</v>
      </c>
      <c r="F88" s="2" t="n">
        <v>5.5</v>
      </c>
      <c r="G88" t="inlineStr">
        <is>
          <t>a</t>
        </is>
      </c>
      <c r="I88" s="2" t="n">
        <v>1957</v>
      </c>
      <c r="J88" t="n">
        <v>115</v>
      </c>
      <c r="K88" s="3" t="n">
        <v>2400</v>
      </c>
      <c r="L88" t="inlineStr">
        <is>
          <t>flat</t>
        </is>
      </c>
      <c r="M88" s="4" t="n">
        <v>1957</v>
      </c>
      <c r="N88" s="4" t="n">
        <v>0.237</v>
      </c>
      <c r="O88" s="3" t="n">
        <v>0.0538</v>
      </c>
      <c r="P88" t="inlineStr">
        <is>
          <t>adjusted xGOT</t>
        </is>
      </c>
      <c r="Q88" s="3" t="n">
        <v>1.124</v>
      </c>
      <c r="R88" s="3" t="n">
        <v>2.8</v>
      </c>
      <c r="S88" s="3" t="n">
        <v>0.1654</v>
      </c>
      <c r="T88" s="3" t="n">
        <v>0.1</v>
      </c>
      <c r="U88" s="3" t="n">
        <v>0.5518999999999999</v>
      </c>
      <c r="V88" s="3" t="n">
        <v>2.207</v>
      </c>
      <c r="W88" s="3">
        <f>IF(V88="",IFERROR(VLOOKUP($C88,Assumptions!$A$4:$F$7,6,FALSE),0),V88)</f>
        <v/>
      </c>
      <c r="X88" s="3">
        <f>N(O88)*IFERROR(VLOOKUP($C88,Assumptions!$A$4:$F$7,2,FALSE),0)</f>
        <v/>
      </c>
      <c r="Y88" s="3">
        <f>N(S88)*IFERROR(VLOOKUP($C88,Assumptions!$A$4:$F$7,3,FALSE),0)*Assumptions!$B$11</f>
        <v/>
      </c>
      <c r="Z88" s="3">
        <f>N(N88)*IFERROR(VLOOKUP($C88,Assumptions!$A$4:$F$7,4,FALSE),0)</f>
        <v/>
      </c>
      <c r="AA88" s="3">
        <f>N(T88)*IFERROR(VLOOKUP($C88,Assumptions!$A$4:$F$7,5,FALSE),0)</f>
        <v/>
      </c>
      <c r="AB88" s="3">
        <f>N(U88)</f>
        <v/>
      </c>
      <c r="AC88" s="3">
        <f>SUM(W88:AB88)</f>
        <v/>
      </c>
      <c r="AD88" s="3">
        <f>N(AC88)*N(M88)/90</f>
        <v/>
      </c>
      <c r="AE88" s="3">
        <f>IFERROR(AD88-VLOOKUP($C88,Assumptions!$A$29:$C$32,3,FALSE),"")</f>
        <v/>
      </c>
      <c r="AF88" s="3">
        <f>IFERROR(AE88/F88,"")</f>
        <v/>
      </c>
      <c r="AG88">
        <f>IF(AND($E88=TRUE,$C88="GKP"),AD88,"")</f>
        <v/>
      </c>
      <c r="AH88">
        <f>IF(AND($E88=TRUE,$C88="DEF"),AD88,"")</f>
        <v/>
      </c>
      <c r="AI88">
        <f>IF(AND($E88=TRUE,$C88="MID"),AD88,"")</f>
        <v/>
      </c>
      <c r="AJ88">
        <f>IF(AND($E88=TRUE,$C88="FWD"),AD88,"")</f>
        <v/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b">
        <v>1</v>
      </c>
      <c r="F89" s="2" t="n">
        <v>6</v>
      </c>
      <c r="G89" t="inlineStr">
        <is>
          <t>a</t>
        </is>
      </c>
      <c r="I89" s="2" t="n">
        <v>2741</v>
      </c>
      <c r="J89" t="n">
        <v>115</v>
      </c>
      <c r="K89" s="3" t="n">
        <v>2662</v>
      </c>
      <c r="L89" t="inlineStr">
        <is>
          <t>flat</t>
        </is>
      </c>
      <c r="M89" s="4" t="n">
        <v>2741</v>
      </c>
      <c r="N89" s="4" t="n">
        <v>0.29</v>
      </c>
      <c r="O89" s="3" t="n">
        <v>0.2942</v>
      </c>
      <c r="P89" t="inlineStr">
        <is>
          <t>adjusted xGOT</t>
        </is>
      </c>
      <c r="Q89" s="3" t="n">
        <v>0.842</v>
      </c>
      <c r="R89" s="3" t="n">
        <v>23.1</v>
      </c>
      <c r="S89" s="3" t="n">
        <v>0.0747</v>
      </c>
      <c r="T89" s="3" t="n">
        <v>0</v>
      </c>
      <c r="U89" s="3" t="n">
        <v>0.197</v>
      </c>
      <c r="V89" s="3" t="n">
        <v>2.167</v>
      </c>
      <c r="W89" s="3">
        <f>IF(V89="",IFERROR(VLOOKUP($C89,Assumptions!$A$4:$F$7,6,FALSE),0),V89)</f>
        <v/>
      </c>
      <c r="X89" s="3">
        <f>N(O89)*IFERROR(VLOOKUP($C89,Assumptions!$A$4:$F$7,2,FALSE),0)</f>
        <v/>
      </c>
      <c r="Y89" s="3">
        <f>N(S89)*IFERROR(VLOOKUP($C89,Assumptions!$A$4:$F$7,3,FALSE),0)*Assumptions!$B$11</f>
        <v/>
      </c>
      <c r="Z89" s="3">
        <f>N(N89)*IFERROR(VLOOKUP($C89,Assumptions!$A$4:$F$7,4,FALSE),0)</f>
        <v/>
      </c>
      <c r="AA89" s="3">
        <f>N(T89)*IFERROR(VLOOKUP($C89,Assumptions!$A$4:$F$7,5,FALSE),0)</f>
        <v/>
      </c>
      <c r="AB89" s="3">
        <f>N(U89)</f>
        <v/>
      </c>
      <c r="AC89" s="3">
        <f>SUM(W89:AB89)</f>
        <v/>
      </c>
      <c r="AD89" s="3">
        <f>N(AC89)*N(M89)/90</f>
        <v/>
      </c>
      <c r="AE89" s="3">
        <f>IFERROR(AD89-VLOOKUP($C89,Assumptions!$A$29:$C$32,3,FALSE),"")</f>
        <v/>
      </c>
      <c r="AF89" s="3">
        <f>IFERROR(AE89/F89,"")</f>
        <v/>
      </c>
      <c r="AG89">
        <f>IF(AND($E89=TRUE,$C89="GKP"),AD89,"")</f>
        <v/>
      </c>
      <c r="AH89">
        <f>IF(AND($E89=TRUE,$C89="DEF"),AD89,"")</f>
        <v/>
      </c>
      <c r="AI89">
        <f>IF(AND($E89=TRUE,$C89="MID"),AD89,"")</f>
        <v/>
      </c>
      <c r="AJ89">
        <f>IF(AND($E89=TRUE,$C89="FWD"),AD89,"")</f>
        <v/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b">
        <v>1</v>
      </c>
      <c r="F90" s="2" t="n">
        <v>5.5</v>
      </c>
      <c r="G90" t="inlineStr">
        <is>
          <t>a</t>
        </is>
      </c>
      <c r="I90" s="2" t="n">
        <v>1960</v>
      </c>
      <c r="J90" t="n">
        <v>115</v>
      </c>
      <c r="K90" s="3" t="n">
        <v>1659</v>
      </c>
      <c r="L90" t="inlineStr">
        <is>
          <t>flat</t>
        </is>
      </c>
      <c r="M90" s="4" t="n">
        <v>1960</v>
      </c>
      <c r="N90" s="4" t="n">
        <v>0.263</v>
      </c>
      <c r="O90" s="3" t="n">
        <v>0.1357</v>
      </c>
      <c r="P90" t="inlineStr">
        <is>
          <t>adjusted xGOT</t>
        </is>
      </c>
      <c r="Q90" s="3" t="n">
        <v>0.982</v>
      </c>
      <c r="R90" s="3" t="n">
        <v>12.9</v>
      </c>
      <c r="S90" s="3" t="n">
        <v>0.1199</v>
      </c>
      <c r="T90" s="3" t="n">
        <v>0</v>
      </c>
      <c r="U90" s="3" t="n">
        <v>0.2755</v>
      </c>
      <c r="V90" s="3" t="n">
        <v>2.617</v>
      </c>
      <c r="W90" s="3">
        <f>IF(V90="",IFERROR(VLOOKUP($C90,Assumptions!$A$4:$F$7,6,FALSE),0),V90)</f>
        <v/>
      </c>
      <c r="X90" s="3">
        <f>N(O90)*IFERROR(VLOOKUP($C90,Assumptions!$A$4:$F$7,2,FALSE),0)</f>
        <v/>
      </c>
      <c r="Y90" s="3">
        <f>N(S90)*IFERROR(VLOOKUP($C90,Assumptions!$A$4:$F$7,3,FALSE),0)*Assumptions!$B$11</f>
        <v/>
      </c>
      <c r="Z90" s="3">
        <f>N(N90)*IFERROR(VLOOKUP($C90,Assumptions!$A$4:$F$7,4,FALSE),0)</f>
        <v/>
      </c>
      <c r="AA90" s="3">
        <f>N(T90)*IFERROR(VLOOKUP($C90,Assumptions!$A$4:$F$7,5,FALSE),0)</f>
        <v/>
      </c>
      <c r="AB90" s="3">
        <f>N(U90)</f>
        <v/>
      </c>
      <c r="AC90" s="3">
        <f>SUM(W90:AB90)</f>
        <v/>
      </c>
      <c r="AD90" s="3">
        <f>N(AC90)*N(M90)/90</f>
        <v/>
      </c>
      <c r="AE90" s="3">
        <f>IFERROR(AD90-VLOOKUP($C90,Assumptions!$A$29:$C$32,3,FALSE),"")</f>
        <v/>
      </c>
      <c r="AF90" s="3">
        <f>IFERROR(AE90/F90,"")</f>
        <v/>
      </c>
      <c r="AG90">
        <f>IF(AND($E90=TRUE,$C90="GKP"),AD90,"")</f>
        <v/>
      </c>
      <c r="AH90">
        <f>IF(AND($E90=TRUE,$C90="DEF"),AD90,"")</f>
        <v/>
      </c>
      <c r="AI90">
        <f>IF(AND($E90=TRUE,$C90="MID"),AD90,"")</f>
        <v/>
      </c>
      <c r="AJ90">
        <f>IF(AND($E90=TRUE,$C90="FWD"),AD90,"")</f>
        <v/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b">
        <v>1</v>
      </c>
      <c r="F91" s="2" t="n">
        <v>9.5</v>
      </c>
      <c r="G91" t="inlineStr">
        <is>
          <t>a</t>
        </is>
      </c>
      <c r="I91" s="2" t="n">
        <v>1954</v>
      </c>
      <c r="J91" t="n">
        <v>114</v>
      </c>
      <c r="K91" s="3" t="n">
        <v>2884</v>
      </c>
      <c r="L91" t="inlineStr">
        <is>
          <t>flat</t>
        </is>
      </c>
      <c r="M91" s="4" t="n">
        <v>1954</v>
      </c>
      <c r="N91" s="4" t="n">
        <v>0.237</v>
      </c>
      <c r="O91" s="3" t="n">
        <v>0.5047</v>
      </c>
      <c r="P91" t="inlineStr">
        <is>
          <t>adjusted xGOT</t>
        </is>
      </c>
      <c r="Q91" s="3" t="n">
        <v>1.039</v>
      </c>
      <c r="R91" s="3" t="n">
        <v>45</v>
      </c>
      <c r="S91" s="3" t="n">
        <v>0.1062</v>
      </c>
      <c r="T91" s="3" t="n">
        <v>0.083</v>
      </c>
      <c r="U91" s="3" t="n">
        <v>0.5067</v>
      </c>
      <c r="V91" s="3" t="n">
        <v>2.165</v>
      </c>
      <c r="W91" s="3">
        <f>IF(V91="",IFERROR(VLOOKUP($C91,Assumptions!$A$4:$F$7,6,FALSE),0),V91)</f>
        <v/>
      </c>
      <c r="X91" s="3">
        <f>N(O91)*IFERROR(VLOOKUP($C91,Assumptions!$A$4:$F$7,2,FALSE),0)</f>
        <v/>
      </c>
      <c r="Y91" s="3">
        <f>N(S91)*IFERROR(VLOOKUP($C91,Assumptions!$A$4:$F$7,3,FALSE),0)*Assumptions!$B$11</f>
        <v/>
      </c>
      <c r="Z91" s="3">
        <f>N(N91)*IFERROR(VLOOKUP($C91,Assumptions!$A$4:$F$7,4,FALSE),0)</f>
        <v/>
      </c>
      <c r="AA91" s="3">
        <f>N(T91)*IFERROR(VLOOKUP($C91,Assumptions!$A$4:$F$7,5,FALSE),0)</f>
        <v/>
      </c>
      <c r="AB91" s="3">
        <f>N(U91)</f>
        <v/>
      </c>
      <c r="AC91" s="3">
        <f>SUM(W91:AB91)</f>
        <v/>
      </c>
      <c r="AD91" s="3">
        <f>N(AC91)*N(M91)/90</f>
        <v/>
      </c>
      <c r="AE91" s="3">
        <f>IFERROR(AD91-VLOOKUP($C91,Assumptions!$A$29:$C$32,3,FALSE),"")</f>
        <v/>
      </c>
      <c r="AF91" s="3">
        <f>IFERROR(AE91/F91,"")</f>
        <v/>
      </c>
      <c r="AG91">
        <f>IF(AND($E91=TRUE,$C91="GKP"),AD91,"")</f>
        <v/>
      </c>
      <c r="AH91">
        <f>IF(AND($E91=TRUE,$C91="DEF"),AD91,"")</f>
        <v/>
      </c>
      <c r="AI91">
        <f>IF(AND($E91=TRUE,$C91="MID"),AD91,"")</f>
        <v/>
      </c>
      <c r="AJ91">
        <f>IF(AND($E91=TRUE,$C91="FWD"),AD91,"")</f>
        <v/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b">
        <v>1</v>
      </c>
      <c r="F92" s="2" t="n">
        <v>6.5</v>
      </c>
      <c r="G92" t="inlineStr">
        <is>
          <t>a</t>
        </is>
      </c>
      <c r="I92" s="2" t="n">
        <v>2210</v>
      </c>
      <c r="J92" t="n">
        <v>114</v>
      </c>
      <c r="K92" s="3" t="n">
        <v>2422</v>
      </c>
      <c r="L92" t="inlineStr">
        <is>
          <t>flat</t>
        </is>
      </c>
      <c r="M92" s="4" t="n">
        <v>2210</v>
      </c>
      <c r="N92" s="4" t="n">
        <v>0.316</v>
      </c>
      <c r="O92" s="3" t="n">
        <v>0.5736</v>
      </c>
      <c r="P92" t="inlineStr">
        <is>
          <t>adjusted xGOT</t>
        </is>
      </c>
      <c r="Q92" s="3" t="n">
        <v>0.977</v>
      </c>
      <c r="R92" s="3" t="n">
        <v>42.5</v>
      </c>
      <c r="S92" s="3" t="n">
        <v>0.0523</v>
      </c>
      <c r="T92" s="3" t="n">
        <v>0</v>
      </c>
      <c r="U92" s="3" t="n">
        <v>0.5701000000000001</v>
      </c>
      <c r="V92" s="3" t="n">
        <v>2.24</v>
      </c>
      <c r="W92" s="3">
        <f>IF(V92="",IFERROR(VLOOKUP($C92,Assumptions!$A$4:$F$7,6,FALSE),0),V92)</f>
        <v/>
      </c>
      <c r="X92" s="3">
        <f>N(O92)*IFERROR(VLOOKUP($C92,Assumptions!$A$4:$F$7,2,FALSE),0)</f>
        <v/>
      </c>
      <c r="Y92" s="3">
        <f>N(S92)*IFERROR(VLOOKUP($C92,Assumptions!$A$4:$F$7,3,FALSE),0)*Assumptions!$B$11</f>
        <v/>
      </c>
      <c r="Z92" s="3">
        <f>N(N92)*IFERROR(VLOOKUP($C92,Assumptions!$A$4:$F$7,4,FALSE),0)</f>
        <v/>
      </c>
      <c r="AA92" s="3">
        <f>N(T92)*IFERROR(VLOOKUP($C92,Assumptions!$A$4:$F$7,5,FALSE),0)</f>
        <v/>
      </c>
      <c r="AB92" s="3">
        <f>N(U92)</f>
        <v/>
      </c>
      <c r="AC92" s="3">
        <f>SUM(W92:AB92)</f>
        <v/>
      </c>
      <c r="AD92" s="3">
        <f>N(AC92)*N(M92)/90</f>
        <v/>
      </c>
      <c r="AE92" s="3">
        <f>IFERROR(AD92-VLOOKUP($C92,Assumptions!$A$29:$C$32,3,FALSE),"")</f>
        <v/>
      </c>
      <c r="AF92" s="3">
        <f>IFERROR(AE92/F92,"")</f>
        <v/>
      </c>
      <c r="AG92">
        <f>IF(AND($E92=TRUE,$C92="GKP"),AD92,"")</f>
        <v/>
      </c>
      <c r="AH92">
        <f>IF(AND($E92=TRUE,$C92="DEF"),AD92,"")</f>
        <v/>
      </c>
      <c r="AI92">
        <f>IF(AND($E92=TRUE,$C92="MID"),AD92,"")</f>
        <v/>
      </c>
      <c r="AJ92">
        <f>IF(AND($E92=TRUE,$C92="FWD"),AD92,"")</f>
        <v/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b">
        <v>1</v>
      </c>
      <c r="F93" s="2" t="n">
        <v>6</v>
      </c>
      <c r="G93" t="inlineStr">
        <is>
          <t>a</t>
        </is>
      </c>
      <c r="I93" s="2" t="n">
        <v>2293</v>
      </c>
      <c r="J93" t="n">
        <v>114</v>
      </c>
      <c r="K93" s="3" t="n">
        <v>2764</v>
      </c>
      <c r="L93" t="inlineStr">
        <is>
          <t>flat</t>
        </is>
      </c>
      <c r="M93" s="4" t="n">
        <v>2293</v>
      </c>
      <c r="N93" s="4" t="n">
        <v>0.237</v>
      </c>
      <c r="O93" s="3" t="n">
        <v>0.2284</v>
      </c>
      <c r="P93" t="inlineStr">
        <is>
          <t>adjusted xGOT</t>
        </is>
      </c>
      <c r="Q93" s="3" t="n">
        <v>0.898</v>
      </c>
      <c r="R93" s="3" t="n">
        <v>6.5</v>
      </c>
      <c r="S93" s="3" t="n">
        <v>0.06950000000000001</v>
      </c>
      <c r="T93" s="3" t="n">
        <v>0</v>
      </c>
      <c r="U93" s="3" t="n">
        <v>0.5102</v>
      </c>
      <c r="V93" s="3" t="n">
        <v>2.394</v>
      </c>
      <c r="W93" s="3">
        <f>IF(V93="",IFERROR(VLOOKUP($C93,Assumptions!$A$4:$F$7,6,FALSE),0),V93)</f>
        <v/>
      </c>
      <c r="X93" s="3">
        <f>N(O93)*IFERROR(VLOOKUP($C93,Assumptions!$A$4:$F$7,2,FALSE),0)</f>
        <v/>
      </c>
      <c r="Y93" s="3">
        <f>N(S93)*IFERROR(VLOOKUP($C93,Assumptions!$A$4:$F$7,3,FALSE),0)*Assumptions!$B$11</f>
        <v/>
      </c>
      <c r="Z93" s="3">
        <f>N(N93)*IFERROR(VLOOKUP($C93,Assumptions!$A$4:$F$7,4,FALSE),0)</f>
        <v/>
      </c>
      <c r="AA93" s="3">
        <f>N(T93)*IFERROR(VLOOKUP($C93,Assumptions!$A$4:$F$7,5,FALSE),0)</f>
        <v/>
      </c>
      <c r="AB93" s="3">
        <f>N(U93)</f>
        <v/>
      </c>
      <c r="AC93" s="3">
        <f>SUM(W93:AB93)</f>
        <v/>
      </c>
      <c r="AD93" s="3">
        <f>N(AC93)*N(M93)/90</f>
        <v/>
      </c>
      <c r="AE93" s="3">
        <f>IFERROR(AD93-VLOOKUP($C93,Assumptions!$A$29:$C$32,3,FALSE),"")</f>
        <v/>
      </c>
      <c r="AF93" s="3">
        <f>IFERROR(AE93/F93,"")</f>
        <v/>
      </c>
      <c r="AG93">
        <f>IF(AND($E93=TRUE,$C93="GKP"),AD93,"")</f>
        <v/>
      </c>
      <c r="AH93">
        <f>IF(AND($E93=TRUE,$C93="DEF"),AD93,"")</f>
        <v/>
      </c>
      <c r="AI93">
        <f>IF(AND($E93=TRUE,$C93="MID"),AD93,"")</f>
        <v/>
      </c>
      <c r="AJ93">
        <f>IF(AND($E93=TRUE,$C93="FWD"),AD93,"")</f>
        <v/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b">
        <v>1</v>
      </c>
      <c r="F94" s="2" t="n">
        <v>7.5</v>
      </c>
      <c r="G94" t="inlineStr">
        <is>
          <t>i</t>
        </is>
      </c>
      <c r="H94" t="inlineStr">
        <is>
          <t>Foot injury - Unknown return date</t>
        </is>
      </c>
      <c r="I94" s="2" t="n">
        <v>1663</v>
      </c>
      <c r="J94" t="n">
        <v>113</v>
      </c>
      <c r="K94" s="3" t="n">
        <v>2594</v>
      </c>
      <c r="L94" t="inlineStr">
        <is>
          <t>ramp-up (injury / late WC return)</t>
        </is>
      </c>
      <c r="M94" s="4" t="n">
        <v>1663</v>
      </c>
      <c r="N94" s="4" t="n">
        <v>0.29</v>
      </c>
      <c r="O94" s="3" t="n">
        <v>0.4908</v>
      </c>
      <c r="P94" t="inlineStr">
        <is>
          <t>adjusted xGOT</t>
        </is>
      </c>
      <c r="Q94" s="3" t="n">
        <v>1.091</v>
      </c>
      <c r="R94" s="3" t="n">
        <v>8.300000000000001</v>
      </c>
      <c r="S94" s="3" t="n">
        <v>0.09</v>
      </c>
      <c r="T94" s="3" t="n">
        <v>0</v>
      </c>
      <c r="U94" s="3" t="n">
        <v>0.7577</v>
      </c>
      <c r="V94" s="3" t="n">
        <v>2.868</v>
      </c>
      <c r="W94" s="3">
        <f>IF(V94="",IFERROR(VLOOKUP($C94,Assumptions!$A$4:$F$7,6,FALSE),0),V94)</f>
        <v/>
      </c>
      <c r="X94" s="3">
        <f>N(O94)*IFERROR(VLOOKUP($C94,Assumptions!$A$4:$F$7,2,FALSE),0)</f>
        <v/>
      </c>
      <c r="Y94" s="3">
        <f>N(S94)*IFERROR(VLOOKUP($C94,Assumptions!$A$4:$F$7,3,FALSE),0)*Assumptions!$B$11</f>
        <v/>
      </c>
      <c r="Z94" s="3">
        <f>N(N94)*IFERROR(VLOOKUP($C94,Assumptions!$A$4:$F$7,4,FALSE),0)</f>
        <v/>
      </c>
      <c r="AA94" s="3">
        <f>N(T94)*IFERROR(VLOOKUP($C94,Assumptions!$A$4:$F$7,5,FALSE),0)</f>
        <v/>
      </c>
      <c r="AB94" s="3">
        <f>N(U94)</f>
        <v/>
      </c>
      <c r="AC94" s="3">
        <f>SUM(W94:AB94)</f>
        <v/>
      </c>
      <c r="AD94" s="3">
        <f>N(AC94)*N(M94)/90</f>
        <v/>
      </c>
      <c r="AE94" s="3">
        <f>IFERROR(AD94-VLOOKUP($C94,Assumptions!$A$29:$C$32,3,FALSE),"")</f>
        <v/>
      </c>
      <c r="AF94" s="3">
        <f>IFERROR(AE94/F94,"")</f>
        <v/>
      </c>
      <c r="AG94">
        <f>IF(AND($E94=TRUE,$C94="GKP"),AD94,"")</f>
        <v/>
      </c>
      <c r="AH94">
        <f>IF(AND($E94=TRUE,$C94="DEF"),AD94,"")</f>
        <v/>
      </c>
      <c r="AI94">
        <f>IF(AND($E94=TRUE,$C94="MID"),AD94,"")</f>
        <v/>
      </c>
      <c r="AJ94">
        <f>IF(AND($E94=TRUE,$C94="FWD"),AD94,"")</f>
        <v/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b">
        <v>1</v>
      </c>
      <c r="F95" s="2" t="n">
        <v>5</v>
      </c>
      <c r="G95" t="inlineStr">
        <is>
          <t>a</t>
        </is>
      </c>
      <c r="I95" s="2" t="n">
        <v>2761</v>
      </c>
      <c r="J95" t="n">
        <v>113</v>
      </c>
      <c r="K95" s="3" t="n">
        <v>2947</v>
      </c>
      <c r="L95" t="inlineStr">
        <is>
          <t>ramp-up (injury / late WC return)</t>
        </is>
      </c>
      <c r="M95" s="4" t="n">
        <v>2761</v>
      </c>
      <c r="N95" s="4" t="n">
        <v>0.263</v>
      </c>
      <c r="O95" s="3" t="n">
        <v>0.0871</v>
      </c>
      <c r="P95" t="inlineStr">
        <is>
          <t>adjusted xGOT</t>
        </is>
      </c>
      <c r="Q95" s="3" t="n">
        <v>0.796</v>
      </c>
      <c r="R95" s="3" t="n">
        <v>5.4</v>
      </c>
      <c r="S95" s="3" t="n">
        <v>0.0594</v>
      </c>
      <c r="T95" s="3" t="n">
        <v>0.4</v>
      </c>
      <c r="U95" s="3" t="n">
        <v>0.0326</v>
      </c>
      <c r="V95" s="3" t="n">
        <v>2.021</v>
      </c>
      <c r="W95" s="3">
        <f>IF(V95="",IFERROR(VLOOKUP($C95,Assumptions!$A$4:$F$7,6,FALSE),0),V95)</f>
        <v/>
      </c>
      <c r="X95" s="3">
        <f>N(O95)*IFERROR(VLOOKUP($C95,Assumptions!$A$4:$F$7,2,FALSE),0)</f>
        <v/>
      </c>
      <c r="Y95" s="3">
        <f>N(S95)*IFERROR(VLOOKUP($C95,Assumptions!$A$4:$F$7,3,FALSE),0)*Assumptions!$B$11</f>
        <v/>
      </c>
      <c r="Z95" s="3">
        <f>N(N95)*IFERROR(VLOOKUP($C95,Assumptions!$A$4:$F$7,4,FALSE),0)</f>
        <v/>
      </c>
      <c r="AA95" s="3">
        <f>N(T95)*IFERROR(VLOOKUP($C95,Assumptions!$A$4:$F$7,5,FALSE),0)</f>
        <v/>
      </c>
      <c r="AB95" s="3">
        <f>N(U95)</f>
        <v/>
      </c>
      <c r="AC95" s="3">
        <f>SUM(W95:AB95)</f>
        <v/>
      </c>
      <c r="AD95" s="3">
        <f>N(AC95)*N(M95)/90</f>
        <v/>
      </c>
      <c r="AE95" s="3">
        <f>IFERROR(AD95-VLOOKUP($C95,Assumptions!$A$29:$C$32,3,FALSE),"")</f>
        <v/>
      </c>
      <c r="AF95" s="3">
        <f>IFERROR(AE95/F95,"")</f>
        <v/>
      </c>
      <c r="AG95">
        <f>IF(AND($E95=TRUE,$C95="GKP"),AD95,"")</f>
        <v/>
      </c>
      <c r="AH95">
        <f>IF(AND($E95=TRUE,$C95="DEF"),AD95,"")</f>
        <v/>
      </c>
      <c r="AI95">
        <f>IF(AND($E95=TRUE,$C95="MID"),AD95,"")</f>
        <v/>
      </c>
      <c r="AJ95">
        <f>IF(AND($E95=TRUE,$C95="FWD"),AD95,"")</f>
        <v/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b">
        <v>1</v>
      </c>
      <c r="F96" s="2" t="n">
        <v>4.5</v>
      </c>
      <c r="G96" t="inlineStr">
        <is>
          <t>a</t>
        </is>
      </c>
      <c r="I96" s="2" t="n">
        <v>3258</v>
      </c>
      <c r="J96" t="n">
        <v>113</v>
      </c>
      <c r="K96" s="3" t="n">
        <v>3192</v>
      </c>
      <c r="L96" t="inlineStr">
        <is>
          <t>flat</t>
        </is>
      </c>
      <c r="M96" s="4" t="n">
        <v>3258</v>
      </c>
      <c r="N96" s="4" t="n">
        <v>0.263</v>
      </c>
      <c r="O96" s="3" t="n">
        <v>0.0351</v>
      </c>
      <c r="P96" t="inlineStr">
        <is>
          <t>adjusted xGOT</t>
        </is>
      </c>
      <c r="Q96" s="3" t="n">
        <v>0.993</v>
      </c>
      <c r="R96" s="3" t="n">
        <v>1.5</v>
      </c>
      <c r="S96" s="3" t="n">
        <v>0.0839</v>
      </c>
      <c r="T96" s="3" t="n">
        <v>0.081</v>
      </c>
      <c r="U96" s="3" t="n">
        <v>0.2486</v>
      </c>
      <c r="V96" s="3" t="n">
        <v>2.044</v>
      </c>
      <c r="W96" s="3">
        <f>IF(V96="",IFERROR(VLOOKUP($C96,Assumptions!$A$4:$F$7,6,FALSE),0),V96)</f>
        <v/>
      </c>
      <c r="X96" s="3">
        <f>N(O96)*IFERROR(VLOOKUP($C96,Assumptions!$A$4:$F$7,2,FALSE),0)</f>
        <v/>
      </c>
      <c r="Y96" s="3">
        <f>N(S96)*IFERROR(VLOOKUP($C96,Assumptions!$A$4:$F$7,3,FALSE),0)*Assumptions!$B$11</f>
        <v/>
      </c>
      <c r="Z96" s="3">
        <f>N(N96)*IFERROR(VLOOKUP($C96,Assumptions!$A$4:$F$7,4,FALSE),0)</f>
        <v/>
      </c>
      <c r="AA96" s="3">
        <f>N(T96)*IFERROR(VLOOKUP($C96,Assumptions!$A$4:$F$7,5,FALSE),0)</f>
        <v/>
      </c>
      <c r="AB96" s="3">
        <f>N(U96)</f>
        <v/>
      </c>
      <c r="AC96" s="3">
        <f>SUM(W96:AB96)</f>
        <v/>
      </c>
      <c r="AD96" s="3">
        <f>N(AC96)*N(M96)/90</f>
        <v/>
      </c>
      <c r="AE96" s="3">
        <f>IFERROR(AD96-VLOOKUP($C96,Assumptions!$A$29:$C$32,3,FALSE),"")</f>
        <v/>
      </c>
      <c r="AF96" s="3">
        <f>IFERROR(AE96/F96,"")</f>
        <v/>
      </c>
      <c r="AG96">
        <f>IF(AND($E96=TRUE,$C96="GKP"),AD96,"")</f>
        <v/>
      </c>
      <c r="AH96">
        <f>IF(AND($E96=TRUE,$C96="DEF"),AD96,"")</f>
        <v/>
      </c>
      <c r="AI96">
        <f>IF(AND($E96=TRUE,$C96="MID"),AD96,"")</f>
        <v/>
      </c>
      <c r="AJ96">
        <f>IF(AND($E96=TRUE,$C96="FWD"),AD96,"")</f>
        <v/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b">
        <v>1</v>
      </c>
      <c r="F97" s="2" t="n">
        <v>4.5</v>
      </c>
      <c r="G97" t="inlineStr">
        <is>
          <t>a</t>
        </is>
      </c>
      <c r="I97" s="2" t="n">
        <v>3220</v>
      </c>
      <c r="J97" t="n">
        <v>113</v>
      </c>
      <c r="K97" s="3" t="n">
        <v>2992</v>
      </c>
      <c r="L97" t="inlineStr">
        <is>
          <t>flat</t>
        </is>
      </c>
      <c r="M97" s="4" t="n">
        <v>3220</v>
      </c>
      <c r="N97" s="4" t="n">
        <v>0.21</v>
      </c>
      <c r="O97" s="3" t="n">
        <v>0.021</v>
      </c>
      <c r="P97" t="inlineStr">
        <is>
          <t>adjusted xGOT</t>
        </is>
      </c>
      <c r="Q97" s="3" t="n">
        <v>1.042</v>
      </c>
      <c r="R97" s="3" t="n">
        <v>1.9</v>
      </c>
      <c r="S97" s="3" t="n">
        <v>0.0485</v>
      </c>
      <c r="T97" s="3" t="n">
        <v>0.132</v>
      </c>
      <c r="U97" s="3" t="n">
        <v>0.0559</v>
      </c>
      <c r="V97" s="3" t="n">
        <v>2.096</v>
      </c>
      <c r="W97" s="3">
        <f>IF(V97="",IFERROR(VLOOKUP($C97,Assumptions!$A$4:$F$7,6,FALSE),0),V97)</f>
        <v/>
      </c>
      <c r="X97" s="3">
        <f>N(O97)*IFERROR(VLOOKUP($C97,Assumptions!$A$4:$F$7,2,FALSE),0)</f>
        <v/>
      </c>
      <c r="Y97" s="3">
        <f>N(S97)*IFERROR(VLOOKUP($C97,Assumptions!$A$4:$F$7,3,FALSE),0)*Assumptions!$B$11</f>
        <v/>
      </c>
      <c r="Z97" s="3">
        <f>N(N97)*IFERROR(VLOOKUP($C97,Assumptions!$A$4:$F$7,4,FALSE),0)</f>
        <v/>
      </c>
      <c r="AA97" s="3">
        <f>N(T97)*IFERROR(VLOOKUP($C97,Assumptions!$A$4:$F$7,5,FALSE),0)</f>
        <v/>
      </c>
      <c r="AB97" s="3">
        <f>N(U97)</f>
        <v/>
      </c>
      <c r="AC97" s="3">
        <f>SUM(W97:AB97)</f>
        <v/>
      </c>
      <c r="AD97" s="3">
        <f>N(AC97)*N(M97)/90</f>
        <v/>
      </c>
      <c r="AE97" s="3">
        <f>IFERROR(AD97-VLOOKUP($C97,Assumptions!$A$29:$C$32,3,FALSE),"")</f>
        <v/>
      </c>
      <c r="AF97" s="3">
        <f>IFERROR(AE97/F97,"")</f>
        <v/>
      </c>
      <c r="AG97">
        <f>IF(AND($E97=TRUE,$C97="GKP"),AD97,"")</f>
        <v/>
      </c>
      <c r="AH97">
        <f>IF(AND($E97=TRUE,$C97="DEF"),AD97,"")</f>
        <v/>
      </c>
      <c r="AI97">
        <f>IF(AND($E97=TRUE,$C97="MID"),AD97,"")</f>
        <v/>
      </c>
      <c r="AJ97">
        <f>IF(AND($E97=TRUE,$C97="FWD"),AD97,"")</f>
        <v/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b">
        <v>1</v>
      </c>
      <c r="F98" s="2" t="n">
        <v>5.5</v>
      </c>
      <c r="G98" t="inlineStr">
        <is>
          <t>a</t>
        </is>
      </c>
      <c r="I98" s="2" t="n">
        <v>2139</v>
      </c>
      <c r="J98" t="n">
        <v>113</v>
      </c>
      <c r="K98" s="3" t="n">
        <v>1569</v>
      </c>
      <c r="L98" t="inlineStr">
        <is>
          <t>flat</t>
        </is>
      </c>
      <c r="M98" s="4" t="n">
        <v>2139</v>
      </c>
      <c r="N98" s="4" t="n">
        <v>0.421</v>
      </c>
      <c r="O98" s="3" t="n">
        <v>0.0213</v>
      </c>
      <c r="P98" t="inlineStr">
        <is>
          <t>adjusted xGOT</t>
        </is>
      </c>
      <c r="Q98" s="3" t="n">
        <v>0.887</v>
      </c>
      <c r="R98" s="3" t="n">
        <v>4.8</v>
      </c>
      <c r="S98" s="3" t="n">
        <v>0.0226</v>
      </c>
      <c r="T98" s="3" t="n">
        <v>0.208</v>
      </c>
      <c r="U98" s="3" t="n">
        <v>0.1262</v>
      </c>
      <c r="V98" s="3" t="n">
        <v>2.062</v>
      </c>
      <c r="W98" s="3">
        <f>IF(V98="",IFERROR(VLOOKUP($C98,Assumptions!$A$4:$F$7,6,FALSE),0),V98)</f>
        <v/>
      </c>
      <c r="X98" s="3">
        <f>N(O98)*IFERROR(VLOOKUP($C98,Assumptions!$A$4:$F$7,2,FALSE),0)</f>
        <v/>
      </c>
      <c r="Y98" s="3">
        <f>N(S98)*IFERROR(VLOOKUP($C98,Assumptions!$A$4:$F$7,3,FALSE),0)*Assumptions!$B$11</f>
        <v/>
      </c>
      <c r="Z98" s="3">
        <f>N(N98)*IFERROR(VLOOKUP($C98,Assumptions!$A$4:$F$7,4,FALSE),0)</f>
        <v/>
      </c>
      <c r="AA98" s="3">
        <f>N(T98)*IFERROR(VLOOKUP($C98,Assumptions!$A$4:$F$7,5,FALSE),0)</f>
        <v/>
      </c>
      <c r="AB98" s="3">
        <f>N(U98)</f>
        <v/>
      </c>
      <c r="AC98" s="3">
        <f>SUM(W98:AB98)</f>
        <v/>
      </c>
      <c r="AD98" s="3">
        <f>N(AC98)*N(M98)/90</f>
        <v/>
      </c>
      <c r="AE98" s="3">
        <f>IFERROR(AD98-VLOOKUP($C98,Assumptions!$A$29:$C$32,3,FALSE),"")</f>
        <v/>
      </c>
      <c r="AF98" s="3">
        <f>IFERROR(AE98/F98,"")</f>
        <v/>
      </c>
      <c r="AG98">
        <f>IF(AND($E98=TRUE,$C98="GKP"),AD98,"")</f>
        <v/>
      </c>
      <c r="AH98">
        <f>IF(AND($E98=TRUE,$C98="DEF"),AD98,"")</f>
        <v/>
      </c>
      <c r="AI98">
        <f>IF(AND($E98=TRUE,$C98="MID"),AD98,"")</f>
        <v/>
      </c>
      <c r="AJ98">
        <f>IF(AND($E98=TRUE,$C98="FWD"),AD98,"")</f>
        <v/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b">
        <v>1</v>
      </c>
      <c r="F99" s="2" t="n">
        <v>5</v>
      </c>
      <c r="G99" t="inlineStr">
        <is>
          <t>a</t>
        </is>
      </c>
      <c r="I99" s="2" t="n">
        <v>3040</v>
      </c>
      <c r="J99" t="n">
        <v>113</v>
      </c>
      <c r="K99" s="3" t="n">
        <v>3181</v>
      </c>
      <c r="L99" t="inlineStr">
        <is>
          <t>flat</t>
        </is>
      </c>
      <c r="M99" s="4" t="n">
        <v>3040</v>
      </c>
      <c r="N99" s="4" t="n">
        <v>0.237</v>
      </c>
      <c r="O99" s="3" t="n">
        <v>0</v>
      </c>
      <c r="P99" t="inlineStr">
        <is>
          <t>blended xG</t>
        </is>
      </c>
      <c r="Q99" s="3" t="n">
        <v>1</v>
      </c>
      <c r="R99" s="3" t="n">
        <v>0</v>
      </c>
      <c r="S99" s="3" t="n">
        <v>0.0137</v>
      </c>
      <c r="T99" s="3" t="n">
        <v>0</v>
      </c>
      <c r="U99" s="3" t="n">
        <v>0.2368</v>
      </c>
      <c r="V99" s="3" t="n">
        <v>2.043</v>
      </c>
      <c r="W99" s="3">
        <f>IF(V99="",IFERROR(VLOOKUP($C99,Assumptions!$A$4:$F$7,6,FALSE),0),V99)</f>
        <v/>
      </c>
      <c r="X99" s="3">
        <f>N(O99)*IFERROR(VLOOKUP($C99,Assumptions!$A$4:$F$7,2,FALSE),0)</f>
        <v/>
      </c>
      <c r="Y99" s="3">
        <f>N(S99)*IFERROR(VLOOKUP($C99,Assumptions!$A$4:$F$7,3,FALSE),0)*Assumptions!$B$11</f>
        <v/>
      </c>
      <c r="Z99" s="3">
        <f>N(N99)*IFERROR(VLOOKUP($C99,Assumptions!$A$4:$F$7,4,FALSE),0)</f>
        <v/>
      </c>
      <c r="AA99" s="3">
        <f>N(T99)*IFERROR(VLOOKUP($C99,Assumptions!$A$4:$F$7,5,FALSE),0)</f>
        <v/>
      </c>
      <c r="AB99" s="3">
        <f>N(U99)</f>
        <v/>
      </c>
      <c r="AC99" s="3">
        <f>SUM(W99:AB99)</f>
        <v/>
      </c>
      <c r="AD99" s="3">
        <f>N(AC99)*N(M99)/90</f>
        <v/>
      </c>
      <c r="AE99" s="3">
        <f>IFERROR(AD99-VLOOKUP($C99,Assumptions!$A$29:$C$32,3,FALSE),"")</f>
        <v/>
      </c>
      <c r="AF99" s="3">
        <f>IFERROR(AE99/F99,"")</f>
        <v/>
      </c>
      <c r="AG99">
        <f>IF(AND($E99=TRUE,$C99="GKP"),AD99,"")</f>
        <v/>
      </c>
      <c r="AH99">
        <f>IF(AND($E99=TRUE,$C99="DEF"),AD99,"")</f>
        <v/>
      </c>
      <c r="AI99">
        <f>IF(AND($E99=TRUE,$C99="MID"),AD99,"")</f>
        <v/>
      </c>
      <c r="AJ99">
        <f>IF(AND($E99=TRUE,$C99="FWD"),AD99,"")</f>
        <v/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b">
        <v>1</v>
      </c>
      <c r="F100" s="2" t="n">
        <v>5.5</v>
      </c>
      <c r="G100" t="inlineStr">
        <is>
          <t>a</t>
        </is>
      </c>
      <c r="I100" s="2" t="n">
        <v>2046</v>
      </c>
      <c r="J100" t="n">
        <v>113</v>
      </c>
      <c r="K100" s="3" t="n">
        <v>1915</v>
      </c>
      <c r="L100" t="inlineStr">
        <is>
          <t>flat</t>
        </is>
      </c>
      <c r="M100" s="4" t="n">
        <v>2046</v>
      </c>
      <c r="N100" s="4" t="n">
        <v>0.263</v>
      </c>
      <c r="O100" s="3" t="n">
        <v>0.1149</v>
      </c>
      <c r="P100" t="inlineStr">
        <is>
          <t>adjusted xGOT</t>
        </is>
      </c>
      <c r="Q100" s="3" t="n">
        <v>1.001</v>
      </c>
      <c r="R100" s="3" t="n">
        <v>8.6</v>
      </c>
      <c r="S100" s="3" t="n">
        <v>0.2617</v>
      </c>
      <c r="T100" s="3" t="n">
        <v>0.25</v>
      </c>
      <c r="U100" s="3" t="n">
        <v>0.3959</v>
      </c>
      <c r="V100" s="3" t="n">
        <v>2.419</v>
      </c>
      <c r="W100" s="3">
        <f>IF(V100="",IFERROR(VLOOKUP($C100,Assumptions!$A$4:$F$7,6,FALSE),0),V100)</f>
        <v/>
      </c>
      <c r="X100" s="3">
        <f>N(O100)*IFERROR(VLOOKUP($C100,Assumptions!$A$4:$F$7,2,FALSE),0)</f>
        <v/>
      </c>
      <c r="Y100" s="3">
        <f>N(S100)*IFERROR(VLOOKUP($C100,Assumptions!$A$4:$F$7,3,FALSE),0)*Assumptions!$B$11</f>
        <v/>
      </c>
      <c r="Z100" s="3">
        <f>N(N100)*IFERROR(VLOOKUP($C100,Assumptions!$A$4:$F$7,4,FALSE),0)</f>
        <v/>
      </c>
      <c r="AA100" s="3">
        <f>N(T100)*IFERROR(VLOOKUP($C100,Assumptions!$A$4:$F$7,5,FALSE),0)</f>
        <v/>
      </c>
      <c r="AB100" s="3">
        <f>N(U100)</f>
        <v/>
      </c>
      <c r="AC100" s="3">
        <f>SUM(W100:AB100)</f>
        <v/>
      </c>
      <c r="AD100" s="3">
        <f>N(AC100)*N(M100)/90</f>
        <v/>
      </c>
      <c r="AE100" s="3">
        <f>IFERROR(AD100-VLOOKUP($C100,Assumptions!$A$29:$C$32,3,FALSE),"")</f>
        <v/>
      </c>
      <c r="AF100" s="3">
        <f>IFERROR(AE100/F100,"")</f>
        <v/>
      </c>
      <c r="AG100">
        <f>IF(AND($E100=TRUE,$C100="GKP"),AD100,"")</f>
        <v/>
      </c>
      <c r="AH100">
        <f>IF(AND($E100=TRUE,$C100="DEF"),AD100,"")</f>
        <v/>
      </c>
      <c r="AI100">
        <f>IF(AND($E100=TRUE,$C100="MID"),AD100,"")</f>
        <v/>
      </c>
      <c r="AJ100">
        <f>IF(AND($E100=TRUE,$C100="FWD"),AD100,"")</f>
        <v/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b">
        <v>1</v>
      </c>
      <c r="F101" s="2" t="n">
        <v>6.5</v>
      </c>
      <c r="G101" t="inlineStr">
        <is>
          <t>a</t>
        </is>
      </c>
      <c r="I101" s="2" t="n">
        <v>1885</v>
      </c>
      <c r="J101" t="n">
        <v>113</v>
      </c>
      <c r="K101" s="3" t="n">
        <v>1328</v>
      </c>
      <c r="L101" t="inlineStr">
        <is>
          <t>flat</t>
        </is>
      </c>
      <c r="M101" s="4" t="n">
        <v>1885</v>
      </c>
      <c r="N101" s="4" t="n">
        <v>0.5</v>
      </c>
      <c r="O101" s="3" t="n">
        <v>0.2755</v>
      </c>
      <c r="P101" t="inlineStr">
        <is>
          <t>adjusted xGOT</t>
        </is>
      </c>
      <c r="Q101" s="3" t="n">
        <v>1.114</v>
      </c>
      <c r="R101" s="3" t="n">
        <v>31.9</v>
      </c>
      <c r="S101" s="3" t="n">
        <v>0.1264</v>
      </c>
      <c r="T101" s="3" t="n">
        <v>0</v>
      </c>
      <c r="U101" s="3" t="n">
        <v>0.382</v>
      </c>
      <c r="V101" s="3" t="n">
        <v>2.435</v>
      </c>
      <c r="W101" s="3">
        <f>IF(V101="",IFERROR(VLOOKUP($C101,Assumptions!$A$4:$F$7,6,FALSE),0),V101)</f>
        <v/>
      </c>
      <c r="X101" s="3">
        <f>N(O101)*IFERROR(VLOOKUP($C101,Assumptions!$A$4:$F$7,2,FALSE),0)</f>
        <v/>
      </c>
      <c r="Y101" s="3">
        <f>N(S101)*IFERROR(VLOOKUP($C101,Assumptions!$A$4:$F$7,3,FALSE),0)*Assumptions!$B$11</f>
        <v/>
      </c>
      <c r="Z101" s="3">
        <f>N(N101)*IFERROR(VLOOKUP($C101,Assumptions!$A$4:$F$7,4,FALSE),0)</f>
        <v/>
      </c>
      <c r="AA101" s="3">
        <f>N(T101)*IFERROR(VLOOKUP($C101,Assumptions!$A$4:$F$7,5,FALSE),0)</f>
        <v/>
      </c>
      <c r="AB101" s="3">
        <f>N(U101)</f>
        <v/>
      </c>
      <c r="AC101" s="3">
        <f>SUM(W101:AB101)</f>
        <v/>
      </c>
      <c r="AD101" s="3">
        <f>N(AC101)*N(M101)/90</f>
        <v/>
      </c>
      <c r="AE101" s="3">
        <f>IFERROR(AD101-VLOOKUP($C101,Assumptions!$A$29:$C$32,3,FALSE),"")</f>
        <v/>
      </c>
      <c r="AF101" s="3">
        <f>IFERROR(AE101/F101,"")</f>
        <v/>
      </c>
      <c r="AG101">
        <f>IF(AND($E101=TRUE,$C101="GKP"),AD101,"")</f>
        <v/>
      </c>
      <c r="AH101">
        <f>IF(AND($E101=TRUE,$C101="DEF"),AD101,"")</f>
        <v/>
      </c>
      <c r="AI101">
        <f>IF(AND($E101=TRUE,$C101="MID"),AD101,"")</f>
        <v/>
      </c>
      <c r="AJ101">
        <f>IF(AND($E101=TRUE,$C101="FWD"),AD101,"")</f>
        <v/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b">
        <v>1</v>
      </c>
      <c r="F102" s="2" t="n">
        <v>5.5</v>
      </c>
      <c r="G102" t="inlineStr">
        <is>
          <t>a</t>
        </is>
      </c>
      <c r="I102" s="2" t="n">
        <v>2552</v>
      </c>
      <c r="J102" t="n">
        <v>112</v>
      </c>
      <c r="K102" s="3" t="n">
        <v>3158</v>
      </c>
      <c r="L102" t="inlineStr">
        <is>
          <t>flat</t>
        </is>
      </c>
      <c r="M102" s="4" t="n">
        <v>2552</v>
      </c>
      <c r="N102" s="4" t="n">
        <v>0.316</v>
      </c>
      <c r="O102" s="3" t="n">
        <v>0.0475</v>
      </c>
      <c r="P102" t="inlineStr">
        <is>
          <t>adjusted xGOT</t>
        </is>
      </c>
      <c r="Q102" s="3" t="n">
        <v>0.885</v>
      </c>
      <c r="R102" s="3" t="n">
        <v>2.3</v>
      </c>
      <c r="S102" s="3" t="n">
        <v>0.2485</v>
      </c>
      <c r="T102" s="3" t="n">
        <v>0.31</v>
      </c>
      <c r="U102" s="3" t="n">
        <v>0.2821</v>
      </c>
      <c r="V102" s="3" t="n">
        <v>2.187</v>
      </c>
      <c r="W102" s="3">
        <f>IF(V102="",IFERROR(VLOOKUP($C102,Assumptions!$A$4:$F$7,6,FALSE),0),V102)</f>
        <v/>
      </c>
      <c r="X102" s="3">
        <f>N(O102)*IFERROR(VLOOKUP($C102,Assumptions!$A$4:$F$7,2,FALSE),0)</f>
        <v/>
      </c>
      <c r="Y102" s="3">
        <f>N(S102)*IFERROR(VLOOKUP($C102,Assumptions!$A$4:$F$7,3,FALSE),0)*Assumptions!$B$11</f>
        <v/>
      </c>
      <c r="Z102" s="3">
        <f>N(N102)*IFERROR(VLOOKUP($C102,Assumptions!$A$4:$F$7,4,FALSE),0)</f>
        <v/>
      </c>
      <c r="AA102" s="3">
        <f>N(T102)*IFERROR(VLOOKUP($C102,Assumptions!$A$4:$F$7,5,FALSE),0)</f>
        <v/>
      </c>
      <c r="AB102" s="3">
        <f>N(U102)</f>
        <v/>
      </c>
      <c r="AC102" s="3">
        <f>SUM(W102:AB102)</f>
        <v/>
      </c>
      <c r="AD102" s="3">
        <f>N(AC102)*N(M102)/90</f>
        <v/>
      </c>
      <c r="AE102" s="3">
        <f>IFERROR(AD102-VLOOKUP($C102,Assumptions!$A$29:$C$32,3,FALSE),"")</f>
        <v/>
      </c>
      <c r="AF102" s="3">
        <f>IFERROR(AE102/F102,"")</f>
        <v/>
      </c>
      <c r="AG102">
        <f>IF(AND($E102=TRUE,$C102="GKP"),AD102,"")</f>
        <v/>
      </c>
      <c r="AH102">
        <f>IF(AND($E102=TRUE,$C102="DEF"),AD102,"")</f>
        <v/>
      </c>
      <c r="AI102">
        <f>IF(AND($E102=TRUE,$C102="MID"),AD102,"")</f>
        <v/>
      </c>
      <c r="AJ102">
        <f>IF(AND($E102=TRUE,$C102="FWD"),AD102,"")</f>
        <v/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b">
        <v>1</v>
      </c>
      <c r="F103" s="2" t="n">
        <v>7</v>
      </c>
      <c r="G103" t="inlineStr">
        <is>
          <t>d</t>
        </is>
      </c>
      <c r="H103" t="inlineStr">
        <is>
          <t>Shin injury - 75% chance of playing</t>
        </is>
      </c>
      <c r="I103" s="2" t="n">
        <v>1630</v>
      </c>
      <c r="J103" t="n">
        <v>111</v>
      </c>
      <c r="K103" s="3" t="n">
        <v>2274</v>
      </c>
      <c r="L103" t="inlineStr">
        <is>
          <t>flat</t>
        </is>
      </c>
      <c r="M103" s="4" t="n">
        <v>1630</v>
      </c>
      <c r="N103" s="4" t="n">
        <v>0.21</v>
      </c>
      <c r="O103" s="3" t="n">
        <v>0.5673</v>
      </c>
      <c r="P103" t="inlineStr">
        <is>
          <t>adjusted xGOT</t>
        </is>
      </c>
      <c r="Q103" s="3" t="n">
        <v>1.116</v>
      </c>
      <c r="R103" s="3" t="n">
        <v>9.199999999999999</v>
      </c>
      <c r="S103" s="3" t="n">
        <v>0.0242</v>
      </c>
      <c r="T103" s="3" t="n">
        <v>0</v>
      </c>
      <c r="U103" s="3" t="n">
        <v>1.0491</v>
      </c>
      <c r="V103" s="3" t="n">
        <v>2.429</v>
      </c>
      <c r="W103" s="3">
        <f>IF(V103="",IFERROR(VLOOKUP($C103,Assumptions!$A$4:$F$7,6,FALSE),0),V103)</f>
        <v/>
      </c>
      <c r="X103" s="3">
        <f>N(O103)*IFERROR(VLOOKUP($C103,Assumptions!$A$4:$F$7,2,FALSE),0)</f>
        <v/>
      </c>
      <c r="Y103" s="3">
        <f>N(S103)*IFERROR(VLOOKUP($C103,Assumptions!$A$4:$F$7,3,FALSE),0)*Assumptions!$B$11</f>
        <v/>
      </c>
      <c r="Z103" s="3">
        <f>N(N103)*IFERROR(VLOOKUP($C103,Assumptions!$A$4:$F$7,4,FALSE),0)</f>
        <v/>
      </c>
      <c r="AA103" s="3">
        <f>N(T103)*IFERROR(VLOOKUP($C103,Assumptions!$A$4:$F$7,5,FALSE),0)</f>
        <v/>
      </c>
      <c r="AB103" s="3">
        <f>N(U103)</f>
        <v/>
      </c>
      <c r="AC103" s="3">
        <f>SUM(W103:AB103)</f>
        <v/>
      </c>
      <c r="AD103" s="3">
        <f>N(AC103)*N(M103)/90</f>
        <v/>
      </c>
      <c r="AE103" s="3">
        <f>IFERROR(AD103-VLOOKUP($C103,Assumptions!$A$29:$C$32,3,FALSE),"")</f>
        <v/>
      </c>
      <c r="AF103" s="3">
        <f>IFERROR(AE103/F103,"")</f>
        <v/>
      </c>
      <c r="AG103">
        <f>IF(AND($E103=TRUE,$C103="GKP"),AD103,"")</f>
        <v/>
      </c>
      <c r="AH103">
        <f>IF(AND($E103=TRUE,$C103="DEF"),AD103,"")</f>
        <v/>
      </c>
      <c r="AI103">
        <f>IF(AND($E103=TRUE,$C103="MID"),AD103,"")</f>
        <v/>
      </c>
      <c r="AJ103">
        <f>IF(AND($E103=TRUE,$C103="FWD"),AD103,"")</f>
        <v/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b">
        <v>1</v>
      </c>
      <c r="F104" s="2" t="n">
        <v>5</v>
      </c>
      <c r="G104" t="inlineStr">
        <is>
          <t>a</t>
        </is>
      </c>
      <c r="I104" s="2" t="n">
        <v>2609</v>
      </c>
      <c r="J104" t="n">
        <v>111</v>
      </c>
      <c r="K104" s="3" t="n">
        <v>2594</v>
      </c>
      <c r="L104" t="inlineStr">
        <is>
          <t>flat</t>
        </is>
      </c>
      <c r="M104" s="4" t="n">
        <v>2609</v>
      </c>
      <c r="N104" s="4" t="n">
        <v>0.21</v>
      </c>
      <c r="O104" s="3" t="n">
        <v>0.0527</v>
      </c>
      <c r="P104" t="inlineStr">
        <is>
          <t>adjusted xGOT</t>
        </is>
      </c>
      <c r="Q104" s="3" t="n">
        <v>0.791</v>
      </c>
      <c r="R104" s="3" t="n">
        <v>8</v>
      </c>
      <c r="S104" s="3" t="n">
        <v>0.1048</v>
      </c>
      <c r="T104" s="3" t="n">
        <v>0.103</v>
      </c>
      <c r="U104" s="3" t="n">
        <v>0.345</v>
      </c>
      <c r="V104" s="3" t="n">
        <v>2.139</v>
      </c>
      <c r="W104" s="3">
        <f>IF(V104="",IFERROR(VLOOKUP($C104,Assumptions!$A$4:$F$7,6,FALSE),0),V104)</f>
        <v/>
      </c>
      <c r="X104" s="3">
        <f>N(O104)*IFERROR(VLOOKUP($C104,Assumptions!$A$4:$F$7,2,FALSE),0)</f>
        <v/>
      </c>
      <c r="Y104" s="3">
        <f>N(S104)*IFERROR(VLOOKUP($C104,Assumptions!$A$4:$F$7,3,FALSE),0)*Assumptions!$B$11</f>
        <v/>
      </c>
      <c r="Z104" s="3">
        <f>N(N104)*IFERROR(VLOOKUP($C104,Assumptions!$A$4:$F$7,4,FALSE),0)</f>
        <v/>
      </c>
      <c r="AA104" s="3">
        <f>N(T104)*IFERROR(VLOOKUP($C104,Assumptions!$A$4:$F$7,5,FALSE),0)</f>
        <v/>
      </c>
      <c r="AB104" s="3">
        <f>N(U104)</f>
        <v/>
      </c>
      <c r="AC104" s="3">
        <f>SUM(W104:AB104)</f>
        <v/>
      </c>
      <c r="AD104" s="3">
        <f>N(AC104)*N(M104)/90</f>
        <v/>
      </c>
      <c r="AE104" s="3">
        <f>IFERROR(AD104-VLOOKUP($C104,Assumptions!$A$29:$C$32,3,FALSE),"")</f>
        <v/>
      </c>
      <c r="AF104" s="3">
        <f>IFERROR(AE104/F104,"")</f>
        <v/>
      </c>
      <c r="AG104">
        <f>IF(AND($E104=TRUE,$C104="GKP"),AD104,"")</f>
        <v/>
      </c>
      <c r="AH104">
        <f>IF(AND($E104=TRUE,$C104="DEF"),AD104,"")</f>
        <v/>
      </c>
      <c r="AI104">
        <f>IF(AND($E104=TRUE,$C104="MID"),AD104,"")</f>
        <v/>
      </c>
      <c r="AJ104">
        <f>IF(AND($E104=TRUE,$C104="FWD"),AD104,"")</f>
        <v/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b">
        <v>1</v>
      </c>
      <c r="F105" s="2" t="n">
        <v>4.5</v>
      </c>
      <c r="G105" t="inlineStr">
        <is>
          <t>a</t>
        </is>
      </c>
      <c r="I105" s="2" t="n">
        <v>3032</v>
      </c>
      <c r="J105" t="n">
        <v>110</v>
      </c>
      <c r="K105" s="3" t="n">
        <v>2668</v>
      </c>
      <c r="L105" t="inlineStr">
        <is>
          <t>flat</t>
        </is>
      </c>
      <c r="M105" s="4" t="n">
        <v>3032</v>
      </c>
      <c r="N105" s="4" t="n">
        <v>0.29</v>
      </c>
      <c r="O105" s="3" t="n">
        <v>0.0669</v>
      </c>
      <c r="P105" t="inlineStr">
        <is>
          <t>adjusted xGOT</t>
        </is>
      </c>
      <c r="Q105" s="3" t="n">
        <v>0.993</v>
      </c>
      <c r="R105" s="3" t="n">
        <v>2.3</v>
      </c>
      <c r="S105" s="3" t="n">
        <v>0.0614</v>
      </c>
      <c r="T105" s="3" t="n">
        <v>0.059</v>
      </c>
      <c r="U105" s="3" t="n">
        <v>0.1781</v>
      </c>
      <c r="V105" s="3" t="n">
        <v>2.078</v>
      </c>
      <c r="W105" s="3">
        <f>IF(V105="",IFERROR(VLOOKUP($C105,Assumptions!$A$4:$F$7,6,FALSE),0),V105)</f>
        <v/>
      </c>
      <c r="X105" s="3">
        <f>N(O105)*IFERROR(VLOOKUP($C105,Assumptions!$A$4:$F$7,2,FALSE),0)</f>
        <v/>
      </c>
      <c r="Y105" s="3">
        <f>N(S105)*IFERROR(VLOOKUP($C105,Assumptions!$A$4:$F$7,3,FALSE),0)*Assumptions!$B$11</f>
        <v/>
      </c>
      <c r="Z105" s="3">
        <f>N(N105)*IFERROR(VLOOKUP($C105,Assumptions!$A$4:$F$7,4,FALSE),0)</f>
        <v/>
      </c>
      <c r="AA105" s="3">
        <f>N(T105)*IFERROR(VLOOKUP($C105,Assumptions!$A$4:$F$7,5,FALSE),0)</f>
        <v/>
      </c>
      <c r="AB105" s="3">
        <f>N(U105)</f>
        <v/>
      </c>
      <c r="AC105" s="3">
        <f>SUM(W105:AB105)</f>
        <v/>
      </c>
      <c r="AD105" s="3">
        <f>N(AC105)*N(M105)/90</f>
        <v/>
      </c>
      <c r="AE105" s="3">
        <f>IFERROR(AD105-VLOOKUP($C105,Assumptions!$A$29:$C$32,3,FALSE),"")</f>
        <v/>
      </c>
      <c r="AF105" s="3">
        <f>IFERROR(AE105/F105,"")</f>
        <v/>
      </c>
      <c r="AG105">
        <f>IF(AND($E105=TRUE,$C105="GKP"),AD105,"")</f>
        <v/>
      </c>
      <c r="AH105">
        <f>IF(AND($E105=TRUE,$C105="DEF"),AD105,"")</f>
        <v/>
      </c>
      <c r="AI105">
        <f>IF(AND($E105=TRUE,$C105="MID"),AD105,"")</f>
        <v/>
      </c>
      <c r="AJ105">
        <f>IF(AND($E105=TRUE,$C105="FWD"),AD105,"")</f>
        <v/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b">
        <v>1</v>
      </c>
      <c r="F106" s="2" t="n">
        <v>5.5</v>
      </c>
      <c r="G106" t="inlineStr">
        <is>
          <t>a</t>
        </is>
      </c>
      <c r="I106" s="2" t="n">
        <v>2102</v>
      </c>
      <c r="J106" t="n">
        <v>110</v>
      </c>
      <c r="K106" s="3" t="n">
        <v>3340</v>
      </c>
      <c r="L106" t="inlineStr">
        <is>
          <t>flat</t>
        </is>
      </c>
      <c r="M106" s="4" t="n">
        <v>2102</v>
      </c>
      <c r="N106" s="4" t="n">
        <v>0.29</v>
      </c>
      <c r="O106" s="3" t="n">
        <v>0.0345</v>
      </c>
      <c r="P106" t="inlineStr">
        <is>
          <t>adjusted xGOT</t>
        </is>
      </c>
      <c r="Q106" s="3" t="n">
        <v>0.904</v>
      </c>
      <c r="R106" s="3" t="n">
        <v>1.2</v>
      </c>
      <c r="S106" s="3" t="n">
        <v>0.0554</v>
      </c>
      <c r="T106" s="3" t="n">
        <v>0.636</v>
      </c>
      <c r="U106" s="3" t="n">
        <v>0.1284</v>
      </c>
      <c r="V106" s="3" t="n">
        <v>2.226</v>
      </c>
      <c r="W106" s="3">
        <f>IF(V106="",IFERROR(VLOOKUP($C106,Assumptions!$A$4:$F$7,6,FALSE),0),V106)</f>
        <v/>
      </c>
      <c r="X106" s="3">
        <f>N(O106)*IFERROR(VLOOKUP($C106,Assumptions!$A$4:$F$7,2,FALSE),0)</f>
        <v/>
      </c>
      <c r="Y106" s="3">
        <f>N(S106)*IFERROR(VLOOKUP($C106,Assumptions!$A$4:$F$7,3,FALSE),0)*Assumptions!$B$11</f>
        <v/>
      </c>
      <c r="Z106" s="3">
        <f>N(N106)*IFERROR(VLOOKUP($C106,Assumptions!$A$4:$F$7,4,FALSE),0)</f>
        <v/>
      </c>
      <c r="AA106" s="3">
        <f>N(T106)*IFERROR(VLOOKUP($C106,Assumptions!$A$4:$F$7,5,FALSE),0)</f>
        <v/>
      </c>
      <c r="AB106" s="3">
        <f>N(U106)</f>
        <v/>
      </c>
      <c r="AC106" s="3">
        <f>SUM(W106:AB106)</f>
        <v/>
      </c>
      <c r="AD106" s="3">
        <f>N(AC106)*N(M106)/90</f>
        <v/>
      </c>
      <c r="AE106" s="3">
        <f>IFERROR(AD106-VLOOKUP($C106,Assumptions!$A$29:$C$32,3,FALSE),"")</f>
        <v/>
      </c>
      <c r="AF106" s="3">
        <f>IFERROR(AE106/F106,"")</f>
        <v/>
      </c>
      <c r="AG106">
        <f>IF(AND($E106=TRUE,$C106="GKP"),AD106,"")</f>
        <v/>
      </c>
      <c r="AH106">
        <f>IF(AND($E106=TRUE,$C106="DEF"),AD106,"")</f>
        <v/>
      </c>
      <c r="AI106">
        <f>IF(AND($E106=TRUE,$C106="MID"),AD106,"")</f>
        <v/>
      </c>
      <c r="AJ106">
        <f>IF(AND($E106=TRUE,$C106="FWD"),AD106,"")</f>
        <v/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b">
        <v>1</v>
      </c>
      <c r="F107" s="2" t="n">
        <v>5.5</v>
      </c>
      <c r="G107" t="inlineStr">
        <is>
          <t>a</t>
        </is>
      </c>
      <c r="I107" s="2" t="n">
        <v>2796</v>
      </c>
      <c r="J107" t="n">
        <v>110</v>
      </c>
      <c r="K107" s="3" t="n">
        <v>3089</v>
      </c>
      <c r="L107" t="inlineStr">
        <is>
          <t>flat</t>
        </is>
      </c>
      <c r="M107" s="4" t="n">
        <v>2796</v>
      </c>
      <c r="N107" s="4" t="n">
        <v>0.237</v>
      </c>
      <c r="O107" s="3" t="n">
        <v>0.0454</v>
      </c>
      <c r="P107" t="inlineStr">
        <is>
          <t>adjusted xGOT</t>
        </is>
      </c>
      <c r="Q107" s="3" t="n">
        <v>0.972</v>
      </c>
      <c r="R107" s="3" t="n">
        <v>4.4</v>
      </c>
      <c r="S107" s="3" t="n">
        <v>0.0806</v>
      </c>
      <c r="T107" s="3" t="n">
        <v>0.406</v>
      </c>
      <c r="U107" s="3" t="n">
        <v>0.3219</v>
      </c>
      <c r="V107" s="3" t="n">
        <v>2.06</v>
      </c>
      <c r="W107" s="3">
        <f>IF(V107="",IFERROR(VLOOKUP($C107,Assumptions!$A$4:$F$7,6,FALSE),0),V107)</f>
        <v/>
      </c>
      <c r="X107" s="3">
        <f>N(O107)*IFERROR(VLOOKUP($C107,Assumptions!$A$4:$F$7,2,FALSE),0)</f>
        <v/>
      </c>
      <c r="Y107" s="3">
        <f>N(S107)*IFERROR(VLOOKUP($C107,Assumptions!$A$4:$F$7,3,FALSE),0)*Assumptions!$B$11</f>
        <v/>
      </c>
      <c r="Z107" s="3">
        <f>N(N107)*IFERROR(VLOOKUP($C107,Assumptions!$A$4:$F$7,4,FALSE),0)</f>
        <v/>
      </c>
      <c r="AA107" s="3">
        <f>N(T107)*IFERROR(VLOOKUP($C107,Assumptions!$A$4:$F$7,5,FALSE),0)</f>
        <v/>
      </c>
      <c r="AB107" s="3">
        <f>N(U107)</f>
        <v/>
      </c>
      <c r="AC107" s="3">
        <f>SUM(W107:AB107)</f>
        <v/>
      </c>
      <c r="AD107" s="3">
        <f>N(AC107)*N(M107)/90</f>
        <v/>
      </c>
      <c r="AE107" s="3">
        <f>IFERROR(AD107-VLOOKUP($C107,Assumptions!$A$29:$C$32,3,FALSE),"")</f>
        <v/>
      </c>
      <c r="AF107" s="3">
        <f>IFERROR(AE107/F107,"")</f>
        <v/>
      </c>
      <c r="AG107">
        <f>IF(AND($E107=TRUE,$C107="GKP"),AD107,"")</f>
        <v/>
      </c>
      <c r="AH107">
        <f>IF(AND($E107=TRUE,$C107="DEF"),AD107,"")</f>
        <v/>
      </c>
      <c r="AI107">
        <f>IF(AND($E107=TRUE,$C107="MID"),AD107,"")</f>
        <v/>
      </c>
      <c r="AJ107">
        <f>IF(AND($E107=TRUE,$C107="FWD"),AD107,"")</f>
        <v/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b">
        <v>1</v>
      </c>
      <c r="F108" s="2" t="n">
        <v>5</v>
      </c>
      <c r="G108" t="inlineStr">
        <is>
          <t>a</t>
        </is>
      </c>
      <c r="I108" s="2" t="n">
        <v>2880</v>
      </c>
      <c r="J108" t="n">
        <v>109</v>
      </c>
      <c r="K108" s="3" t="n">
        <v>3385</v>
      </c>
      <c r="L108" t="inlineStr">
        <is>
          <t>flat</t>
        </is>
      </c>
      <c r="M108" s="4" t="n">
        <v>2880</v>
      </c>
      <c r="N108" s="4" t="n">
        <v>0.21</v>
      </c>
      <c r="O108" s="3" t="n">
        <v>0</v>
      </c>
      <c r="P108" t="inlineStr">
        <is>
          <t>blended xG</t>
        </is>
      </c>
      <c r="Q108" s="3" t="n">
        <v>1</v>
      </c>
      <c r="R108" s="3" t="n">
        <v>0</v>
      </c>
      <c r="S108" s="3" t="n">
        <v>0</v>
      </c>
      <c r="T108" s="3" t="n">
        <v>0</v>
      </c>
      <c r="U108" s="3" t="n">
        <v>0.3438</v>
      </c>
      <c r="V108" s="3" t="n">
        <v>2</v>
      </c>
      <c r="W108" s="3">
        <f>IF(V108="",IFERROR(VLOOKUP($C108,Assumptions!$A$4:$F$7,6,FALSE),0),V108)</f>
        <v/>
      </c>
      <c r="X108" s="3">
        <f>N(O108)*IFERROR(VLOOKUP($C108,Assumptions!$A$4:$F$7,2,FALSE),0)</f>
        <v/>
      </c>
      <c r="Y108" s="3">
        <f>N(S108)*IFERROR(VLOOKUP($C108,Assumptions!$A$4:$F$7,3,FALSE),0)*Assumptions!$B$11</f>
        <v/>
      </c>
      <c r="Z108" s="3">
        <f>N(N108)*IFERROR(VLOOKUP($C108,Assumptions!$A$4:$F$7,4,FALSE),0)</f>
        <v/>
      </c>
      <c r="AA108" s="3">
        <f>N(T108)*IFERROR(VLOOKUP($C108,Assumptions!$A$4:$F$7,5,FALSE),0)</f>
        <v/>
      </c>
      <c r="AB108" s="3">
        <f>N(U108)</f>
        <v/>
      </c>
      <c r="AC108" s="3">
        <f>SUM(W108:AB108)</f>
        <v/>
      </c>
      <c r="AD108" s="3">
        <f>N(AC108)*N(M108)/90</f>
        <v/>
      </c>
      <c r="AE108" s="3">
        <f>IFERROR(AD108-VLOOKUP($C108,Assumptions!$A$29:$C$32,3,FALSE),"")</f>
        <v/>
      </c>
      <c r="AF108" s="3">
        <f>IFERROR(AE108/F108,"")</f>
        <v/>
      </c>
      <c r="AG108">
        <f>IF(AND($E108=TRUE,$C108="GKP"),AD108,"")</f>
        <v/>
      </c>
      <c r="AH108">
        <f>IF(AND($E108=TRUE,$C108="DEF"),AD108,"")</f>
        <v/>
      </c>
      <c r="AI108">
        <f>IF(AND($E108=TRUE,$C108="MID"),AD108,"")</f>
        <v/>
      </c>
      <c r="AJ108">
        <f>IF(AND($E108=TRUE,$C108="FWD"),AD108,"")</f>
        <v/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b">
        <v>1</v>
      </c>
      <c r="F109" s="2" t="n">
        <v>4.5</v>
      </c>
      <c r="G109" t="inlineStr">
        <is>
          <t>a</t>
        </is>
      </c>
      <c r="I109" s="2" t="n">
        <v>2952</v>
      </c>
      <c r="J109" t="n">
        <v>109</v>
      </c>
      <c r="K109" s="3" t="n">
        <v>3272</v>
      </c>
      <c r="L109" t="inlineStr">
        <is>
          <t>flat</t>
        </is>
      </c>
      <c r="M109" s="4" t="n">
        <v>2952</v>
      </c>
      <c r="N109" s="4" t="n">
        <v>0.21</v>
      </c>
      <c r="O109" s="3" t="n">
        <v>0.0477</v>
      </c>
      <c r="P109" t="inlineStr">
        <is>
          <t>adjusted xGOT</t>
        </is>
      </c>
      <c r="Q109" s="3" t="n">
        <v>1.117</v>
      </c>
      <c r="R109" s="3" t="n">
        <v>1.4</v>
      </c>
      <c r="S109" s="3" t="n">
        <v>0.0156</v>
      </c>
      <c r="T109" s="3" t="n">
        <v>0.303</v>
      </c>
      <c r="U109" s="3" t="n">
        <v>0.122</v>
      </c>
      <c r="V109" s="3" t="n">
        <v>2.043</v>
      </c>
      <c r="W109" s="3">
        <f>IF(V109="",IFERROR(VLOOKUP($C109,Assumptions!$A$4:$F$7,6,FALSE),0),V109)</f>
        <v/>
      </c>
      <c r="X109" s="3">
        <f>N(O109)*IFERROR(VLOOKUP($C109,Assumptions!$A$4:$F$7,2,FALSE),0)</f>
        <v/>
      </c>
      <c r="Y109" s="3">
        <f>N(S109)*IFERROR(VLOOKUP($C109,Assumptions!$A$4:$F$7,3,FALSE),0)*Assumptions!$B$11</f>
        <v/>
      </c>
      <c r="Z109" s="3">
        <f>N(N109)*IFERROR(VLOOKUP($C109,Assumptions!$A$4:$F$7,4,FALSE),0)</f>
        <v/>
      </c>
      <c r="AA109" s="3">
        <f>N(T109)*IFERROR(VLOOKUP($C109,Assumptions!$A$4:$F$7,5,FALSE),0)</f>
        <v/>
      </c>
      <c r="AB109" s="3">
        <f>N(U109)</f>
        <v/>
      </c>
      <c r="AC109" s="3">
        <f>SUM(W109:AB109)</f>
        <v/>
      </c>
      <c r="AD109" s="3">
        <f>N(AC109)*N(M109)/90</f>
        <v/>
      </c>
      <c r="AE109" s="3">
        <f>IFERROR(AD109-VLOOKUP($C109,Assumptions!$A$29:$C$32,3,FALSE),"")</f>
        <v/>
      </c>
      <c r="AF109" s="3">
        <f>IFERROR(AE109/F109,"")</f>
        <v/>
      </c>
      <c r="AG109">
        <f>IF(AND($E109=TRUE,$C109="GKP"),AD109,"")</f>
        <v/>
      </c>
      <c r="AH109">
        <f>IF(AND($E109=TRUE,$C109="DEF"),AD109,"")</f>
        <v/>
      </c>
      <c r="AI109">
        <f>IF(AND($E109=TRUE,$C109="MID"),AD109,"")</f>
        <v/>
      </c>
      <c r="AJ109">
        <f>IF(AND($E109=TRUE,$C109="FWD"),AD109,"")</f>
        <v/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b">
        <v>1</v>
      </c>
      <c r="F110" s="2" t="n">
        <v>6</v>
      </c>
      <c r="G110" t="inlineStr">
        <is>
          <t>a</t>
        </is>
      </c>
      <c r="I110" s="2" t="n">
        <v>1553</v>
      </c>
      <c r="J110" t="n">
        <v>109</v>
      </c>
      <c r="K110" s="3" t="n">
        <v>2229</v>
      </c>
      <c r="L110" t="inlineStr">
        <is>
          <t>flat</t>
        </is>
      </c>
      <c r="M110" s="4" t="n">
        <v>1553</v>
      </c>
      <c r="N110" s="4" t="n">
        <v>0.21</v>
      </c>
      <c r="O110" s="3" t="n">
        <v>0.3444</v>
      </c>
      <c r="P110" t="inlineStr">
        <is>
          <t>adjusted xGOT</t>
        </is>
      </c>
      <c r="Q110" s="3" t="n">
        <v>1.132</v>
      </c>
      <c r="R110" s="3" t="n">
        <v>5.2</v>
      </c>
      <c r="S110" s="3" t="n">
        <v>0.1037</v>
      </c>
      <c r="T110" s="3" t="n">
        <v>0</v>
      </c>
      <c r="U110" s="3" t="n">
        <v>0.6954</v>
      </c>
      <c r="V110" s="3" t="n">
        <v>2.666</v>
      </c>
      <c r="W110" s="3">
        <f>IF(V110="",IFERROR(VLOOKUP($C110,Assumptions!$A$4:$F$7,6,FALSE),0),V110)</f>
        <v/>
      </c>
      <c r="X110" s="3">
        <f>N(O110)*IFERROR(VLOOKUP($C110,Assumptions!$A$4:$F$7,2,FALSE),0)</f>
        <v/>
      </c>
      <c r="Y110" s="3">
        <f>N(S110)*IFERROR(VLOOKUP($C110,Assumptions!$A$4:$F$7,3,FALSE),0)*Assumptions!$B$11</f>
        <v/>
      </c>
      <c r="Z110" s="3">
        <f>N(N110)*IFERROR(VLOOKUP($C110,Assumptions!$A$4:$F$7,4,FALSE),0)</f>
        <v/>
      </c>
      <c r="AA110" s="3">
        <f>N(T110)*IFERROR(VLOOKUP($C110,Assumptions!$A$4:$F$7,5,FALSE),0)</f>
        <v/>
      </c>
      <c r="AB110" s="3">
        <f>N(U110)</f>
        <v/>
      </c>
      <c r="AC110" s="3">
        <f>SUM(W110:AB110)</f>
        <v/>
      </c>
      <c r="AD110" s="3">
        <f>N(AC110)*N(M110)/90</f>
        <v/>
      </c>
      <c r="AE110" s="3">
        <f>IFERROR(AD110-VLOOKUP($C110,Assumptions!$A$29:$C$32,3,FALSE),"")</f>
        <v/>
      </c>
      <c r="AF110" s="3">
        <f>IFERROR(AE110/F110,"")</f>
        <v/>
      </c>
      <c r="AG110">
        <f>IF(AND($E110=TRUE,$C110="GKP"),AD110,"")</f>
        <v/>
      </c>
      <c r="AH110">
        <f>IF(AND($E110=TRUE,$C110="DEF"),AD110,"")</f>
        <v/>
      </c>
      <c r="AI110">
        <f>IF(AND($E110=TRUE,$C110="MID"),AD110,"")</f>
        <v/>
      </c>
      <c r="AJ110">
        <f>IF(AND($E110=TRUE,$C110="FWD"),AD110,"")</f>
        <v/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b">
        <v>1</v>
      </c>
      <c r="F111" s="2" t="n">
        <v>5.5</v>
      </c>
      <c r="G111" t="inlineStr">
        <is>
          <t>a</t>
        </is>
      </c>
      <c r="I111" s="2" t="n">
        <v>1697</v>
      </c>
      <c r="J111" t="n">
        <v>109</v>
      </c>
      <c r="K111" s="3" t="n">
        <v>2371</v>
      </c>
      <c r="L111" t="inlineStr">
        <is>
          <t>flat</t>
        </is>
      </c>
      <c r="M111" s="4" t="n">
        <v>1697</v>
      </c>
      <c r="N111" s="4" t="n">
        <v>0.5</v>
      </c>
      <c r="O111" s="3" t="n">
        <v>0.1779</v>
      </c>
      <c r="P111" t="inlineStr">
        <is>
          <t>adjusted xGOT</t>
        </is>
      </c>
      <c r="Q111" s="3" t="n">
        <v>0.998</v>
      </c>
      <c r="R111" s="3" t="n">
        <v>4.2</v>
      </c>
      <c r="S111" s="3" t="n">
        <v>0.0373</v>
      </c>
      <c r="T111" s="3" t="n">
        <v>0</v>
      </c>
      <c r="U111" s="3" t="n">
        <v>0.3182</v>
      </c>
      <c r="V111" s="3" t="n">
        <v>2.387</v>
      </c>
      <c r="W111" s="3">
        <f>IF(V111="",IFERROR(VLOOKUP($C111,Assumptions!$A$4:$F$7,6,FALSE),0),V111)</f>
        <v/>
      </c>
      <c r="X111" s="3">
        <f>N(O111)*IFERROR(VLOOKUP($C111,Assumptions!$A$4:$F$7,2,FALSE),0)</f>
        <v/>
      </c>
      <c r="Y111" s="3">
        <f>N(S111)*IFERROR(VLOOKUP($C111,Assumptions!$A$4:$F$7,3,FALSE),0)*Assumptions!$B$11</f>
        <v/>
      </c>
      <c r="Z111" s="3">
        <f>N(N111)*IFERROR(VLOOKUP($C111,Assumptions!$A$4:$F$7,4,FALSE),0)</f>
        <v/>
      </c>
      <c r="AA111" s="3">
        <f>N(T111)*IFERROR(VLOOKUP($C111,Assumptions!$A$4:$F$7,5,FALSE),0)</f>
        <v/>
      </c>
      <c r="AB111" s="3">
        <f>N(U111)</f>
        <v/>
      </c>
      <c r="AC111" s="3">
        <f>SUM(W111:AB111)</f>
        <v/>
      </c>
      <c r="AD111" s="3">
        <f>N(AC111)*N(M111)/90</f>
        <v/>
      </c>
      <c r="AE111" s="3">
        <f>IFERROR(AD111-VLOOKUP($C111,Assumptions!$A$29:$C$32,3,FALSE),"")</f>
        <v/>
      </c>
      <c r="AF111" s="3">
        <f>IFERROR(AE111/F111,"")</f>
        <v/>
      </c>
      <c r="AG111">
        <f>IF(AND($E111=TRUE,$C111="GKP"),AD111,"")</f>
        <v/>
      </c>
      <c r="AH111">
        <f>IF(AND($E111=TRUE,$C111="DEF"),AD111,"")</f>
        <v/>
      </c>
      <c r="AI111">
        <f>IF(AND($E111=TRUE,$C111="MID"),AD111,"")</f>
        <v/>
      </c>
      <c r="AJ111">
        <f>IF(AND($E111=TRUE,$C111="FWD"),AD111,"")</f>
        <v/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b">
        <v>1</v>
      </c>
      <c r="F112" s="2" t="n">
        <v>5</v>
      </c>
      <c r="G112" t="inlineStr">
        <is>
          <t>a</t>
        </is>
      </c>
      <c r="I112" s="2" t="n">
        <v>2935</v>
      </c>
      <c r="J112" t="n">
        <v>108</v>
      </c>
      <c r="K112" s="3" t="n">
        <v>2548</v>
      </c>
      <c r="L112" t="inlineStr">
        <is>
          <t>flat</t>
        </is>
      </c>
      <c r="M112" s="4" t="n">
        <v>2935</v>
      </c>
      <c r="N112" s="4" t="n">
        <v>0.263</v>
      </c>
      <c r="O112" s="3" t="n">
        <v>0.0877</v>
      </c>
      <c r="P112" t="inlineStr">
        <is>
          <t>adjusted xGOT</t>
        </is>
      </c>
      <c r="Q112" s="3" t="n">
        <v>0.9350000000000001</v>
      </c>
      <c r="R112" s="3" t="n">
        <v>4.4</v>
      </c>
      <c r="S112" s="3" t="n">
        <v>0.0284</v>
      </c>
      <c r="T112" s="3" t="n">
        <v>0.394</v>
      </c>
      <c r="U112" s="3" t="n">
        <v>0.1227</v>
      </c>
      <c r="V112" s="3" t="n">
        <v>2.024</v>
      </c>
      <c r="W112" s="3">
        <f>IF(V112="",IFERROR(VLOOKUP($C112,Assumptions!$A$4:$F$7,6,FALSE),0),V112)</f>
        <v/>
      </c>
      <c r="X112" s="3">
        <f>N(O112)*IFERROR(VLOOKUP($C112,Assumptions!$A$4:$F$7,2,FALSE),0)</f>
        <v/>
      </c>
      <c r="Y112" s="3">
        <f>N(S112)*IFERROR(VLOOKUP($C112,Assumptions!$A$4:$F$7,3,FALSE),0)*Assumptions!$B$11</f>
        <v/>
      </c>
      <c r="Z112" s="3">
        <f>N(N112)*IFERROR(VLOOKUP($C112,Assumptions!$A$4:$F$7,4,FALSE),0)</f>
        <v/>
      </c>
      <c r="AA112" s="3">
        <f>N(T112)*IFERROR(VLOOKUP($C112,Assumptions!$A$4:$F$7,5,FALSE),0)</f>
        <v/>
      </c>
      <c r="AB112" s="3">
        <f>N(U112)</f>
        <v/>
      </c>
      <c r="AC112" s="3">
        <f>SUM(W112:AB112)</f>
        <v/>
      </c>
      <c r="AD112" s="3">
        <f>N(AC112)*N(M112)/90</f>
        <v/>
      </c>
      <c r="AE112" s="3">
        <f>IFERROR(AD112-VLOOKUP($C112,Assumptions!$A$29:$C$32,3,FALSE),"")</f>
        <v/>
      </c>
      <c r="AF112" s="3">
        <f>IFERROR(AE112/F112,"")</f>
        <v/>
      </c>
      <c r="AG112">
        <f>IF(AND($E112=TRUE,$C112="GKP"),AD112,"")</f>
        <v/>
      </c>
      <c r="AH112">
        <f>IF(AND($E112=TRUE,$C112="DEF"),AD112,"")</f>
        <v/>
      </c>
      <c r="AI112">
        <f>IF(AND($E112=TRUE,$C112="MID"),AD112,"")</f>
        <v/>
      </c>
      <c r="AJ112">
        <f>IF(AND($E112=TRUE,$C112="FWD"),AD112,"")</f>
        <v/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b">
        <v>1</v>
      </c>
      <c r="F113" s="2" t="n">
        <v>5.5</v>
      </c>
      <c r="G113" t="inlineStr">
        <is>
          <t>a</t>
        </is>
      </c>
      <c r="I113" s="2" t="n">
        <v>2654</v>
      </c>
      <c r="J113" t="n">
        <v>108</v>
      </c>
      <c r="K113" s="3" t="n">
        <v>1604</v>
      </c>
      <c r="L113" t="inlineStr">
        <is>
          <t>flat</t>
        </is>
      </c>
      <c r="M113" s="4" t="n">
        <v>2654</v>
      </c>
      <c r="N113" s="4" t="n">
        <v>0.263</v>
      </c>
      <c r="O113" s="3" t="n">
        <v>0.1366</v>
      </c>
      <c r="P113" t="inlineStr">
        <is>
          <t>adjusted xGOT</t>
        </is>
      </c>
      <c r="Q113" s="3" t="n">
        <v>1.036</v>
      </c>
      <c r="R113" s="3" t="n">
        <v>22.4</v>
      </c>
      <c r="S113" s="3" t="n">
        <v>0.077</v>
      </c>
      <c r="T113" s="3" t="n">
        <v>0.129</v>
      </c>
      <c r="U113" s="3" t="n">
        <v>0.3052</v>
      </c>
      <c r="V113" s="3" t="n">
        <v>2.238</v>
      </c>
      <c r="W113" s="3">
        <f>IF(V113="",IFERROR(VLOOKUP($C113,Assumptions!$A$4:$F$7,6,FALSE),0),V113)</f>
        <v/>
      </c>
      <c r="X113" s="3">
        <f>N(O113)*IFERROR(VLOOKUP($C113,Assumptions!$A$4:$F$7,2,FALSE),0)</f>
        <v/>
      </c>
      <c r="Y113" s="3">
        <f>N(S113)*IFERROR(VLOOKUP($C113,Assumptions!$A$4:$F$7,3,FALSE),0)*Assumptions!$B$11</f>
        <v/>
      </c>
      <c r="Z113" s="3">
        <f>N(N113)*IFERROR(VLOOKUP($C113,Assumptions!$A$4:$F$7,4,FALSE),0)</f>
        <v/>
      </c>
      <c r="AA113" s="3">
        <f>N(T113)*IFERROR(VLOOKUP($C113,Assumptions!$A$4:$F$7,5,FALSE),0)</f>
        <v/>
      </c>
      <c r="AB113" s="3">
        <f>N(U113)</f>
        <v/>
      </c>
      <c r="AC113" s="3">
        <f>SUM(W113:AB113)</f>
        <v/>
      </c>
      <c r="AD113" s="3">
        <f>N(AC113)*N(M113)/90</f>
        <v/>
      </c>
      <c r="AE113" s="3">
        <f>IFERROR(AD113-VLOOKUP($C113,Assumptions!$A$29:$C$32,3,FALSE),"")</f>
        <v/>
      </c>
      <c r="AF113" s="3">
        <f>IFERROR(AE113/F113,"")</f>
        <v/>
      </c>
      <c r="AG113">
        <f>IF(AND($E113=TRUE,$C113="GKP"),AD113,"")</f>
        <v/>
      </c>
      <c r="AH113">
        <f>IF(AND($E113=TRUE,$C113="DEF"),AD113,"")</f>
        <v/>
      </c>
      <c r="AI113">
        <f>IF(AND($E113=TRUE,$C113="MID"),AD113,"")</f>
        <v/>
      </c>
      <c r="AJ113">
        <f>IF(AND($E113=TRUE,$C113="FWD"),AD113,"")</f>
        <v/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b">
        <v>1</v>
      </c>
      <c r="F114" s="2" t="n">
        <v>6</v>
      </c>
      <c r="G114" t="inlineStr">
        <is>
          <t>a</t>
        </is>
      </c>
      <c r="I114" s="2" t="n">
        <v>1896</v>
      </c>
      <c r="J114" t="n">
        <v>108</v>
      </c>
      <c r="K114" s="3" t="n">
        <v>2371</v>
      </c>
      <c r="L114" t="inlineStr">
        <is>
          <t>flat</t>
        </is>
      </c>
      <c r="M114" s="4" t="n">
        <v>1896</v>
      </c>
      <c r="N114" s="4" t="n">
        <v>0.21</v>
      </c>
      <c r="O114" s="3" t="n">
        <v>0.3409</v>
      </c>
      <c r="P114" t="inlineStr">
        <is>
          <t>adjusted xGOT</t>
        </is>
      </c>
      <c r="Q114" s="3" t="n">
        <v>1.09</v>
      </c>
      <c r="R114" s="3" t="n">
        <v>6.6</v>
      </c>
      <c r="S114" s="3" t="n">
        <v>0.1052</v>
      </c>
      <c r="T114" s="3" t="n">
        <v>0</v>
      </c>
      <c r="U114" s="3" t="n">
        <v>0.5696</v>
      </c>
      <c r="V114" s="3" t="n">
        <v>2.563</v>
      </c>
      <c r="W114" s="3">
        <f>IF(V114="",IFERROR(VLOOKUP($C114,Assumptions!$A$4:$F$7,6,FALSE),0),V114)</f>
        <v/>
      </c>
      <c r="X114" s="3">
        <f>N(O114)*IFERROR(VLOOKUP($C114,Assumptions!$A$4:$F$7,2,FALSE),0)</f>
        <v/>
      </c>
      <c r="Y114" s="3">
        <f>N(S114)*IFERROR(VLOOKUP($C114,Assumptions!$A$4:$F$7,3,FALSE),0)*Assumptions!$B$11</f>
        <v/>
      </c>
      <c r="Z114" s="3">
        <f>N(N114)*IFERROR(VLOOKUP($C114,Assumptions!$A$4:$F$7,4,FALSE),0)</f>
        <v/>
      </c>
      <c r="AA114" s="3">
        <f>N(T114)*IFERROR(VLOOKUP($C114,Assumptions!$A$4:$F$7,5,FALSE),0)</f>
        <v/>
      </c>
      <c r="AB114" s="3">
        <f>N(U114)</f>
        <v/>
      </c>
      <c r="AC114" s="3">
        <f>SUM(W114:AB114)</f>
        <v/>
      </c>
      <c r="AD114" s="3">
        <f>N(AC114)*N(M114)/90</f>
        <v/>
      </c>
      <c r="AE114" s="3">
        <f>IFERROR(AD114-VLOOKUP($C114,Assumptions!$A$29:$C$32,3,FALSE),"")</f>
        <v/>
      </c>
      <c r="AF114" s="3">
        <f>IFERROR(AE114/F114,"")</f>
        <v/>
      </c>
      <c r="AG114">
        <f>IF(AND($E114=TRUE,$C114="GKP"),AD114,"")</f>
        <v/>
      </c>
      <c r="AH114">
        <f>IF(AND($E114=TRUE,$C114="DEF"),AD114,"")</f>
        <v/>
      </c>
      <c r="AI114">
        <f>IF(AND($E114=TRUE,$C114="MID"),AD114,"")</f>
        <v/>
      </c>
      <c r="AJ114">
        <f>IF(AND($E114=TRUE,$C114="FWD"),AD114,"")</f>
        <v/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b">
        <v>1</v>
      </c>
      <c r="F115" s="2" t="n">
        <v>5.5</v>
      </c>
      <c r="G115" t="inlineStr">
        <is>
          <t>a</t>
        </is>
      </c>
      <c r="I115" s="2" t="n">
        <v>2829</v>
      </c>
      <c r="J115" t="n">
        <v>107</v>
      </c>
      <c r="K115" s="3" t="n">
        <v>3067</v>
      </c>
      <c r="L115" t="inlineStr">
        <is>
          <t>ramp-up (injury / late WC return)</t>
        </is>
      </c>
      <c r="M115" s="4" t="n">
        <v>2829</v>
      </c>
      <c r="N115" s="4" t="n">
        <v>0.237</v>
      </c>
      <c r="O115" s="3" t="n">
        <v>0.0395</v>
      </c>
      <c r="P115" t="inlineStr">
        <is>
          <t>adjusted xGOT</t>
        </is>
      </c>
      <c r="Q115" s="3" t="n">
        <v>0.962</v>
      </c>
      <c r="R115" s="3" t="n">
        <v>6.4</v>
      </c>
      <c r="S115" s="3" t="n">
        <v>0.0562</v>
      </c>
      <c r="T115" s="3" t="n">
        <v>0.469</v>
      </c>
      <c r="U115" s="3" t="n">
        <v>0.1909</v>
      </c>
      <c r="V115" s="3" t="n">
        <v>2.1</v>
      </c>
      <c r="W115" s="3">
        <f>IF(V115="",IFERROR(VLOOKUP($C115,Assumptions!$A$4:$F$7,6,FALSE),0),V115)</f>
        <v/>
      </c>
      <c r="X115" s="3">
        <f>N(O115)*IFERROR(VLOOKUP($C115,Assumptions!$A$4:$F$7,2,FALSE),0)</f>
        <v/>
      </c>
      <c r="Y115" s="3">
        <f>N(S115)*IFERROR(VLOOKUP($C115,Assumptions!$A$4:$F$7,3,FALSE),0)*Assumptions!$B$11</f>
        <v/>
      </c>
      <c r="Z115" s="3">
        <f>N(N115)*IFERROR(VLOOKUP($C115,Assumptions!$A$4:$F$7,4,FALSE),0)</f>
        <v/>
      </c>
      <c r="AA115" s="3">
        <f>N(T115)*IFERROR(VLOOKUP($C115,Assumptions!$A$4:$F$7,5,FALSE),0)</f>
        <v/>
      </c>
      <c r="AB115" s="3">
        <f>N(U115)</f>
        <v/>
      </c>
      <c r="AC115" s="3">
        <f>SUM(W115:AB115)</f>
        <v/>
      </c>
      <c r="AD115" s="3">
        <f>N(AC115)*N(M115)/90</f>
        <v/>
      </c>
      <c r="AE115" s="3">
        <f>IFERROR(AD115-VLOOKUP($C115,Assumptions!$A$29:$C$32,3,FALSE),"")</f>
        <v/>
      </c>
      <c r="AF115" s="3">
        <f>IFERROR(AE115/F115,"")</f>
        <v/>
      </c>
      <c r="AG115">
        <f>IF(AND($E115=TRUE,$C115="GKP"),AD115,"")</f>
        <v/>
      </c>
      <c r="AH115">
        <f>IF(AND($E115=TRUE,$C115="DEF"),AD115,"")</f>
        <v/>
      </c>
      <c r="AI115">
        <f>IF(AND($E115=TRUE,$C115="MID"),AD115,"")</f>
        <v/>
      </c>
      <c r="AJ115">
        <f>IF(AND($E115=TRUE,$C115="FWD"),AD115,"")</f>
        <v/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b">
        <v>1</v>
      </c>
      <c r="F116" s="2" t="n">
        <v>6</v>
      </c>
      <c r="G116" t="inlineStr">
        <is>
          <t>a</t>
        </is>
      </c>
      <c r="I116" s="2" t="n">
        <v>1951</v>
      </c>
      <c r="J116" t="n">
        <v>106</v>
      </c>
      <c r="K116" s="3" t="n">
        <v>2308</v>
      </c>
      <c r="L116" t="inlineStr">
        <is>
          <t>flat</t>
        </is>
      </c>
      <c r="M116" s="4" t="n">
        <v>1951</v>
      </c>
      <c r="N116" s="4" t="n">
        <v>0.21</v>
      </c>
      <c r="O116" s="3" t="n">
        <v>0.3586</v>
      </c>
      <c r="P116" t="inlineStr">
        <is>
          <t>adjusted xGOT</t>
        </is>
      </c>
      <c r="Q116" s="3" t="n">
        <v>1.136</v>
      </c>
      <c r="R116" s="3" t="n">
        <v>26.1</v>
      </c>
      <c r="S116" s="3" t="n">
        <v>0.1344</v>
      </c>
      <c r="T116" s="3" t="n">
        <v>0</v>
      </c>
      <c r="U116" s="3" t="n">
        <v>0.4613</v>
      </c>
      <c r="V116" s="3" t="n">
        <v>2.537</v>
      </c>
      <c r="W116" s="3">
        <f>IF(V116="",IFERROR(VLOOKUP($C116,Assumptions!$A$4:$F$7,6,FALSE),0),V116)</f>
        <v/>
      </c>
      <c r="X116" s="3">
        <f>N(O116)*IFERROR(VLOOKUP($C116,Assumptions!$A$4:$F$7,2,FALSE),0)</f>
        <v/>
      </c>
      <c r="Y116" s="3">
        <f>N(S116)*IFERROR(VLOOKUP($C116,Assumptions!$A$4:$F$7,3,FALSE),0)*Assumptions!$B$11</f>
        <v/>
      </c>
      <c r="Z116" s="3">
        <f>N(N116)*IFERROR(VLOOKUP($C116,Assumptions!$A$4:$F$7,4,FALSE),0)</f>
        <v/>
      </c>
      <c r="AA116" s="3">
        <f>N(T116)*IFERROR(VLOOKUP($C116,Assumptions!$A$4:$F$7,5,FALSE),0)</f>
        <v/>
      </c>
      <c r="AB116" s="3">
        <f>N(U116)</f>
        <v/>
      </c>
      <c r="AC116" s="3">
        <f>SUM(W116:AB116)</f>
        <v/>
      </c>
      <c r="AD116" s="3">
        <f>N(AC116)*N(M116)/90</f>
        <v/>
      </c>
      <c r="AE116" s="3">
        <f>IFERROR(AD116-VLOOKUP($C116,Assumptions!$A$29:$C$32,3,FALSE),"")</f>
        <v/>
      </c>
      <c r="AF116" s="3">
        <f>IFERROR(AE116/F116,"")</f>
        <v/>
      </c>
      <c r="AG116">
        <f>IF(AND($E116=TRUE,$C116="GKP"),AD116,"")</f>
        <v/>
      </c>
      <c r="AH116">
        <f>IF(AND($E116=TRUE,$C116="DEF"),AD116,"")</f>
        <v/>
      </c>
      <c r="AI116">
        <f>IF(AND($E116=TRUE,$C116="MID"),AD116,"")</f>
        <v/>
      </c>
      <c r="AJ116">
        <f>IF(AND($E116=TRUE,$C116="FWD"),AD116,"")</f>
        <v/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b">
        <v>1</v>
      </c>
      <c r="F117" s="2" t="n">
        <v>5</v>
      </c>
      <c r="G117" t="inlineStr">
        <is>
          <t>a</t>
        </is>
      </c>
      <c r="I117" s="2" t="n">
        <v>2667</v>
      </c>
      <c r="J117" t="n">
        <v>105</v>
      </c>
      <c r="K117" s="3" t="n">
        <v>3385</v>
      </c>
      <c r="L117" t="inlineStr">
        <is>
          <t>flat</t>
        </is>
      </c>
      <c r="M117" s="4" t="n">
        <v>2667</v>
      </c>
      <c r="N117" s="4" t="n">
        <v>0.237</v>
      </c>
      <c r="O117" s="3" t="n">
        <v>0</v>
      </c>
      <c r="P117" t="inlineStr">
        <is>
          <t>blended xG</t>
        </is>
      </c>
      <c r="Q117" s="3" t="n">
        <v>1</v>
      </c>
      <c r="R117" s="3" t="n">
        <v>0</v>
      </c>
      <c r="S117" s="3" t="n">
        <v>0.001</v>
      </c>
      <c r="T117" s="3" t="n">
        <v>0</v>
      </c>
      <c r="U117" s="3" t="n">
        <v>0.135</v>
      </c>
      <c r="V117" s="3" t="n">
        <v>2.025</v>
      </c>
      <c r="W117" s="3">
        <f>IF(V117="",IFERROR(VLOOKUP($C117,Assumptions!$A$4:$F$7,6,FALSE),0),V117)</f>
        <v/>
      </c>
      <c r="X117" s="3">
        <f>N(O117)*IFERROR(VLOOKUP($C117,Assumptions!$A$4:$F$7,2,FALSE),0)</f>
        <v/>
      </c>
      <c r="Y117" s="3">
        <f>N(S117)*IFERROR(VLOOKUP($C117,Assumptions!$A$4:$F$7,3,FALSE),0)*Assumptions!$B$11</f>
        <v/>
      </c>
      <c r="Z117" s="3">
        <f>N(N117)*IFERROR(VLOOKUP($C117,Assumptions!$A$4:$F$7,4,FALSE),0)</f>
        <v/>
      </c>
      <c r="AA117" s="3">
        <f>N(T117)*IFERROR(VLOOKUP($C117,Assumptions!$A$4:$F$7,5,FALSE),0)</f>
        <v/>
      </c>
      <c r="AB117" s="3">
        <f>N(U117)</f>
        <v/>
      </c>
      <c r="AC117" s="3">
        <f>SUM(W117:AB117)</f>
        <v/>
      </c>
      <c r="AD117" s="3">
        <f>N(AC117)*N(M117)/90</f>
        <v/>
      </c>
      <c r="AE117" s="3">
        <f>IFERROR(AD117-VLOOKUP($C117,Assumptions!$A$29:$C$32,3,FALSE),"")</f>
        <v/>
      </c>
      <c r="AF117" s="3">
        <f>IFERROR(AE117/F117,"")</f>
        <v/>
      </c>
      <c r="AG117">
        <f>IF(AND($E117=TRUE,$C117="GKP"),AD117,"")</f>
        <v/>
      </c>
      <c r="AH117">
        <f>IF(AND($E117=TRUE,$C117="DEF"),AD117,"")</f>
        <v/>
      </c>
      <c r="AI117">
        <f>IF(AND($E117=TRUE,$C117="MID"),AD117,"")</f>
        <v/>
      </c>
      <c r="AJ117">
        <f>IF(AND($E117=TRUE,$C117="FWD"),AD117,"")</f>
        <v/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b">
        <v>1</v>
      </c>
      <c r="F118" s="2" t="n">
        <v>5.5</v>
      </c>
      <c r="G118" t="inlineStr">
        <is>
          <t>a</t>
        </is>
      </c>
      <c r="I118" s="2" t="n">
        <v>1551</v>
      </c>
      <c r="J118" t="n">
        <v>104</v>
      </c>
      <c r="K118" s="3" t="n">
        <v>858</v>
      </c>
      <c r="L118" t="inlineStr">
        <is>
          <t>flat</t>
        </is>
      </c>
      <c r="M118" s="4" t="n">
        <v>1551</v>
      </c>
      <c r="N118" s="4" t="n">
        <v>0.29</v>
      </c>
      <c r="O118" s="3" t="n">
        <v>0.5123</v>
      </c>
      <c r="P118" t="inlineStr">
        <is>
          <t>adjusted xGOT</t>
        </is>
      </c>
      <c r="Q118" s="3" t="n">
        <v>0.992</v>
      </c>
      <c r="R118" s="3" t="n">
        <v>23.2</v>
      </c>
      <c r="S118" s="3" t="n">
        <v>0.0358</v>
      </c>
      <c r="T118" s="3" t="n">
        <v>0</v>
      </c>
      <c r="U118" s="3" t="n">
        <v>0.9284</v>
      </c>
      <c r="V118" s="3" t="n">
        <v>3.075</v>
      </c>
      <c r="W118" s="3">
        <f>IF(V118="",IFERROR(VLOOKUP($C118,Assumptions!$A$4:$F$7,6,FALSE),0),V118)</f>
        <v/>
      </c>
      <c r="X118" s="3">
        <f>N(O118)*IFERROR(VLOOKUP($C118,Assumptions!$A$4:$F$7,2,FALSE),0)</f>
        <v/>
      </c>
      <c r="Y118" s="3">
        <f>N(S118)*IFERROR(VLOOKUP($C118,Assumptions!$A$4:$F$7,3,FALSE),0)*Assumptions!$B$11</f>
        <v/>
      </c>
      <c r="Z118" s="3">
        <f>N(N118)*IFERROR(VLOOKUP($C118,Assumptions!$A$4:$F$7,4,FALSE),0)</f>
        <v/>
      </c>
      <c r="AA118" s="3">
        <f>N(T118)*IFERROR(VLOOKUP($C118,Assumptions!$A$4:$F$7,5,FALSE),0)</f>
        <v/>
      </c>
      <c r="AB118" s="3">
        <f>N(U118)</f>
        <v/>
      </c>
      <c r="AC118" s="3">
        <f>SUM(W118:AB118)</f>
        <v/>
      </c>
      <c r="AD118" s="3">
        <f>N(AC118)*N(M118)/90</f>
        <v/>
      </c>
      <c r="AE118" s="3">
        <f>IFERROR(AD118-VLOOKUP($C118,Assumptions!$A$29:$C$32,3,FALSE),"")</f>
        <v/>
      </c>
      <c r="AF118" s="3">
        <f>IFERROR(AE118/F118,"")</f>
        <v/>
      </c>
      <c r="AG118">
        <f>IF(AND($E118=TRUE,$C118="GKP"),AD118,"")</f>
        <v/>
      </c>
      <c r="AH118">
        <f>IF(AND($E118=TRUE,$C118="DEF"),AD118,"")</f>
        <v/>
      </c>
      <c r="AI118">
        <f>IF(AND($E118=TRUE,$C118="MID"),AD118,"")</f>
        <v/>
      </c>
      <c r="AJ118">
        <f>IF(AND($E118=TRUE,$C118="FWD"),AD118,"")</f>
        <v/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b">
        <v>1</v>
      </c>
      <c r="F119" s="2" t="n">
        <v>5</v>
      </c>
      <c r="G119" t="inlineStr">
        <is>
          <t>a</t>
        </is>
      </c>
      <c r="I119" s="2" t="n">
        <v>2652</v>
      </c>
      <c r="J119" t="n">
        <v>104</v>
      </c>
      <c r="K119" s="3" t="n">
        <v>2987</v>
      </c>
      <c r="L119" t="inlineStr">
        <is>
          <t>flat</t>
        </is>
      </c>
      <c r="M119" s="4" t="n">
        <v>2652</v>
      </c>
      <c r="N119" s="4" t="n">
        <v>0.263</v>
      </c>
      <c r="O119" s="3" t="n">
        <v>0.0403</v>
      </c>
      <c r="P119" t="inlineStr">
        <is>
          <t>adjusted xGOT</t>
        </is>
      </c>
      <c r="Q119" s="3" t="n">
        <v>0.974</v>
      </c>
      <c r="R119" s="3" t="n">
        <v>2.8</v>
      </c>
      <c r="S119" s="3" t="n">
        <v>0.0449</v>
      </c>
      <c r="T119" s="3" t="n">
        <v>0.367</v>
      </c>
      <c r="U119" s="3" t="n">
        <v>0.0339</v>
      </c>
      <c r="V119" s="3" t="n">
        <v>2.24</v>
      </c>
      <c r="W119" s="3">
        <f>IF(V119="",IFERROR(VLOOKUP($C119,Assumptions!$A$4:$F$7,6,FALSE),0),V119)</f>
        <v/>
      </c>
      <c r="X119" s="3">
        <f>N(O119)*IFERROR(VLOOKUP($C119,Assumptions!$A$4:$F$7,2,FALSE),0)</f>
        <v/>
      </c>
      <c r="Y119" s="3">
        <f>N(S119)*IFERROR(VLOOKUP($C119,Assumptions!$A$4:$F$7,3,FALSE),0)*Assumptions!$B$11</f>
        <v/>
      </c>
      <c r="Z119" s="3">
        <f>N(N119)*IFERROR(VLOOKUP($C119,Assumptions!$A$4:$F$7,4,FALSE),0)</f>
        <v/>
      </c>
      <c r="AA119" s="3">
        <f>N(T119)*IFERROR(VLOOKUP($C119,Assumptions!$A$4:$F$7,5,FALSE),0)</f>
        <v/>
      </c>
      <c r="AB119" s="3">
        <f>N(U119)</f>
        <v/>
      </c>
      <c r="AC119" s="3">
        <f>SUM(W119:AB119)</f>
        <v/>
      </c>
      <c r="AD119" s="3">
        <f>N(AC119)*N(M119)/90</f>
        <v/>
      </c>
      <c r="AE119" s="3">
        <f>IFERROR(AD119-VLOOKUP($C119,Assumptions!$A$29:$C$32,3,FALSE),"")</f>
        <v/>
      </c>
      <c r="AF119" s="3">
        <f>IFERROR(AE119/F119,"")</f>
        <v/>
      </c>
      <c r="AG119">
        <f>IF(AND($E119=TRUE,$C119="GKP"),AD119,"")</f>
        <v/>
      </c>
      <c r="AH119">
        <f>IF(AND($E119=TRUE,$C119="DEF"),AD119,"")</f>
        <v/>
      </c>
      <c r="AI119">
        <f>IF(AND($E119=TRUE,$C119="MID"),AD119,"")</f>
        <v/>
      </c>
      <c r="AJ119">
        <f>IF(AND($E119=TRUE,$C119="FWD"),AD119,"")</f>
        <v/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b">
        <v>1</v>
      </c>
      <c r="F120" s="2" t="n">
        <v>5.5</v>
      </c>
      <c r="G120" t="inlineStr">
        <is>
          <t>a</t>
        </is>
      </c>
      <c r="I120" s="2" t="n">
        <v>2420</v>
      </c>
      <c r="J120" t="n">
        <v>103</v>
      </c>
      <c r="K120" s="3" t="n">
        <v>3152</v>
      </c>
      <c r="L120" t="inlineStr">
        <is>
          <t>flat</t>
        </is>
      </c>
      <c r="M120" s="4" t="n">
        <v>2420</v>
      </c>
      <c r="N120" s="4" t="n">
        <v>0.237</v>
      </c>
      <c r="O120" s="3" t="n">
        <v>0.0848</v>
      </c>
      <c r="P120" t="inlineStr">
        <is>
          <t>adjusted xGOT</t>
        </is>
      </c>
      <c r="Q120" s="3" t="n">
        <v>1.194</v>
      </c>
      <c r="R120" s="3" t="n">
        <v>14</v>
      </c>
      <c r="S120" s="3" t="n">
        <v>0.1549</v>
      </c>
      <c r="T120" s="3" t="n">
        <v>0.034</v>
      </c>
      <c r="U120" s="3" t="n">
        <v>0.5207000000000001</v>
      </c>
      <c r="V120" s="3" t="n">
        <v>2.12</v>
      </c>
      <c r="W120" s="3">
        <f>IF(V120="",IFERROR(VLOOKUP($C120,Assumptions!$A$4:$F$7,6,FALSE),0),V120)</f>
        <v/>
      </c>
      <c r="X120" s="3">
        <f>N(O120)*IFERROR(VLOOKUP($C120,Assumptions!$A$4:$F$7,2,FALSE),0)</f>
        <v/>
      </c>
      <c r="Y120" s="3">
        <f>N(S120)*IFERROR(VLOOKUP($C120,Assumptions!$A$4:$F$7,3,FALSE),0)*Assumptions!$B$11</f>
        <v/>
      </c>
      <c r="Z120" s="3">
        <f>N(N120)*IFERROR(VLOOKUP($C120,Assumptions!$A$4:$F$7,4,FALSE),0)</f>
        <v/>
      </c>
      <c r="AA120" s="3">
        <f>N(T120)*IFERROR(VLOOKUP($C120,Assumptions!$A$4:$F$7,5,FALSE),0)</f>
        <v/>
      </c>
      <c r="AB120" s="3">
        <f>N(U120)</f>
        <v/>
      </c>
      <c r="AC120" s="3">
        <f>SUM(W120:AB120)</f>
        <v/>
      </c>
      <c r="AD120" s="3">
        <f>N(AC120)*N(M120)/90</f>
        <v/>
      </c>
      <c r="AE120" s="3">
        <f>IFERROR(AD120-VLOOKUP($C120,Assumptions!$A$29:$C$32,3,FALSE),"")</f>
        <v/>
      </c>
      <c r="AF120" s="3">
        <f>IFERROR(AE120/F120,"")</f>
        <v/>
      </c>
      <c r="AG120">
        <f>IF(AND($E120=TRUE,$C120="GKP"),AD120,"")</f>
        <v/>
      </c>
      <c r="AH120">
        <f>IF(AND($E120=TRUE,$C120="DEF"),AD120,"")</f>
        <v/>
      </c>
      <c r="AI120">
        <f>IF(AND($E120=TRUE,$C120="MID"),AD120,"")</f>
        <v/>
      </c>
      <c r="AJ120">
        <f>IF(AND($E120=TRUE,$C120="FWD"),AD120,"")</f>
        <v/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b">
        <v>1</v>
      </c>
      <c r="F121" s="2" t="n">
        <v>4.5</v>
      </c>
      <c r="G121" t="inlineStr">
        <is>
          <t>a</t>
        </is>
      </c>
      <c r="I121" s="2" t="n">
        <v>2532</v>
      </c>
      <c r="J121" t="n">
        <v>103</v>
      </c>
      <c r="K121" s="3" t="n">
        <v>3141</v>
      </c>
      <c r="L121" t="inlineStr">
        <is>
          <t>flat</t>
        </is>
      </c>
      <c r="M121" s="4" t="n">
        <v>2532</v>
      </c>
      <c r="N121" s="4" t="n">
        <v>0.237</v>
      </c>
      <c r="O121" s="3" t="n">
        <v>0.0564</v>
      </c>
      <c r="P121" t="inlineStr">
        <is>
          <t>adjusted xGOT</t>
        </is>
      </c>
      <c r="Q121" s="3" t="n">
        <v>0.928</v>
      </c>
      <c r="R121" s="3" t="n">
        <v>3.1</v>
      </c>
      <c r="S121" s="3" t="n">
        <v>0.0139</v>
      </c>
      <c r="T121" s="3" t="n">
        <v>0.286</v>
      </c>
      <c r="U121" s="3" t="n">
        <v>0.3199</v>
      </c>
      <c r="V121" s="3" t="n">
        <v>2.062</v>
      </c>
      <c r="W121" s="3">
        <f>IF(V121="",IFERROR(VLOOKUP($C121,Assumptions!$A$4:$F$7,6,FALSE),0),V121)</f>
        <v/>
      </c>
      <c r="X121" s="3">
        <f>N(O121)*IFERROR(VLOOKUP($C121,Assumptions!$A$4:$F$7,2,FALSE),0)</f>
        <v/>
      </c>
      <c r="Y121" s="3">
        <f>N(S121)*IFERROR(VLOOKUP($C121,Assumptions!$A$4:$F$7,3,FALSE),0)*Assumptions!$B$11</f>
        <v/>
      </c>
      <c r="Z121" s="3">
        <f>N(N121)*IFERROR(VLOOKUP($C121,Assumptions!$A$4:$F$7,4,FALSE),0)</f>
        <v/>
      </c>
      <c r="AA121" s="3">
        <f>N(T121)*IFERROR(VLOOKUP($C121,Assumptions!$A$4:$F$7,5,FALSE),0)</f>
        <v/>
      </c>
      <c r="AB121" s="3">
        <f>N(U121)</f>
        <v/>
      </c>
      <c r="AC121" s="3">
        <f>SUM(W121:AB121)</f>
        <v/>
      </c>
      <c r="AD121" s="3">
        <f>N(AC121)*N(M121)/90</f>
        <v/>
      </c>
      <c r="AE121" s="3">
        <f>IFERROR(AD121-VLOOKUP($C121,Assumptions!$A$29:$C$32,3,FALSE),"")</f>
        <v/>
      </c>
      <c r="AF121" s="3">
        <f>IFERROR(AE121/F121,"")</f>
        <v/>
      </c>
      <c r="AG121">
        <f>IF(AND($E121=TRUE,$C121="GKP"),AD121,"")</f>
        <v/>
      </c>
      <c r="AH121">
        <f>IF(AND($E121=TRUE,$C121="DEF"),AD121,"")</f>
        <v/>
      </c>
      <c r="AI121">
        <f>IF(AND($E121=TRUE,$C121="MID"),AD121,"")</f>
        <v/>
      </c>
      <c r="AJ121">
        <f>IF(AND($E121=TRUE,$C121="FWD"),AD121,"")</f>
        <v/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b">
        <v>1</v>
      </c>
      <c r="F122" s="2" t="n">
        <v>5.5</v>
      </c>
      <c r="G122" t="inlineStr">
        <is>
          <t>a</t>
        </is>
      </c>
      <c r="I122" s="2" t="n">
        <v>2136</v>
      </c>
      <c r="J122" t="n">
        <v>103</v>
      </c>
      <c r="K122" s="3" t="n">
        <v>2844</v>
      </c>
      <c r="L122" t="inlineStr">
        <is>
          <t>flat</t>
        </is>
      </c>
      <c r="M122" s="4" t="n">
        <v>2136</v>
      </c>
      <c r="N122" s="4" t="n">
        <v>0.237</v>
      </c>
      <c r="O122" s="3" t="n">
        <v>0.1222</v>
      </c>
      <c r="P122" t="inlineStr">
        <is>
          <t>adjusted xGOT</t>
        </is>
      </c>
      <c r="Q122" s="3" t="n">
        <v>0.967</v>
      </c>
      <c r="R122" s="3" t="n">
        <v>13.5</v>
      </c>
      <c r="S122" s="3" t="n">
        <v>0.189</v>
      </c>
      <c r="T122" s="3" t="n">
        <v>0.036</v>
      </c>
      <c r="U122" s="3" t="n">
        <v>0.2949</v>
      </c>
      <c r="V122" s="3" t="n">
        <v>2.317</v>
      </c>
      <c r="W122" s="3">
        <f>IF(V122="",IFERROR(VLOOKUP($C122,Assumptions!$A$4:$F$7,6,FALSE),0),V122)</f>
        <v/>
      </c>
      <c r="X122" s="3">
        <f>N(O122)*IFERROR(VLOOKUP($C122,Assumptions!$A$4:$F$7,2,FALSE),0)</f>
        <v/>
      </c>
      <c r="Y122" s="3">
        <f>N(S122)*IFERROR(VLOOKUP($C122,Assumptions!$A$4:$F$7,3,FALSE),0)*Assumptions!$B$11</f>
        <v/>
      </c>
      <c r="Z122" s="3">
        <f>N(N122)*IFERROR(VLOOKUP($C122,Assumptions!$A$4:$F$7,4,FALSE),0)</f>
        <v/>
      </c>
      <c r="AA122" s="3">
        <f>N(T122)*IFERROR(VLOOKUP($C122,Assumptions!$A$4:$F$7,5,FALSE),0)</f>
        <v/>
      </c>
      <c r="AB122" s="3">
        <f>N(U122)</f>
        <v/>
      </c>
      <c r="AC122" s="3">
        <f>SUM(W122:AB122)</f>
        <v/>
      </c>
      <c r="AD122" s="3">
        <f>N(AC122)*N(M122)/90</f>
        <v/>
      </c>
      <c r="AE122" s="3">
        <f>IFERROR(AD122-VLOOKUP($C122,Assumptions!$A$29:$C$32,3,FALSE),"")</f>
        <v/>
      </c>
      <c r="AF122" s="3">
        <f>IFERROR(AE122/F122,"")</f>
        <v/>
      </c>
      <c r="AG122">
        <f>IF(AND($E122=TRUE,$C122="GKP"),AD122,"")</f>
        <v/>
      </c>
      <c r="AH122">
        <f>IF(AND($E122=TRUE,$C122="DEF"),AD122,"")</f>
        <v/>
      </c>
      <c r="AI122">
        <f>IF(AND($E122=TRUE,$C122="MID"),AD122,"")</f>
        <v/>
      </c>
      <c r="AJ122">
        <f>IF(AND($E122=TRUE,$C122="FWD"),AD122,"")</f>
        <v/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b">
        <v>1</v>
      </c>
      <c r="F123" s="2" t="n">
        <v>6</v>
      </c>
      <c r="G123" t="inlineStr">
        <is>
          <t>a</t>
        </is>
      </c>
      <c r="I123" s="2" t="n">
        <v>1753</v>
      </c>
      <c r="J123" t="n">
        <v>102</v>
      </c>
      <c r="K123" s="3" t="n">
        <v>2776</v>
      </c>
      <c r="L123" t="inlineStr">
        <is>
          <t>flat</t>
        </is>
      </c>
      <c r="M123" s="4" t="n">
        <v>1753</v>
      </c>
      <c r="N123" s="4" t="n">
        <v>0.237</v>
      </c>
      <c r="O123" s="3" t="n">
        <v>0.157</v>
      </c>
      <c r="P123" t="inlineStr">
        <is>
          <t>adjusted xGOT</t>
        </is>
      </c>
      <c r="Q123" s="3" t="n">
        <v>0.905</v>
      </c>
      <c r="R123" s="3" t="n">
        <v>10.4</v>
      </c>
      <c r="S123" s="3" t="n">
        <v>0.1503</v>
      </c>
      <c r="T123" s="3" t="n">
        <v>0.19</v>
      </c>
      <c r="U123" s="3" t="n">
        <v>0.5134</v>
      </c>
      <c r="V123" s="3" t="n">
        <v>2.618</v>
      </c>
      <c r="W123" s="3">
        <f>IF(V123="",IFERROR(VLOOKUP($C123,Assumptions!$A$4:$F$7,6,FALSE),0),V123)</f>
        <v/>
      </c>
      <c r="X123" s="3">
        <f>N(O123)*IFERROR(VLOOKUP($C123,Assumptions!$A$4:$F$7,2,FALSE),0)</f>
        <v/>
      </c>
      <c r="Y123" s="3">
        <f>N(S123)*IFERROR(VLOOKUP($C123,Assumptions!$A$4:$F$7,3,FALSE),0)*Assumptions!$B$11</f>
        <v/>
      </c>
      <c r="Z123" s="3">
        <f>N(N123)*IFERROR(VLOOKUP($C123,Assumptions!$A$4:$F$7,4,FALSE),0)</f>
        <v/>
      </c>
      <c r="AA123" s="3">
        <f>N(T123)*IFERROR(VLOOKUP($C123,Assumptions!$A$4:$F$7,5,FALSE),0)</f>
        <v/>
      </c>
      <c r="AB123" s="3">
        <f>N(U123)</f>
        <v/>
      </c>
      <c r="AC123" s="3">
        <f>SUM(W123:AB123)</f>
        <v/>
      </c>
      <c r="AD123" s="3">
        <f>N(AC123)*N(M123)/90</f>
        <v/>
      </c>
      <c r="AE123" s="3">
        <f>IFERROR(AD123-VLOOKUP($C123,Assumptions!$A$29:$C$32,3,FALSE),"")</f>
        <v/>
      </c>
      <c r="AF123" s="3">
        <f>IFERROR(AE123/F123,"")</f>
        <v/>
      </c>
      <c r="AG123">
        <f>IF(AND($E123=TRUE,$C123="GKP"),AD123,"")</f>
        <v/>
      </c>
      <c r="AH123">
        <f>IF(AND($E123=TRUE,$C123="DEF"),AD123,"")</f>
        <v/>
      </c>
      <c r="AI123">
        <f>IF(AND($E123=TRUE,$C123="MID"),AD123,"")</f>
        <v/>
      </c>
      <c r="AJ123">
        <f>IF(AND($E123=TRUE,$C123="FWD"),AD123,"")</f>
        <v/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b">
        <v>1</v>
      </c>
      <c r="F124" s="2" t="n">
        <v>4.5</v>
      </c>
      <c r="G124" t="inlineStr">
        <is>
          <t>a</t>
        </is>
      </c>
      <c r="I124" s="2" t="n">
        <v>3035</v>
      </c>
      <c r="J124" t="n">
        <v>100</v>
      </c>
      <c r="K124" s="3" t="n">
        <v>3340</v>
      </c>
      <c r="L124" t="inlineStr">
        <is>
          <t>flat</t>
        </is>
      </c>
      <c r="M124" s="4" t="n">
        <v>3035</v>
      </c>
      <c r="N124" s="4" t="n">
        <v>0.237</v>
      </c>
      <c r="O124" s="3" t="n">
        <v>0.0313</v>
      </c>
      <c r="P124" t="inlineStr">
        <is>
          <t>adjusted xGOT</t>
        </is>
      </c>
      <c r="Q124" s="3" t="n">
        <v>0.831</v>
      </c>
      <c r="R124" s="3" t="n">
        <v>6.2</v>
      </c>
      <c r="S124" s="3" t="n">
        <v>0.0177</v>
      </c>
      <c r="T124" s="3" t="n">
        <v>0.08799999999999999</v>
      </c>
      <c r="U124" s="3" t="n">
        <v>0.1186</v>
      </c>
      <c r="V124" s="3" t="n">
        <v>2.016</v>
      </c>
      <c r="W124" s="3">
        <f>IF(V124="",IFERROR(VLOOKUP($C124,Assumptions!$A$4:$F$7,6,FALSE),0),V124)</f>
        <v/>
      </c>
      <c r="X124" s="3">
        <f>N(O124)*IFERROR(VLOOKUP($C124,Assumptions!$A$4:$F$7,2,FALSE),0)</f>
        <v/>
      </c>
      <c r="Y124" s="3">
        <f>N(S124)*IFERROR(VLOOKUP($C124,Assumptions!$A$4:$F$7,3,FALSE),0)*Assumptions!$B$11</f>
        <v/>
      </c>
      <c r="Z124" s="3">
        <f>N(N124)*IFERROR(VLOOKUP($C124,Assumptions!$A$4:$F$7,4,FALSE),0)</f>
        <v/>
      </c>
      <c r="AA124" s="3">
        <f>N(T124)*IFERROR(VLOOKUP($C124,Assumptions!$A$4:$F$7,5,FALSE),0)</f>
        <v/>
      </c>
      <c r="AB124" s="3">
        <f>N(U124)</f>
        <v/>
      </c>
      <c r="AC124" s="3">
        <f>SUM(W124:AB124)</f>
        <v/>
      </c>
      <c r="AD124" s="3">
        <f>N(AC124)*N(M124)/90</f>
        <v/>
      </c>
      <c r="AE124" s="3">
        <f>IFERROR(AD124-VLOOKUP($C124,Assumptions!$A$29:$C$32,3,FALSE),"")</f>
        <v/>
      </c>
      <c r="AF124" s="3">
        <f>IFERROR(AE124/F124,"")</f>
        <v/>
      </c>
      <c r="AG124">
        <f>IF(AND($E124=TRUE,$C124="GKP"),AD124,"")</f>
        <v/>
      </c>
      <c r="AH124">
        <f>IF(AND($E124=TRUE,$C124="DEF"),AD124,"")</f>
        <v/>
      </c>
      <c r="AI124">
        <f>IF(AND($E124=TRUE,$C124="MID"),AD124,"")</f>
        <v/>
      </c>
      <c r="AJ124">
        <f>IF(AND($E124=TRUE,$C124="FWD"),AD124,"")</f>
        <v/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b">
        <v>1</v>
      </c>
      <c r="F125" s="2" t="n">
        <v>4.5</v>
      </c>
      <c r="G125" t="inlineStr">
        <is>
          <t>a</t>
        </is>
      </c>
      <c r="I125" s="2" t="n">
        <v>2837</v>
      </c>
      <c r="J125" t="n">
        <v>100</v>
      </c>
      <c r="K125" s="3" t="n">
        <v>1898</v>
      </c>
      <c r="L125" t="inlineStr">
        <is>
          <t>flat</t>
        </is>
      </c>
      <c r="M125" s="4" t="n">
        <v>2837</v>
      </c>
      <c r="N125" s="4" t="n">
        <v>0.263</v>
      </c>
      <c r="O125" s="3" t="n">
        <v>0.0518</v>
      </c>
      <c r="P125" t="inlineStr">
        <is>
          <t>adjusted xGOT</t>
        </is>
      </c>
      <c r="Q125" s="3" t="n">
        <v>0.893</v>
      </c>
      <c r="R125" s="3" t="n">
        <v>7.5</v>
      </c>
      <c r="S125" s="3" t="n">
        <v>0.0175</v>
      </c>
      <c r="T125" s="3" t="n">
        <v>0.258</v>
      </c>
      <c r="U125" s="3" t="n">
        <v>0.1586</v>
      </c>
      <c r="V125" s="3" t="n">
        <v>2.03</v>
      </c>
      <c r="W125" s="3">
        <f>IF(V125="",IFERROR(VLOOKUP($C125,Assumptions!$A$4:$F$7,6,FALSE),0),V125)</f>
        <v/>
      </c>
      <c r="X125" s="3">
        <f>N(O125)*IFERROR(VLOOKUP($C125,Assumptions!$A$4:$F$7,2,FALSE),0)</f>
        <v/>
      </c>
      <c r="Y125" s="3">
        <f>N(S125)*IFERROR(VLOOKUP($C125,Assumptions!$A$4:$F$7,3,FALSE),0)*Assumptions!$B$11</f>
        <v/>
      </c>
      <c r="Z125" s="3">
        <f>N(N125)*IFERROR(VLOOKUP($C125,Assumptions!$A$4:$F$7,4,FALSE),0)</f>
        <v/>
      </c>
      <c r="AA125" s="3">
        <f>N(T125)*IFERROR(VLOOKUP($C125,Assumptions!$A$4:$F$7,5,FALSE),0)</f>
        <v/>
      </c>
      <c r="AB125" s="3">
        <f>N(U125)</f>
        <v/>
      </c>
      <c r="AC125" s="3">
        <f>SUM(W125:AB125)</f>
        <v/>
      </c>
      <c r="AD125" s="3">
        <f>N(AC125)*N(M125)/90</f>
        <v/>
      </c>
      <c r="AE125" s="3">
        <f>IFERROR(AD125-VLOOKUP($C125,Assumptions!$A$29:$C$32,3,FALSE),"")</f>
        <v/>
      </c>
      <c r="AF125" s="3">
        <f>IFERROR(AE125/F125,"")</f>
        <v/>
      </c>
      <c r="AG125">
        <f>IF(AND($E125=TRUE,$C125="GKP"),AD125,"")</f>
        <v/>
      </c>
      <c r="AH125">
        <f>IF(AND($E125=TRUE,$C125="DEF"),AD125,"")</f>
        <v/>
      </c>
      <c r="AI125">
        <f>IF(AND($E125=TRUE,$C125="MID"),AD125,"")</f>
        <v/>
      </c>
      <c r="AJ125">
        <f>IF(AND($E125=TRUE,$C125="FWD"),AD125,"")</f>
        <v/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b">
        <v>1</v>
      </c>
      <c r="F126" s="2" t="n">
        <v>5</v>
      </c>
      <c r="G126" t="inlineStr">
        <is>
          <t>a</t>
        </is>
      </c>
      <c r="I126" s="2" t="n">
        <v>1888</v>
      </c>
      <c r="J126" t="n">
        <v>99</v>
      </c>
      <c r="K126" s="3" t="n">
        <v>2046</v>
      </c>
      <c r="L126" t="inlineStr">
        <is>
          <t>flat</t>
        </is>
      </c>
      <c r="M126" s="4" t="n">
        <v>1888</v>
      </c>
      <c r="N126" s="4" t="n">
        <v>0.21</v>
      </c>
      <c r="O126" s="3" t="n">
        <v>0.0424</v>
      </c>
      <c r="P126" t="inlineStr">
        <is>
          <t>adjusted xGOT</t>
        </is>
      </c>
      <c r="Q126" s="3" t="n">
        <v>0.989</v>
      </c>
      <c r="R126" s="3" t="n">
        <v>0.9</v>
      </c>
      <c r="S126" s="3" t="n">
        <v>0.0512</v>
      </c>
      <c r="T126" s="3" t="n">
        <v>0.524</v>
      </c>
      <c r="U126" s="3" t="n">
        <v>0.143</v>
      </c>
      <c r="V126" s="3" t="n">
        <v>2.193</v>
      </c>
      <c r="W126" s="3">
        <f>IF(V126="",IFERROR(VLOOKUP($C126,Assumptions!$A$4:$F$7,6,FALSE),0),V126)</f>
        <v/>
      </c>
      <c r="X126" s="3">
        <f>N(O126)*IFERROR(VLOOKUP($C126,Assumptions!$A$4:$F$7,2,FALSE),0)</f>
        <v/>
      </c>
      <c r="Y126" s="3">
        <f>N(S126)*IFERROR(VLOOKUP($C126,Assumptions!$A$4:$F$7,3,FALSE),0)*Assumptions!$B$11</f>
        <v/>
      </c>
      <c r="Z126" s="3">
        <f>N(N126)*IFERROR(VLOOKUP($C126,Assumptions!$A$4:$F$7,4,FALSE),0)</f>
        <v/>
      </c>
      <c r="AA126" s="3">
        <f>N(T126)*IFERROR(VLOOKUP($C126,Assumptions!$A$4:$F$7,5,FALSE),0)</f>
        <v/>
      </c>
      <c r="AB126" s="3">
        <f>N(U126)</f>
        <v/>
      </c>
      <c r="AC126" s="3">
        <f>SUM(W126:AB126)</f>
        <v/>
      </c>
      <c r="AD126" s="3">
        <f>N(AC126)*N(M126)/90</f>
        <v/>
      </c>
      <c r="AE126" s="3">
        <f>IFERROR(AD126-VLOOKUP($C126,Assumptions!$A$29:$C$32,3,FALSE),"")</f>
        <v/>
      </c>
      <c r="AF126" s="3">
        <f>IFERROR(AE126/F126,"")</f>
        <v/>
      </c>
      <c r="AG126">
        <f>IF(AND($E126=TRUE,$C126="GKP"),AD126,"")</f>
        <v/>
      </c>
      <c r="AH126">
        <f>IF(AND($E126=TRUE,$C126="DEF"),AD126,"")</f>
        <v/>
      </c>
      <c r="AI126">
        <f>IF(AND($E126=TRUE,$C126="MID"),AD126,"")</f>
        <v/>
      </c>
      <c r="AJ126">
        <f>IF(AND($E126=TRUE,$C126="FWD"),AD126,"")</f>
        <v/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b">
        <v>1</v>
      </c>
      <c r="F127" s="2" t="n">
        <v>5.5</v>
      </c>
      <c r="G127" t="inlineStr">
        <is>
          <t>a</t>
        </is>
      </c>
      <c r="I127" s="2" t="n">
        <v>1921</v>
      </c>
      <c r="J127" t="n">
        <v>98</v>
      </c>
      <c r="K127" s="3" t="n">
        <v>1402</v>
      </c>
      <c r="L127" t="inlineStr">
        <is>
          <t>fade (losing his place)</t>
        </is>
      </c>
      <c r="M127" s="4" t="n">
        <v>1921</v>
      </c>
      <c r="N127" s="4" t="n">
        <v>0.263</v>
      </c>
      <c r="O127" s="3" t="n">
        <v>0.1272</v>
      </c>
      <c r="P127" t="inlineStr">
        <is>
          <t>adjusted xGOT</t>
        </is>
      </c>
      <c r="Q127" s="3" t="n">
        <v>1.005</v>
      </c>
      <c r="R127" s="3" t="n">
        <v>5.2</v>
      </c>
      <c r="S127" s="3" t="n">
        <v>0.0598</v>
      </c>
      <c r="T127" s="3" t="n">
        <v>0.25</v>
      </c>
      <c r="U127" s="3" t="n">
        <v>0.328</v>
      </c>
      <c r="V127" s="3" t="n">
        <v>2.296</v>
      </c>
      <c r="W127" s="3">
        <f>IF(V127="",IFERROR(VLOOKUP($C127,Assumptions!$A$4:$F$7,6,FALSE),0),V127)</f>
        <v/>
      </c>
      <c r="X127" s="3">
        <f>N(O127)*IFERROR(VLOOKUP($C127,Assumptions!$A$4:$F$7,2,FALSE),0)</f>
        <v/>
      </c>
      <c r="Y127" s="3">
        <f>N(S127)*IFERROR(VLOOKUP($C127,Assumptions!$A$4:$F$7,3,FALSE),0)*Assumptions!$B$11</f>
        <v/>
      </c>
      <c r="Z127" s="3">
        <f>N(N127)*IFERROR(VLOOKUP($C127,Assumptions!$A$4:$F$7,4,FALSE),0)</f>
        <v/>
      </c>
      <c r="AA127" s="3">
        <f>N(T127)*IFERROR(VLOOKUP($C127,Assumptions!$A$4:$F$7,5,FALSE),0)</f>
        <v/>
      </c>
      <c r="AB127" s="3">
        <f>N(U127)</f>
        <v/>
      </c>
      <c r="AC127" s="3">
        <f>SUM(W127:AB127)</f>
        <v/>
      </c>
      <c r="AD127" s="3">
        <f>N(AC127)*N(M127)/90</f>
        <v/>
      </c>
      <c r="AE127" s="3">
        <f>IFERROR(AD127-VLOOKUP($C127,Assumptions!$A$29:$C$32,3,FALSE),"")</f>
        <v/>
      </c>
      <c r="AF127" s="3">
        <f>IFERROR(AE127/F127,"")</f>
        <v/>
      </c>
      <c r="AG127">
        <f>IF(AND($E127=TRUE,$C127="GKP"),AD127,"")</f>
        <v/>
      </c>
      <c r="AH127">
        <f>IF(AND($E127=TRUE,$C127="DEF"),AD127,"")</f>
        <v/>
      </c>
      <c r="AI127">
        <f>IF(AND($E127=TRUE,$C127="MID"),AD127,"")</f>
        <v/>
      </c>
      <c r="AJ127">
        <f>IF(AND($E127=TRUE,$C127="FWD"),AD127,"")</f>
        <v/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b">
        <v>1</v>
      </c>
      <c r="F128" s="2" t="n">
        <v>5.5</v>
      </c>
      <c r="G128" t="inlineStr">
        <is>
          <t>a</t>
        </is>
      </c>
      <c r="I128" s="2" t="n">
        <v>2239</v>
      </c>
      <c r="J128" t="n">
        <v>98</v>
      </c>
      <c r="K128" s="3" t="n">
        <v>1573</v>
      </c>
      <c r="L128" t="inlineStr">
        <is>
          <t>flat</t>
        </is>
      </c>
      <c r="M128" s="4" t="n">
        <v>2239</v>
      </c>
      <c r="N128" s="4" t="n">
        <v>0.263</v>
      </c>
      <c r="O128" s="3" t="n">
        <v>0.0882</v>
      </c>
      <c r="P128" t="inlineStr">
        <is>
          <t>adjusted xGOT</t>
        </is>
      </c>
      <c r="Q128" s="3" t="n">
        <v>0.993</v>
      </c>
      <c r="R128" s="3" t="n">
        <v>5.5</v>
      </c>
      <c r="S128" s="3" t="n">
        <v>0.229</v>
      </c>
      <c r="T128" s="3" t="n">
        <v>0.154</v>
      </c>
      <c r="U128" s="3" t="n">
        <v>0.0402</v>
      </c>
      <c r="V128" s="3" t="n">
        <v>2.492</v>
      </c>
      <c r="W128" s="3">
        <f>IF(V128="",IFERROR(VLOOKUP($C128,Assumptions!$A$4:$F$7,6,FALSE),0),V128)</f>
        <v/>
      </c>
      <c r="X128" s="3">
        <f>N(O128)*IFERROR(VLOOKUP($C128,Assumptions!$A$4:$F$7,2,FALSE),0)</f>
        <v/>
      </c>
      <c r="Y128" s="3">
        <f>N(S128)*IFERROR(VLOOKUP($C128,Assumptions!$A$4:$F$7,3,FALSE),0)*Assumptions!$B$11</f>
        <v/>
      </c>
      <c r="Z128" s="3">
        <f>N(N128)*IFERROR(VLOOKUP($C128,Assumptions!$A$4:$F$7,4,FALSE),0)</f>
        <v/>
      </c>
      <c r="AA128" s="3">
        <f>N(T128)*IFERROR(VLOOKUP($C128,Assumptions!$A$4:$F$7,5,FALSE),0)</f>
        <v/>
      </c>
      <c r="AB128" s="3">
        <f>N(U128)</f>
        <v/>
      </c>
      <c r="AC128" s="3">
        <f>SUM(W128:AB128)</f>
        <v/>
      </c>
      <c r="AD128" s="3">
        <f>N(AC128)*N(M128)/90</f>
        <v/>
      </c>
      <c r="AE128" s="3">
        <f>IFERROR(AD128-VLOOKUP($C128,Assumptions!$A$29:$C$32,3,FALSE),"")</f>
        <v/>
      </c>
      <c r="AF128" s="3">
        <f>IFERROR(AE128/F128,"")</f>
        <v/>
      </c>
      <c r="AG128">
        <f>IF(AND($E128=TRUE,$C128="GKP"),AD128,"")</f>
        <v/>
      </c>
      <c r="AH128">
        <f>IF(AND($E128=TRUE,$C128="DEF"),AD128,"")</f>
        <v/>
      </c>
      <c r="AI128">
        <f>IF(AND($E128=TRUE,$C128="MID"),AD128,"")</f>
        <v/>
      </c>
      <c r="AJ128">
        <f>IF(AND($E128=TRUE,$C128="FWD"),AD128,"")</f>
        <v/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b">
        <v>1</v>
      </c>
      <c r="F129" s="2" t="n">
        <v>5</v>
      </c>
      <c r="G129" t="inlineStr">
        <is>
          <t>a</t>
        </is>
      </c>
      <c r="I129" s="2" t="n">
        <v>2117</v>
      </c>
      <c r="J129" t="n">
        <v>97</v>
      </c>
      <c r="K129" s="3" t="n">
        <v>2605</v>
      </c>
      <c r="L129" t="inlineStr">
        <is>
          <t>flat</t>
        </is>
      </c>
      <c r="M129" s="4" t="n">
        <v>2117</v>
      </c>
      <c r="N129" s="4" t="n">
        <v>0.263</v>
      </c>
      <c r="O129" s="3" t="n">
        <v>0.2396</v>
      </c>
      <c r="P129" t="inlineStr">
        <is>
          <t>adjusted xGOT</t>
        </is>
      </c>
      <c r="Q129" s="3" t="n">
        <v>0.903</v>
      </c>
      <c r="R129" s="3" t="n">
        <v>7.1</v>
      </c>
      <c r="S129" s="3" t="n">
        <v>0.081</v>
      </c>
      <c r="T129" s="3" t="n">
        <v>0.115</v>
      </c>
      <c r="U129" s="3" t="n">
        <v>0.3826</v>
      </c>
      <c r="V129" s="3" t="n">
        <v>2.338</v>
      </c>
      <c r="W129" s="3">
        <f>IF(V129="",IFERROR(VLOOKUP($C129,Assumptions!$A$4:$F$7,6,FALSE),0),V129)</f>
        <v/>
      </c>
      <c r="X129" s="3">
        <f>N(O129)*IFERROR(VLOOKUP($C129,Assumptions!$A$4:$F$7,2,FALSE),0)</f>
        <v/>
      </c>
      <c r="Y129" s="3">
        <f>N(S129)*IFERROR(VLOOKUP($C129,Assumptions!$A$4:$F$7,3,FALSE),0)*Assumptions!$B$11</f>
        <v/>
      </c>
      <c r="Z129" s="3">
        <f>N(N129)*IFERROR(VLOOKUP($C129,Assumptions!$A$4:$F$7,4,FALSE),0)</f>
        <v/>
      </c>
      <c r="AA129" s="3">
        <f>N(T129)*IFERROR(VLOOKUP($C129,Assumptions!$A$4:$F$7,5,FALSE),0)</f>
        <v/>
      </c>
      <c r="AB129" s="3">
        <f>N(U129)</f>
        <v/>
      </c>
      <c r="AC129" s="3">
        <f>SUM(W129:AB129)</f>
        <v/>
      </c>
      <c r="AD129" s="3">
        <f>N(AC129)*N(M129)/90</f>
        <v/>
      </c>
      <c r="AE129" s="3">
        <f>IFERROR(AD129-VLOOKUP($C129,Assumptions!$A$29:$C$32,3,FALSE),"")</f>
        <v/>
      </c>
      <c r="AF129" s="3">
        <f>IFERROR(AE129/F129,"")</f>
        <v/>
      </c>
      <c r="AG129">
        <f>IF(AND($E129=TRUE,$C129="GKP"),AD129,"")</f>
        <v/>
      </c>
      <c r="AH129">
        <f>IF(AND($E129=TRUE,$C129="DEF"),AD129,"")</f>
        <v/>
      </c>
      <c r="AI129">
        <f>IF(AND($E129=TRUE,$C129="MID"),AD129,"")</f>
        <v/>
      </c>
      <c r="AJ129">
        <f>IF(AND($E129=TRUE,$C129="FWD"),AD129,"")</f>
        <v/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b">
        <v>1</v>
      </c>
      <c r="F130" s="2" t="n">
        <v>4.5</v>
      </c>
      <c r="G130" t="inlineStr">
        <is>
          <t>u</t>
        </is>
      </c>
      <c r="H130" t="inlineStr">
        <is>
          <t>Has joined Paris Saint-Germain permanently</t>
        </is>
      </c>
      <c r="I130" s="2" t="n">
        <v>1842</v>
      </c>
      <c r="J130" t="n">
        <v>97</v>
      </c>
      <c r="K130" s="3" t="n"/>
      <c r="M130" s="4" t="n">
        <v>1842</v>
      </c>
      <c r="N130" s="4" t="n">
        <v>0.237</v>
      </c>
      <c r="O130" s="3" t="n">
        <v>0.0331</v>
      </c>
      <c r="P130" t="inlineStr">
        <is>
          <t>adjusted xGOT</t>
        </is>
      </c>
      <c r="Q130" s="3" t="n">
        <v>1.01</v>
      </c>
      <c r="R130" s="3" t="n">
        <v>2.9</v>
      </c>
      <c r="S130" s="3" t="n">
        <v>0.1547</v>
      </c>
      <c r="T130" s="3" t="n">
        <v>0.048</v>
      </c>
      <c r="U130" s="3" t="n">
        <v>0.1954</v>
      </c>
      <c r="V130" s="3" t="n">
        <v>2.443</v>
      </c>
      <c r="W130" s="3">
        <f>IF(V130="",IFERROR(VLOOKUP($C130,Assumptions!$A$4:$F$7,6,FALSE),0),V130)</f>
        <v/>
      </c>
      <c r="X130" s="3">
        <f>N(O130)*IFERROR(VLOOKUP($C130,Assumptions!$A$4:$F$7,2,FALSE),0)</f>
        <v/>
      </c>
      <c r="Y130" s="3">
        <f>N(S130)*IFERROR(VLOOKUP($C130,Assumptions!$A$4:$F$7,3,FALSE),0)*Assumptions!$B$11</f>
        <v/>
      </c>
      <c r="Z130" s="3">
        <f>N(N130)*IFERROR(VLOOKUP($C130,Assumptions!$A$4:$F$7,4,FALSE),0)</f>
        <v/>
      </c>
      <c r="AA130" s="3">
        <f>N(T130)*IFERROR(VLOOKUP($C130,Assumptions!$A$4:$F$7,5,FALSE),0)</f>
        <v/>
      </c>
      <c r="AB130" s="3">
        <f>N(U130)</f>
        <v/>
      </c>
      <c r="AC130" s="3">
        <f>SUM(W130:AB130)</f>
        <v/>
      </c>
      <c r="AD130" s="3">
        <f>N(AC130)*N(M130)/90</f>
        <v/>
      </c>
      <c r="AE130" s="3">
        <f>IFERROR(AD130-VLOOKUP($C130,Assumptions!$A$29:$C$32,3,FALSE),"")</f>
        <v/>
      </c>
      <c r="AF130" s="3">
        <f>IFERROR(AE130/F130,"")</f>
        <v/>
      </c>
      <c r="AG130">
        <f>IF(AND($E130=TRUE,$C130="GKP"),AD130,"")</f>
        <v/>
      </c>
      <c r="AH130">
        <f>IF(AND($E130=TRUE,$C130="DEF"),AD130,"")</f>
        <v/>
      </c>
      <c r="AI130">
        <f>IF(AND($E130=TRUE,$C130="MID"),AD130,"")</f>
        <v/>
      </c>
      <c r="AJ130">
        <f>IF(AND($E130=TRUE,$C130="FWD"),AD130,"")</f>
        <v/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b">
        <v>1</v>
      </c>
      <c r="F131" s="2" t="n">
        <v>4</v>
      </c>
      <c r="G131" t="inlineStr">
        <is>
          <t>a</t>
        </is>
      </c>
      <c r="I131" s="2" t="n">
        <v>3150</v>
      </c>
      <c r="J131" t="n">
        <v>96</v>
      </c>
      <c r="K131" s="3" t="n">
        <v>35</v>
      </c>
      <c r="L131" t="inlineStr">
        <is>
          <t>flat</t>
        </is>
      </c>
      <c r="M131" s="4" t="n">
        <v>3150</v>
      </c>
      <c r="N131" s="4" t="n">
        <v>0.237</v>
      </c>
      <c r="O131" s="3" t="n">
        <v>0</v>
      </c>
      <c r="P131" t="inlineStr">
        <is>
          <t>blended xG</t>
        </is>
      </c>
      <c r="Q131" s="3" t="n">
        <v>1</v>
      </c>
      <c r="R131" s="3" t="n">
        <v>0</v>
      </c>
      <c r="S131" s="3" t="n">
        <v>0.0005999999999999999</v>
      </c>
      <c r="T131" s="3" t="n">
        <v>0</v>
      </c>
      <c r="U131" s="3" t="n">
        <v>0.2</v>
      </c>
      <c r="V131" s="3" t="n">
        <v>2</v>
      </c>
      <c r="W131" s="3">
        <f>IF(V131="",IFERROR(VLOOKUP($C131,Assumptions!$A$4:$F$7,6,FALSE),0),V131)</f>
        <v/>
      </c>
      <c r="X131" s="3">
        <f>N(O131)*IFERROR(VLOOKUP($C131,Assumptions!$A$4:$F$7,2,FALSE),0)</f>
        <v/>
      </c>
      <c r="Y131" s="3">
        <f>N(S131)*IFERROR(VLOOKUP($C131,Assumptions!$A$4:$F$7,3,FALSE),0)*Assumptions!$B$11</f>
        <v/>
      </c>
      <c r="Z131" s="3">
        <f>N(N131)*IFERROR(VLOOKUP($C131,Assumptions!$A$4:$F$7,4,FALSE),0)</f>
        <v/>
      </c>
      <c r="AA131" s="3">
        <f>N(T131)*IFERROR(VLOOKUP($C131,Assumptions!$A$4:$F$7,5,FALSE),0)</f>
        <v/>
      </c>
      <c r="AB131" s="3">
        <f>N(U131)</f>
        <v/>
      </c>
      <c r="AC131" s="3">
        <f>SUM(W131:AB131)</f>
        <v/>
      </c>
      <c r="AD131" s="3">
        <f>N(AC131)*N(M131)/90</f>
        <v/>
      </c>
      <c r="AE131" s="3">
        <f>IFERROR(AD131-VLOOKUP($C131,Assumptions!$A$29:$C$32,3,FALSE),"")</f>
        <v/>
      </c>
      <c r="AF131" s="3">
        <f>IFERROR(AE131/F131,"")</f>
        <v/>
      </c>
      <c r="AG131">
        <f>IF(AND($E131=TRUE,$C131="GKP"),AD131,"")</f>
        <v/>
      </c>
      <c r="AH131">
        <f>IF(AND($E131=TRUE,$C131="DEF"),AD131,"")</f>
        <v/>
      </c>
      <c r="AI131">
        <f>IF(AND($E131=TRUE,$C131="MID"),AD131,"")</f>
        <v/>
      </c>
      <c r="AJ131">
        <f>IF(AND($E131=TRUE,$C131="FWD"),AD131,"")</f>
        <v/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b">
        <v>1</v>
      </c>
      <c r="F132" s="2" t="n">
        <v>5</v>
      </c>
      <c r="G132" t="inlineStr">
        <is>
          <t>a</t>
        </is>
      </c>
      <c r="I132" s="2" t="n">
        <v>2255</v>
      </c>
      <c r="J132" t="n">
        <v>96</v>
      </c>
      <c r="K132" s="3" t="n">
        <v>663</v>
      </c>
      <c r="L132" t="inlineStr">
        <is>
          <t>flat</t>
        </is>
      </c>
      <c r="M132" s="4" t="n">
        <v>2255</v>
      </c>
      <c r="N132" s="4" t="n">
        <v>0.237</v>
      </c>
      <c r="O132" s="3" t="n">
        <v>0.0555</v>
      </c>
      <c r="P132" t="inlineStr">
        <is>
          <t>adjusted xGOT</t>
        </is>
      </c>
      <c r="Q132" s="3" t="n">
        <v>0.891</v>
      </c>
      <c r="R132" s="3" t="n">
        <v>4</v>
      </c>
      <c r="S132" s="3" t="n">
        <v>0.1352</v>
      </c>
      <c r="T132" s="3" t="n">
        <v>0</v>
      </c>
      <c r="U132" s="3" t="n">
        <v>0.3193</v>
      </c>
      <c r="V132" s="3" t="n">
        <v>2.275</v>
      </c>
      <c r="W132" s="3">
        <f>IF(V132="",IFERROR(VLOOKUP($C132,Assumptions!$A$4:$F$7,6,FALSE),0),V132)</f>
        <v/>
      </c>
      <c r="X132" s="3">
        <f>N(O132)*IFERROR(VLOOKUP($C132,Assumptions!$A$4:$F$7,2,FALSE),0)</f>
        <v/>
      </c>
      <c r="Y132" s="3">
        <f>N(S132)*IFERROR(VLOOKUP($C132,Assumptions!$A$4:$F$7,3,FALSE),0)*Assumptions!$B$11</f>
        <v/>
      </c>
      <c r="Z132" s="3">
        <f>N(N132)*IFERROR(VLOOKUP($C132,Assumptions!$A$4:$F$7,4,FALSE),0)</f>
        <v/>
      </c>
      <c r="AA132" s="3">
        <f>N(T132)*IFERROR(VLOOKUP($C132,Assumptions!$A$4:$F$7,5,FALSE),0)</f>
        <v/>
      </c>
      <c r="AB132" s="3">
        <f>N(U132)</f>
        <v/>
      </c>
      <c r="AC132" s="3">
        <f>SUM(W132:AB132)</f>
        <v/>
      </c>
      <c r="AD132" s="3">
        <f>N(AC132)*N(M132)/90</f>
        <v/>
      </c>
      <c r="AE132" s="3">
        <f>IFERROR(AD132-VLOOKUP($C132,Assumptions!$A$29:$C$32,3,FALSE),"")</f>
        <v/>
      </c>
      <c r="AF132" s="3">
        <f>IFERROR(AE132/F132,"")</f>
        <v/>
      </c>
      <c r="AG132">
        <f>IF(AND($E132=TRUE,$C132="GKP"),AD132,"")</f>
        <v/>
      </c>
      <c r="AH132">
        <f>IF(AND($E132=TRUE,$C132="DEF"),AD132,"")</f>
        <v/>
      </c>
      <c r="AI132">
        <f>IF(AND($E132=TRUE,$C132="MID"),AD132,"")</f>
        <v/>
      </c>
      <c r="AJ132">
        <f>IF(AND($E132=TRUE,$C132="FWD"),AD132,"")</f>
        <v/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b">
        <v>1</v>
      </c>
      <c r="F133" s="2" t="n">
        <v>4.5</v>
      </c>
      <c r="G133" t="inlineStr">
        <is>
          <t>a</t>
        </is>
      </c>
      <c r="I133" s="2" t="n">
        <v>2795</v>
      </c>
      <c r="J133" t="n">
        <v>96</v>
      </c>
      <c r="K133" s="3" t="n">
        <v>2440</v>
      </c>
      <c r="L133" t="inlineStr">
        <is>
          <t>flat</t>
        </is>
      </c>
      <c r="M133" s="4" t="n">
        <v>2795</v>
      </c>
      <c r="N133" s="4" t="n">
        <v>0.21</v>
      </c>
      <c r="O133" s="3" t="n">
        <v>0.0625</v>
      </c>
      <c r="P133" t="inlineStr">
        <is>
          <t>adjusted xGOT</t>
        </is>
      </c>
      <c r="Q133" s="3" t="n">
        <v>0.9320000000000001</v>
      </c>
      <c r="R133" s="3" t="n">
        <v>4.4</v>
      </c>
      <c r="S133" s="3" t="n">
        <v>0.1068</v>
      </c>
      <c r="T133" s="3" t="n">
        <v>0.062</v>
      </c>
      <c r="U133" s="3" t="n">
        <v>0.0322</v>
      </c>
      <c r="V133" s="3" t="n">
        <v>2.093</v>
      </c>
      <c r="W133" s="3">
        <f>IF(V133="",IFERROR(VLOOKUP($C133,Assumptions!$A$4:$F$7,6,FALSE),0),V133)</f>
        <v/>
      </c>
      <c r="X133" s="3">
        <f>N(O133)*IFERROR(VLOOKUP($C133,Assumptions!$A$4:$F$7,2,FALSE),0)</f>
        <v/>
      </c>
      <c r="Y133" s="3">
        <f>N(S133)*IFERROR(VLOOKUP($C133,Assumptions!$A$4:$F$7,3,FALSE),0)*Assumptions!$B$11</f>
        <v/>
      </c>
      <c r="Z133" s="3">
        <f>N(N133)*IFERROR(VLOOKUP($C133,Assumptions!$A$4:$F$7,4,FALSE),0)</f>
        <v/>
      </c>
      <c r="AA133" s="3">
        <f>N(T133)*IFERROR(VLOOKUP($C133,Assumptions!$A$4:$F$7,5,FALSE),0)</f>
        <v/>
      </c>
      <c r="AB133" s="3">
        <f>N(U133)</f>
        <v/>
      </c>
      <c r="AC133" s="3">
        <f>SUM(W133:AB133)</f>
        <v/>
      </c>
      <c r="AD133" s="3">
        <f>N(AC133)*N(M133)/90</f>
        <v/>
      </c>
      <c r="AE133" s="3">
        <f>IFERROR(AD133-VLOOKUP($C133,Assumptions!$A$29:$C$32,3,FALSE),"")</f>
        <v/>
      </c>
      <c r="AF133" s="3">
        <f>IFERROR(AE133/F133,"")</f>
        <v/>
      </c>
      <c r="AG133">
        <f>IF(AND($E133=TRUE,$C133="GKP"),AD133,"")</f>
        <v/>
      </c>
      <c r="AH133">
        <f>IF(AND($E133=TRUE,$C133="DEF"),AD133,"")</f>
        <v/>
      </c>
      <c r="AI133">
        <f>IF(AND($E133=TRUE,$C133="MID"),AD133,"")</f>
        <v/>
      </c>
      <c r="AJ133">
        <f>IF(AND($E133=TRUE,$C133="FWD"),AD133,"")</f>
        <v/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b">
        <v>1</v>
      </c>
      <c r="F134" s="2" t="n">
        <v>5</v>
      </c>
      <c r="G134" t="inlineStr">
        <is>
          <t>a</t>
        </is>
      </c>
      <c r="I134" s="2" t="n">
        <v>2416</v>
      </c>
      <c r="J134" t="n">
        <v>96</v>
      </c>
      <c r="K134" s="3" t="n">
        <v>4</v>
      </c>
      <c r="L134" t="inlineStr">
        <is>
          <t>flat</t>
        </is>
      </c>
      <c r="M134" s="4" t="n">
        <v>2416</v>
      </c>
      <c r="N134" s="4" t="n">
        <v>0.21</v>
      </c>
      <c r="O134" s="3" t="n">
        <v>0.006</v>
      </c>
      <c r="P134" t="inlineStr">
        <is>
          <t>adjusted xGOT</t>
        </is>
      </c>
      <c r="Q134" s="3" t="n">
        <v>1.015</v>
      </c>
      <c r="R134" s="3" t="n">
        <v>0.2</v>
      </c>
      <c r="S134" s="3" t="n">
        <v>0</v>
      </c>
      <c r="T134" s="3" t="n">
        <v>0</v>
      </c>
      <c r="U134" s="3" t="n">
        <v>0.1863</v>
      </c>
      <c r="V134" s="3" t="n">
        <v>2.012</v>
      </c>
      <c r="W134" s="3">
        <f>IF(V134="",IFERROR(VLOOKUP($C134,Assumptions!$A$4:$F$7,6,FALSE),0),V134)</f>
        <v/>
      </c>
      <c r="X134" s="3">
        <f>N(O134)*IFERROR(VLOOKUP($C134,Assumptions!$A$4:$F$7,2,FALSE),0)</f>
        <v/>
      </c>
      <c r="Y134" s="3">
        <f>N(S134)*IFERROR(VLOOKUP($C134,Assumptions!$A$4:$F$7,3,FALSE),0)*Assumptions!$B$11</f>
        <v/>
      </c>
      <c r="Z134" s="3">
        <f>N(N134)*IFERROR(VLOOKUP($C134,Assumptions!$A$4:$F$7,4,FALSE),0)</f>
        <v/>
      </c>
      <c r="AA134" s="3">
        <f>N(T134)*IFERROR(VLOOKUP($C134,Assumptions!$A$4:$F$7,5,FALSE),0)</f>
        <v/>
      </c>
      <c r="AB134" s="3">
        <f>N(U134)</f>
        <v/>
      </c>
      <c r="AC134" s="3">
        <f>SUM(W134:AB134)</f>
        <v/>
      </c>
      <c r="AD134" s="3">
        <f>N(AC134)*N(M134)/90</f>
        <v/>
      </c>
      <c r="AE134" s="3">
        <f>IFERROR(AD134-VLOOKUP($C134,Assumptions!$A$29:$C$32,3,FALSE),"")</f>
        <v/>
      </c>
      <c r="AF134" s="3">
        <f>IFERROR(AE134/F134,"")</f>
        <v/>
      </c>
      <c r="AG134">
        <f>IF(AND($E134=TRUE,$C134="GKP"),AD134,"")</f>
        <v/>
      </c>
      <c r="AH134">
        <f>IF(AND($E134=TRUE,$C134="DEF"),AD134,"")</f>
        <v/>
      </c>
      <c r="AI134">
        <f>IF(AND($E134=TRUE,$C134="MID"),AD134,"")</f>
        <v/>
      </c>
      <c r="AJ134">
        <f>IF(AND($E134=TRUE,$C134="FWD"),AD134,"")</f>
        <v/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b">
        <v>1</v>
      </c>
      <c r="F135" s="2" t="n">
        <v>4.5</v>
      </c>
      <c r="G135" t="inlineStr">
        <is>
          <t>a</t>
        </is>
      </c>
      <c r="I135" s="2" t="n">
        <v>2959</v>
      </c>
      <c r="J135" t="n">
        <v>95</v>
      </c>
      <c r="K135" s="3" t="n">
        <v>3004</v>
      </c>
      <c r="L135" t="inlineStr">
        <is>
          <t>flat</t>
        </is>
      </c>
      <c r="M135" s="4" t="n">
        <v>2959</v>
      </c>
      <c r="N135" s="4" t="n">
        <v>0.29</v>
      </c>
      <c r="O135" s="3" t="n">
        <v>0.0081</v>
      </c>
      <c r="P135" t="inlineStr">
        <is>
          <t>adjusted xGOT</t>
        </is>
      </c>
      <c r="Q135" s="3" t="n">
        <v>0.945</v>
      </c>
      <c r="R135" s="3" t="n">
        <v>2.8</v>
      </c>
      <c r="S135" s="3" t="n">
        <v>0.0548</v>
      </c>
      <c r="T135" s="3" t="n">
        <v>0.212</v>
      </c>
      <c r="U135" s="3" t="n">
        <v>0.1217</v>
      </c>
      <c r="V135" s="3" t="n">
        <v>2.007</v>
      </c>
      <c r="W135" s="3">
        <f>IF(V135="",IFERROR(VLOOKUP($C135,Assumptions!$A$4:$F$7,6,FALSE),0),V135)</f>
        <v/>
      </c>
      <c r="X135" s="3">
        <f>N(O135)*IFERROR(VLOOKUP($C135,Assumptions!$A$4:$F$7,2,FALSE),0)</f>
        <v/>
      </c>
      <c r="Y135" s="3">
        <f>N(S135)*IFERROR(VLOOKUP($C135,Assumptions!$A$4:$F$7,3,FALSE),0)*Assumptions!$B$11</f>
        <v/>
      </c>
      <c r="Z135" s="3">
        <f>N(N135)*IFERROR(VLOOKUP($C135,Assumptions!$A$4:$F$7,4,FALSE),0)</f>
        <v/>
      </c>
      <c r="AA135" s="3">
        <f>N(T135)*IFERROR(VLOOKUP($C135,Assumptions!$A$4:$F$7,5,FALSE),0)</f>
        <v/>
      </c>
      <c r="AB135" s="3">
        <f>N(U135)</f>
        <v/>
      </c>
      <c r="AC135" s="3">
        <f>SUM(W135:AB135)</f>
        <v/>
      </c>
      <c r="AD135" s="3">
        <f>N(AC135)*N(M135)/90</f>
        <v/>
      </c>
      <c r="AE135" s="3">
        <f>IFERROR(AD135-VLOOKUP($C135,Assumptions!$A$29:$C$32,3,FALSE),"")</f>
        <v/>
      </c>
      <c r="AF135" s="3">
        <f>IFERROR(AE135/F135,"")</f>
        <v/>
      </c>
      <c r="AG135">
        <f>IF(AND($E135=TRUE,$C135="GKP"),AD135,"")</f>
        <v/>
      </c>
      <c r="AH135">
        <f>IF(AND($E135=TRUE,$C135="DEF"),AD135,"")</f>
        <v/>
      </c>
      <c r="AI135">
        <f>IF(AND($E135=TRUE,$C135="MID"),AD135,"")</f>
        <v/>
      </c>
      <c r="AJ135">
        <f>IF(AND($E135=TRUE,$C135="FWD"),AD135,"")</f>
        <v/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b">
        <v>1</v>
      </c>
      <c r="F136" s="2" t="n">
        <v>6</v>
      </c>
      <c r="G136" t="inlineStr">
        <is>
          <t>a</t>
        </is>
      </c>
      <c r="I136" s="2" t="n">
        <v>1440</v>
      </c>
      <c r="J136" t="n">
        <v>95</v>
      </c>
      <c r="K136" s="3" t="n">
        <v>812</v>
      </c>
      <c r="L136" t="inlineStr">
        <is>
          <t>fade (losing his place)</t>
        </is>
      </c>
      <c r="M136" s="4" t="n">
        <v>1440</v>
      </c>
      <c r="N136" s="4" t="n">
        <v>0.21</v>
      </c>
      <c r="O136" s="3" t="n">
        <v>0.1477</v>
      </c>
      <c r="P136" t="inlineStr">
        <is>
          <t>adjusted xGOT</t>
        </is>
      </c>
      <c r="Q136" s="3" t="n">
        <v>0.989</v>
      </c>
      <c r="R136" s="3" t="n">
        <v>2.8</v>
      </c>
      <c r="S136" s="3" t="n">
        <v>0.1547</v>
      </c>
      <c r="T136" s="3" t="n">
        <v>0</v>
      </c>
      <c r="U136" s="3" t="n">
        <v>0.6875</v>
      </c>
      <c r="V136" s="3" t="n">
        <v>2.5</v>
      </c>
      <c r="W136" s="3">
        <f>IF(V136="",IFERROR(VLOOKUP($C136,Assumptions!$A$4:$F$7,6,FALSE),0),V136)</f>
        <v/>
      </c>
      <c r="X136" s="3">
        <f>N(O136)*IFERROR(VLOOKUP($C136,Assumptions!$A$4:$F$7,2,FALSE),0)</f>
        <v/>
      </c>
      <c r="Y136" s="3">
        <f>N(S136)*IFERROR(VLOOKUP($C136,Assumptions!$A$4:$F$7,3,FALSE),0)*Assumptions!$B$11</f>
        <v/>
      </c>
      <c r="Z136" s="3">
        <f>N(N136)*IFERROR(VLOOKUP($C136,Assumptions!$A$4:$F$7,4,FALSE),0)</f>
        <v/>
      </c>
      <c r="AA136" s="3">
        <f>N(T136)*IFERROR(VLOOKUP($C136,Assumptions!$A$4:$F$7,5,FALSE),0)</f>
        <v/>
      </c>
      <c r="AB136" s="3">
        <f>N(U136)</f>
        <v/>
      </c>
      <c r="AC136" s="3">
        <f>SUM(W136:AB136)</f>
        <v/>
      </c>
      <c r="AD136" s="3">
        <f>N(AC136)*N(M136)/90</f>
        <v/>
      </c>
      <c r="AE136" s="3">
        <f>IFERROR(AD136-VLOOKUP($C136,Assumptions!$A$29:$C$32,3,FALSE),"")</f>
        <v/>
      </c>
      <c r="AF136" s="3">
        <f>IFERROR(AE136/F136,"")</f>
        <v/>
      </c>
      <c r="AG136">
        <f>IF(AND($E136=TRUE,$C136="GKP"),AD136,"")</f>
        <v/>
      </c>
      <c r="AH136">
        <f>IF(AND($E136=TRUE,$C136="DEF"),AD136,"")</f>
        <v/>
      </c>
      <c r="AI136">
        <f>IF(AND($E136=TRUE,$C136="MID"),AD136,"")</f>
        <v/>
      </c>
      <c r="AJ136">
        <f>IF(AND($E136=TRUE,$C136="FWD"),AD136,"")</f>
        <v/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b">
        <v>1</v>
      </c>
      <c r="F137" s="2" t="n">
        <v>4.5</v>
      </c>
      <c r="G137" t="inlineStr">
        <is>
          <t>a</t>
        </is>
      </c>
      <c r="I137" s="2" t="n">
        <v>1816</v>
      </c>
      <c r="J137" t="n">
        <v>95</v>
      </c>
      <c r="K137" s="3" t="n">
        <v>1525</v>
      </c>
      <c r="L137" t="inlineStr">
        <is>
          <t>flat</t>
        </is>
      </c>
      <c r="M137" s="4" t="n">
        <v>1816</v>
      </c>
      <c r="N137" s="4" t="n">
        <v>0.237</v>
      </c>
      <c r="O137" s="3" t="n">
        <v>0.0893</v>
      </c>
      <c r="P137" t="inlineStr">
        <is>
          <t>adjusted xGOT</t>
        </is>
      </c>
      <c r="Q137" s="3" t="n">
        <v>1.126</v>
      </c>
      <c r="R137" s="3" t="n">
        <v>4.9</v>
      </c>
      <c r="S137" s="3" t="n">
        <v>0.0998</v>
      </c>
      <c r="T137" s="3" t="n">
        <v>0.6</v>
      </c>
      <c r="U137" s="3" t="n">
        <v>0.3965</v>
      </c>
      <c r="V137" s="3" t="n">
        <v>2.329</v>
      </c>
      <c r="W137" s="3">
        <f>IF(V137="",IFERROR(VLOOKUP($C137,Assumptions!$A$4:$F$7,6,FALSE),0),V137)</f>
        <v/>
      </c>
      <c r="X137" s="3">
        <f>N(O137)*IFERROR(VLOOKUP($C137,Assumptions!$A$4:$F$7,2,FALSE),0)</f>
        <v/>
      </c>
      <c r="Y137" s="3">
        <f>N(S137)*IFERROR(VLOOKUP($C137,Assumptions!$A$4:$F$7,3,FALSE),0)*Assumptions!$B$11</f>
        <v/>
      </c>
      <c r="Z137" s="3">
        <f>N(N137)*IFERROR(VLOOKUP($C137,Assumptions!$A$4:$F$7,4,FALSE),0)</f>
        <v/>
      </c>
      <c r="AA137" s="3">
        <f>N(T137)*IFERROR(VLOOKUP($C137,Assumptions!$A$4:$F$7,5,FALSE),0)</f>
        <v/>
      </c>
      <c r="AB137" s="3">
        <f>N(U137)</f>
        <v/>
      </c>
      <c r="AC137" s="3">
        <f>SUM(W137:AB137)</f>
        <v/>
      </c>
      <c r="AD137" s="3">
        <f>N(AC137)*N(M137)/90</f>
        <v/>
      </c>
      <c r="AE137" s="3">
        <f>IFERROR(AD137-VLOOKUP($C137,Assumptions!$A$29:$C$32,3,FALSE),"")</f>
        <v/>
      </c>
      <c r="AF137" s="3">
        <f>IFERROR(AE137/F137,"")</f>
        <v/>
      </c>
      <c r="AG137">
        <f>IF(AND($E137=TRUE,$C137="GKP"),AD137,"")</f>
        <v/>
      </c>
      <c r="AH137">
        <f>IF(AND($E137=TRUE,$C137="DEF"),AD137,"")</f>
        <v/>
      </c>
      <c r="AI137">
        <f>IF(AND($E137=TRUE,$C137="MID"),AD137,"")</f>
        <v/>
      </c>
      <c r="AJ137">
        <f>IF(AND($E137=TRUE,$C137="FWD"),AD137,"")</f>
        <v/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b">
        <v>1</v>
      </c>
      <c r="F138" s="2" t="n">
        <v>5.5</v>
      </c>
      <c r="G138" t="inlineStr">
        <is>
          <t>a</t>
        </is>
      </c>
      <c r="I138" s="2" t="n">
        <v>1898</v>
      </c>
      <c r="J138" t="n">
        <v>95</v>
      </c>
      <c r="K138" s="3" t="n">
        <v>2514</v>
      </c>
      <c r="L138" t="inlineStr">
        <is>
          <t>flat</t>
        </is>
      </c>
      <c r="M138" s="4" t="n">
        <v>1898</v>
      </c>
      <c r="N138" s="4" t="n">
        <v>0.29</v>
      </c>
      <c r="O138" s="3" t="n">
        <v>0.333</v>
      </c>
      <c r="P138" t="inlineStr">
        <is>
          <t>adjusted xGOT</t>
        </is>
      </c>
      <c r="Q138" s="3" t="n">
        <v>0.86</v>
      </c>
      <c r="R138" s="3" t="n">
        <v>8.199999999999999</v>
      </c>
      <c r="S138" s="3" t="n">
        <v>0.0342</v>
      </c>
      <c r="T138" s="3" t="n">
        <v>0</v>
      </c>
      <c r="U138" s="3" t="n">
        <v>0.4268</v>
      </c>
      <c r="V138" s="3" t="n">
        <v>2.703</v>
      </c>
      <c r="W138" s="3">
        <f>IF(V138="",IFERROR(VLOOKUP($C138,Assumptions!$A$4:$F$7,6,FALSE),0),V138)</f>
        <v/>
      </c>
      <c r="X138" s="3">
        <f>N(O138)*IFERROR(VLOOKUP($C138,Assumptions!$A$4:$F$7,2,FALSE),0)</f>
        <v/>
      </c>
      <c r="Y138" s="3">
        <f>N(S138)*IFERROR(VLOOKUP($C138,Assumptions!$A$4:$F$7,3,FALSE),0)*Assumptions!$B$11</f>
        <v/>
      </c>
      <c r="Z138" s="3">
        <f>N(N138)*IFERROR(VLOOKUP($C138,Assumptions!$A$4:$F$7,4,FALSE),0)</f>
        <v/>
      </c>
      <c r="AA138" s="3">
        <f>N(T138)*IFERROR(VLOOKUP($C138,Assumptions!$A$4:$F$7,5,FALSE),0)</f>
        <v/>
      </c>
      <c r="AB138" s="3">
        <f>N(U138)</f>
        <v/>
      </c>
      <c r="AC138" s="3">
        <f>SUM(W138:AB138)</f>
        <v/>
      </c>
      <c r="AD138" s="3">
        <f>N(AC138)*N(M138)/90</f>
        <v/>
      </c>
      <c r="AE138" s="3">
        <f>IFERROR(AD138-VLOOKUP($C138,Assumptions!$A$29:$C$32,3,FALSE),"")</f>
        <v/>
      </c>
      <c r="AF138" s="3">
        <f>IFERROR(AE138/F138,"")</f>
        <v/>
      </c>
      <c r="AG138">
        <f>IF(AND($E138=TRUE,$C138="GKP"),AD138,"")</f>
        <v/>
      </c>
      <c r="AH138">
        <f>IF(AND($E138=TRUE,$C138="DEF"),AD138,"")</f>
        <v/>
      </c>
      <c r="AI138">
        <f>IF(AND($E138=TRUE,$C138="MID"),AD138,"")</f>
        <v/>
      </c>
      <c r="AJ138">
        <f>IF(AND($E138=TRUE,$C138="FWD"),AD138,"")</f>
        <v/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b">
        <v>1</v>
      </c>
      <c r="F139" s="2" t="n">
        <v>5</v>
      </c>
      <c r="G139" t="inlineStr">
        <is>
          <t>a</t>
        </is>
      </c>
      <c r="I139" s="2" t="n">
        <v>1901</v>
      </c>
      <c r="J139" t="n">
        <v>94</v>
      </c>
      <c r="K139" s="3" t="n">
        <v>2787</v>
      </c>
      <c r="L139" t="inlineStr">
        <is>
          <t>flat</t>
        </is>
      </c>
      <c r="M139" s="4" t="n">
        <v>1901</v>
      </c>
      <c r="N139" s="4" t="n">
        <v>0.263</v>
      </c>
      <c r="O139" s="3" t="n">
        <v>0.0984</v>
      </c>
      <c r="P139" t="inlineStr">
        <is>
          <t>adjusted xGOT</t>
        </is>
      </c>
      <c r="Q139" s="3" t="n">
        <v>1.082</v>
      </c>
      <c r="R139" s="3" t="n">
        <v>2.7</v>
      </c>
      <c r="S139" s="3" t="n">
        <v>0.1119</v>
      </c>
      <c r="T139" s="3" t="n">
        <v>0.609</v>
      </c>
      <c r="U139" s="3" t="n">
        <v>0.2367</v>
      </c>
      <c r="V139" s="3" t="n">
        <v>2.178</v>
      </c>
      <c r="W139" s="3">
        <f>IF(V139="",IFERROR(VLOOKUP($C139,Assumptions!$A$4:$F$7,6,FALSE),0),V139)</f>
        <v/>
      </c>
      <c r="X139" s="3">
        <f>N(O139)*IFERROR(VLOOKUP($C139,Assumptions!$A$4:$F$7,2,FALSE),0)</f>
        <v/>
      </c>
      <c r="Y139" s="3">
        <f>N(S139)*IFERROR(VLOOKUP($C139,Assumptions!$A$4:$F$7,3,FALSE),0)*Assumptions!$B$11</f>
        <v/>
      </c>
      <c r="Z139" s="3">
        <f>N(N139)*IFERROR(VLOOKUP($C139,Assumptions!$A$4:$F$7,4,FALSE),0)</f>
        <v/>
      </c>
      <c r="AA139" s="3">
        <f>N(T139)*IFERROR(VLOOKUP($C139,Assumptions!$A$4:$F$7,5,FALSE),0)</f>
        <v/>
      </c>
      <c r="AB139" s="3">
        <f>N(U139)</f>
        <v/>
      </c>
      <c r="AC139" s="3">
        <f>SUM(W139:AB139)</f>
        <v/>
      </c>
      <c r="AD139" s="3">
        <f>N(AC139)*N(M139)/90</f>
        <v/>
      </c>
      <c r="AE139" s="3">
        <f>IFERROR(AD139-VLOOKUP($C139,Assumptions!$A$29:$C$32,3,FALSE),"")</f>
        <v/>
      </c>
      <c r="AF139" s="3">
        <f>IFERROR(AE139/F139,"")</f>
        <v/>
      </c>
      <c r="AG139">
        <f>IF(AND($E139=TRUE,$C139="GKP"),AD139,"")</f>
        <v/>
      </c>
      <c r="AH139">
        <f>IF(AND($E139=TRUE,$C139="DEF"),AD139,"")</f>
        <v/>
      </c>
      <c r="AI139">
        <f>IF(AND($E139=TRUE,$C139="MID"),AD139,"")</f>
        <v/>
      </c>
      <c r="AJ139">
        <f>IF(AND($E139=TRUE,$C139="FWD"),AD139,"")</f>
        <v/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b">
        <v>1</v>
      </c>
      <c r="F140" s="2" t="n">
        <v>4.5</v>
      </c>
      <c r="G140" t="inlineStr">
        <is>
          <t>a</t>
        </is>
      </c>
      <c r="I140" s="2" t="n">
        <v>1893</v>
      </c>
      <c r="J140" t="n">
        <v>94</v>
      </c>
      <c r="K140" s="3" t="n">
        <v>2280</v>
      </c>
      <c r="L140" t="inlineStr">
        <is>
          <t>flat</t>
        </is>
      </c>
      <c r="M140" s="4" t="n">
        <v>1893</v>
      </c>
      <c r="N140" s="4" t="n">
        <v>0.21</v>
      </c>
      <c r="O140" s="3" t="n">
        <v>0.0727</v>
      </c>
      <c r="P140" t="inlineStr">
        <is>
          <t>adjusted xGOT</t>
        </is>
      </c>
      <c r="Q140" s="3" t="n">
        <v>0.836</v>
      </c>
      <c r="R140" s="3" t="n">
        <v>3.6</v>
      </c>
      <c r="S140" s="3" t="n">
        <v>0.0887</v>
      </c>
      <c r="T140" s="3" t="n">
        <v>0.19</v>
      </c>
      <c r="U140" s="3" t="n">
        <v>0.3803</v>
      </c>
      <c r="V140" s="3" t="n">
        <v>2.33</v>
      </c>
      <c r="W140" s="3">
        <f>IF(V140="",IFERROR(VLOOKUP($C140,Assumptions!$A$4:$F$7,6,FALSE),0),V140)</f>
        <v/>
      </c>
      <c r="X140" s="3">
        <f>N(O140)*IFERROR(VLOOKUP($C140,Assumptions!$A$4:$F$7,2,FALSE),0)</f>
        <v/>
      </c>
      <c r="Y140" s="3">
        <f>N(S140)*IFERROR(VLOOKUP($C140,Assumptions!$A$4:$F$7,3,FALSE),0)*Assumptions!$B$11</f>
        <v/>
      </c>
      <c r="Z140" s="3">
        <f>N(N140)*IFERROR(VLOOKUP($C140,Assumptions!$A$4:$F$7,4,FALSE),0)</f>
        <v/>
      </c>
      <c r="AA140" s="3">
        <f>N(T140)*IFERROR(VLOOKUP($C140,Assumptions!$A$4:$F$7,5,FALSE),0)</f>
        <v/>
      </c>
      <c r="AB140" s="3">
        <f>N(U140)</f>
        <v/>
      </c>
      <c r="AC140" s="3">
        <f>SUM(W140:AB140)</f>
        <v/>
      </c>
      <c r="AD140" s="3">
        <f>N(AC140)*N(M140)/90</f>
        <v/>
      </c>
      <c r="AE140" s="3">
        <f>IFERROR(AD140-VLOOKUP($C140,Assumptions!$A$29:$C$32,3,FALSE),"")</f>
        <v/>
      </c>
      <c r="AF140" s="3">
        <f>IFERROR(AE140/F140,"")</f>
        <v/>
      </c>
      <c r="AG140">
        <f>IF(AND($E140=TRUE,$C140="GKP"),AD140,"")</f>
        <v/>
      </c>
      <c r="AH140">
        <f>IF(AND($E140=TRUE,$C140="DEF"),AD140,"")</f>
        <v/>
      </c>
      <c r="AI140">
        <f>IF(AND($E140=TRUE,$C140="MID"),AD140,"")</f>
        <v/>
      </c>
      <c r="AJ140">
        <f>IF(AND($E140=TRUE,$C140="FWD"),AD140,"")</f>
        <v/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b">
        <v>1</v>
      </c>
      <c r="F141" s="2" t="n">
        <v>5</v>
      </c>
      <c r="G141" t="inlineStr">
        <is>
          <t>a</t>
        </is>
      </c>
      <c r="I141" s="2" t="n">
        <v>2195</v>
      </c>
      <c r="J141" t="n">
        <v>93</v>
      </c>
      <c r="K141" s="3" t="n">
        <v>1406</v>
      </c>
      <c r="L141" t="inlineStr">
        <is>
          <t>flat</t>
        </is>
      </c>
      <c r="M141" s="4" t="n">
        <v>2195</v>
      </c>
      <c r="N141" s="4" t="n">
        <v>0.21</v>
      </c>
      <c r="O141" s="3" t="n">
        <v>0.0397</v>
      </c>
      <c r="P141" t="inlineStr">
        <is>
          <t>adjusted xGOT</t>
        </is>
      </c>
      <c r="Q141" s="3" t="n">
        <v>0.896</v>
      </c>
      <c r="R141" s="3" t="n">
        <v>8.5</v>
      </c>
      <c r="S141" s="3" t="n">
        <v>0.0158</v>
      </c>
      <c r="T141" s="3" t="n">
        <v>0.4</v>
      </c>
      <c r="U141" s="3" t="n">
        <v>0.123</v>
      </c>
      <c r="V141" s="3" t="n">
        <v>2.173</v>
      </c>
      <c r="W141" s="3">
        <f>IF(V141="",IFERROR(VLOOKUP($C141,Assumptions!$A$4:$F$7,6,FALSE),0),V141)</f>
        <v/>
      </c>
      <c r="X141" s="3">
        <f>N(O141)*IFERROR(VLOOKUP($C141,Assumptions!$A$4:$F$7,2,FALSE),0)</f>
        <v/>
      </c>
      <c r="Y141" s="3">
        <f>N(S141)*IFERROR(VLOOKUP($C141,Assumptions!$A$4:$F$7,3,FALSE),0)*Assumptions!$B$11</f>
        <v/>
      </c>
      <c r="Z141" s="3">
        <f>N(N141)*IFERROR(VLOOKUP($C141,Assumptions!$A$4:$F$7,4,FALSE),0)</f>
        <v/>
      </c>
      <c r="AA141" s="3">
        <f>N(T141)*IFERROR(VLOOKUP($C141,Assumptions!$A$4:$F$7,5,FALSE),0)</f>
        <v/>
      </c>
      <c r="AB141" s="3">
        <f>N(U141)</f>
        <v/>
      </c>
      <c r="AC141" s="3">
        <f>SUM(W141:AB141)</f>
        <v/>
      </c>
      <c r="AD141" s="3">
        <f>N(AC141)*N(M141)/90</f>
        <v/>
      </c>
      <c r="AE141" s="3">
        <f>IFERROR(AD141-VLOOKUP($C141,Assumptions!$A$29:$C$32,3,FALSE),"")</f>
        <v/>
      </c>
      <c r="AF141" s="3">
        <f>IFERROR(AE141/F141,"")</f>
        <v/>
      </c>
      <c r="AG141">
        <f>IF(AND($E141=TRUE,$C141="GKP"),AD141,"")</f>
        <v/>
      </c>
      <c r="AH141">
        <f>IF(AND($E141=TRUE,$C141="DEF"),AD141,"")</f>
        <v/>
      </c>
      <c r="AI141">
        <f>IF(AND($E141=TRUE,$C141="MID"),AD141,"")</f>
        <v/>
      </c>
      <c r="AJ141">
        <f>IF(AND($E141=TRUE,$C141="FWD"),AD141,"")</f>
        <v/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b">
        <v>1</v>
      </c>
      <c r="F142" s="2" t="n">
        <v>6</v>
      </c>
      <c r="G142" t="inlineStr">
        <is>
          <t>a</t>
        </is>
      </c>
      <c r="I142" s="2" t="n">
        <v>1623</v>
      </c>
      <c r="J142" t="n">
        <v>92</v>
      </c>
      <c r="K142" s="3" t="n">
        <v>247</v>
      </c>
      <c r="L142" t="inlineStr">
        <is>
          <t>flat</t>
        </is>
      </c>
      <c r="M142" s="4" t="n">
        <v>1623</v>
      </c>
      <c r="N142" s="4" t="n">
        <v>0.421</v>
      </c>
      <c r="O142" s="3" t="n">
        <v>0.2473</v>
      </c>
      <c r="P142" t="inlineStr">
        <is>
          <t>adjusted xGOT</t>
        </is>
      </c>
      <c r="Q142" s="3" t="n">
        <v>0.968</v>
      </c>
      <c r="R142" s="3" t="n">
        <v>4.6</v>
      </c>
      <c r="S142" s="3" t="n">
        <v>0.1504</v>
      </c>
      <c r="T142" s="3" t="n">
        <v>0.053</v>
      </c>
      <c r="U142" s="3" t="n">
        <v>0.3327</v>
      </c>
      <c r="V142" s="3" t="n">
        <v>2.495</v>
      </c>
      <c r="W142" s="3">
        <f>IF(V142="",IFERROR(VLOOKUP($C142,Assumptions!$A$4:$F$7,6,FALSE),0),V142)</f>
        <v/>
      </c>
      <c r="X142" s="3">
        <f>N(O142)*IFERROR(VLOOKUP($C142,Assumptions!$A$4:$F$7,2,FALSE),0)</f>
        <v/>
      </c>
      <c r="Y142" s="3">
        <f>N(S142)*IFERROR(VLOOKUP($C142,Assumptions!$A$4:$F$7,3,FALSE),0)*Assumptions!$B$11</f>
        <v/>
      </c>
      <c r="Z142" s="3">
        <f>N(N142)*IFERROR(VLOOKUP($C142,Assumptions!$A$4:$F$7,4,FALSE),0)</f>
        <v/>
      </c>
      <c r="AA142" s="3">
        <f>N(T142)*IFERROR(VLOOKUP($C142,Assumptions!$A$4:$F$7,5,FALSE),0)</f>
        <v/>
      </c>
      <c r="AB142" s="3">
        <f>N(U142)</f>
        <v/>
      </c>
      <c r="AC142" s="3">
        <f>SUM(W142:AB142)</f>
        <v/>
      </c>
      <c r="AD142" s="3">
        <f>N(AC142)*N(M142)/90</f>
        <v/>
      </c>
      <c r="AE142" s="3">
        <f>IFERROR(AD142-VLOOKUP($C142,Assumptions!$A$29:$C$32,3,FALSE),"")</f>
        <v/>
      </c>
      <c r="AF142" s="3">
        <f>IFERROR(AE142/F142,"")</f>
        <v/>
      </c>
      <c r="AG142">
        <f>IF(AND($E142=TRUE,$C142="GKP"),AD142,"")</f>
        <v/>
      </c>
      <c r="AH142">
        <f>IF(AND($E142=TRUE,$C142="DEF"),AD142,"")</f>
        <v/>
      </c>
      <c r="AI142">
        <f>IF(AND($E142=TRUE,$C142="MID"),AD142,"")</f>
        <v/>
      </c>
      <c r="AJ142">
        <f>IF(AND($E142=TRUE,$C142="FWD"),AD142,"")</f>
        <v/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b">
        <v>1</v>
      </c>
      <c r="F143" s="2" t="n">
        <v>6</v>
      </c>
      <c r="G143" t="inlineStr">
        <is>
          <t>a</t>
        </is>
      </c>
      <c r="I143" s="2" t="n">
        <v>1920</v>
      </c>
      <c r="J143" t="n">
        <v>92</v>
      </c>
      <c r="K143" s="3" t="n">
        <v>2884</v>
      </c>
      <c r="L143" t="inlineStr">
        <is>
          <t>flat</t>
        </is>
      </c>
      <c r="M143" s="4" t="n">
        <v>1920</v>
      </c>
      <c r="N143" s="4" t="n">
        <v>0.29</v>
      </c>
      <c r="O143" s="3" t="n">
        <v>0.3039</v>
      </c>
      <c r="P143" t="inlineStr">
        <is>
          <t>adjusted xGOT</t>
        </is>
      </c>
      <c r="Q143" s="3" t="n">
        <v>1.077</v>
      </c>
      <c r="R143" s="3" t="n">
        <v>6</v>
      </c>
      <c r="S143" s="3" t="n">
        <v>0.0511</v>
      </c>
      <c r="T143" s="3" t="n">
        <v>0</v>
      </c>
      <c r="U143" s="3" t="n">
        <v>0.6094000000000001</v>
      </c>
      <c r="V143" s="3" t="n">
        <v>2.438</v>
      </c>
      <c r="W143" s="3">
        <f>IF(V143="",IFERROR(VLOOKUP($C143,Assumptions!$A$4:$F$7,6,FALSE),0),V143)</f>
        <v/>
      </c>
      <c r="X143" s="3">
        <f>N(O143)*IFERROR(VLOOKUP($C143,Assumptions!$A$4:$F$7,2,FALSE),0)</f>
        <v/>
      </c>
      <c r="Y143" s="3">
        <f>N(S143)*IFERROR(VLOOKUP($C143,Assumptions!$A$4:$F$7,3,FALSE),0)*Assumptions!$B$11</f>
        <v/>
      </c>
      <c r="Z143" s="3">
        <f>N(N143)*IFERROR(VLOOKUP($C143,Assumptions!$A$4:$F$7,4,FALSE),0)</f>
        <v/>
      </c>
      <c r="AA143" s="3">
        <f>N(T143)*IFERROR(VLOOKUP($C143,Assumptions!$A$4:$F$7,5,FALSE),0)</f>
        <v/>
      </c>
      <c r="AB143" s="3">
        <f>N(U143)</f>
        <v/>
      </c>
      <c r="AC143" s="3">
        <f>SUM(W143:AB143)</f>
        <v/>
      </c>
      <c r="AD143" s="3">
        <f>N(AC143)*N(M143)/90</f>
        <v/>
      </c>
      <c r="AE143" s="3">
        <f>IFERROR(AD143-VLOOKUP($C143,Assumptions!$A$29:$C$32,3,FALSE),"")</f>
        <v/>
      </c>
      <c r="AF143" s="3">
        <f>IFERROR(AE143/F143,"")</f>
        <v/>
      </c>
      <c r="AG143">
        <f>IF(AND($E143=TRUE,$C143="GKP"),AD143,"")</f>
        <v/>
      </c>
      <c r="AH143">
        <f>IF(AND($E143=TRUE,$C143="DEF"),AD143,"")</f>
        <v/>
      </c>
      <c r="AI143">
        <f>IF(AND($E143=TRUE,$C143="MID"),AD143,"")</f>
        <v/>
      </c>
      <c r="AJ143">
        <f>IF(AND($E143=TRUE,$C143="FWD"),AD143,"")</f>
        <v/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b">
        <v>1</v>
      </c>
      <c r="F144" s="2" t="n">
        <v>6</v>
      </c>
      <c r="G144" t="inlineStr">
        <is>
          <t>a</t>
        </is>
      </c>
      <c r="I144" s="2" t="n">
        <v>1736</v>
      </c>
      <c r="J144" t="n">
        <v>91</v>
      </c>
      <c r="K144" s="3" t="n">
        <v>2782</v>
      </c>
      <c r="L144" t="inlineStr">
        <is>
          <t>flat</t>
        </is>
      </c>
      <c r="M144" s="4" t="n">
        <v>1736</v>
      </c>
      <c r="N144" s="4" t="n">
        <v>0.263</v>
      </c>
      <c r="O144" s="3" t="n">
        <v>0.2866</v>
      </c>
      <c r="P144" t="inlineStr">
        <is>
          <t>adjusted xGOT</t>
        </is>
      </c>
      <c r="Q144" s="3" t="n">
        <v>1.119</v>
      </c>
      <c r="R144" s="3" t="n">
        <v>9.800000000000001</v>
      </c>
      <c r="S144" s="3" t="n">
        <v>0.1218</v>
      </c>
      <c r="T144" s="3" t="n">
        <v>0.05</v>
      </c>
      <c r="U144" s="3" t="n">
        <v>0.1037</v>
      </c>
      <c r="V144" s="3" t="n">
        <v>2.437</v>
      </c>
      <c r="W144" s="3">
        <f>IF(V144="",IFERROR(VLOOKUP($C144,Assumptions!$A$4:$F$7,6,FALSE),0),V144)</f>
        <v/>
      </c>
      <c r="X144" s="3">
        <f>N(O144)*IFERROR(VLOOKUP($C144,Assumptions!$A$4:$F$7,2,FALSE),0)</f>
        <v/>
      </c>
      <c r="Y144" s="3">
        <f>N(S144)*IFERROR(VLOOKUP($C144,Assumptions!$A$4:$F$7,3,FALSE),0)*Assumptions!$B$11</f>
        <v/>
      </c>
      <c r="Z144" s="3">
        <f>N(N144)*IFERROR(VLOOKUP($C144,Assumptions!$A$4:$F$7,4,FALSE),0)</f>
        <v/>
      </c>
      <c r="AA144" s="3">
        <f>N(T144)*IFERROR(VLOOKUP($C144,Assumptions!$A$4:$F$7,5,FALSE),0)</f>
        <v/>
      </c>
      <c r="AB144" s="3">
        <f>N(U144)</f>
        <v/>
      </c>
      <c r="AC144" s="3">
        <f>SUM(W144:AB144)</f>
        <v/>
      </c>
      <c r="AD144" s="3">
        <f>N(AC144)*N(M144)/90</f>
        <v/>
      </c>
      <c r="AE144" s="3">
        <f>IFERROR(AD144-VLOOKUP($C144,Assumptions!$A$29:$C$32,3,FALSE),"")</f>
        <v/>
      </c>
      <c r="AF144" s="3">
        <f>IFERROR(AE144/F144,"")</f>
        <v/>
      </c>
      <c r="AG144">
        <f>IF(AND($E144=TRUE,$C144="GKP"),AD144,"")</f>
        <v/>
      </c>
      <c r="AH144">
        <f>IF(AND($E144=TRUE,$C144="DEF"),AD144,"")</f>
        <v/>
      </c>
      <c r="AI144">
        <f>IF(AND($E144=TRUE,$C144="MID"),AD144,"")</f>
        <v/>
      </c>
      <c r="AJ144">
        <f>IF(AND($E144=TRUE,$C144="FWD"),AD144,"")</f>
        <v/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b">
        <v>1</v>
      </c>
      <c r="F145" s="2" t="n">
        <v>5</v>
      </c>
      <c r="G145" t="inlineStr">
        <is>
          <t>a</t>
        </is>
      </c>
      <c r="I145" s="2" t="n">
        <v>1869</v>
      </c>
      <c r="J145" t="n">
        <v>91</v>
      </c>
      <c r="K145" s="3" t="n">
        <v>5</v>
      </c>
      <c r="L145" t="inlineStr">
        <is>
          <t>flat</t>
        </is>
      </c>
      <c r="M145" s="4" t="n">
        <v>1869</v>
      </c>
      <c r="N145" s="4" t="n">
        <v>0.237</v>
      </c>
      <c r="O145" s="3" t="n">
        <v>0.0701</v>
      </c>
      <c r="P145" t="inlineStr">
        <is>
          <t>adjusted xGOT</t>
        </is>
      </c>
      <c r="Q145" s="3" t="n">
        <v>1.047</v>
      </c>
      <c r="R145" s="3" t="n">
        <v>7.7</v>
      </c>
      <c r="S145" s="3" t="n">
        <v>0.0738</v>
      </c>
      <c r="T145" s="3" t="n">
        <v>0.409</v>
      </c>
      <c r="U145" s="3" t="n">
        <v>0.4815</v>
      </c>
      <c r="V145" s="3" t="n">
        <v>2.071</v>
      </c>
      <c r="W145" s="3">
        <f>IF(V145="",IFERROR(VLOOKUP($C145,Assumptions!$A$4:$F$7,6,FALSE),0),V145)</f>
        <v/>
      </c>
      <c r="X145" s="3">
        <f>N(O145)*IFERROR(VLOOKUP($C145,Assumptions!$A$4:$F$7,2,FALSE),0)</f>
        <v/>
      </c>
      <c r="Y145" s="3">
        <f>N(S145)*IFERROR(VLOOKUP($C145,Assumptions!$A$4:$F$7,3,FALSE),0)*Assumptions!$B$11</f>
        <v/>
      </c>
      <c r="Z145" s="3">
        <f>N(N145)*IFERROR(VLOOKUP($C145,Assumptions!$A$4:$F$7,4,FALSE),0)</f>
        <v/>
      </c>
      <c r="AA145" s="3">
        <f>N(T145)*IFERROR(VLOOKUP($C145,Assumptions!$A$4:$F$7,5,FALSE),0)</f>
        <v/>
      </c>
      <c r="AB145" s="3">
        <f>N(U145)</f>
        <v/>
      </c>
      <c r="AC145" s="3">
        <f>SUM(W145:AB145)</f>
        <v/>
      </c>
      <c r="AD145" s="3">
        <f>N(AC145)*N(M145)/90</f>
        <v/>
      </c>
      <c r="AE145" s="3">
        <f>IFERROR(AD145-VLOOKUP($C145,Assumptions!$A$29:$C$32,3,FALSE),"")</f>
        <v/>
      </c>
      <c r="AF145" s="3">
        <f>IFERROR(AE145/F145,"")</f>
        <v/>
      </c>
      <c r="AG145">
        <f>IF(AND($E145=TRUE,$C145="GKP"),AD145,"")</f>
        <v/>
      </c>
      <c r="AH145">
        <f>IF(AND($E145=TRUE,$C145="DEF"),AD145,"")</f>
        <v/>
      </c>
      <c r="AI145">
        <f>IF(AND($E145=TRUE,$C145="MID"),AD145,"")</f>
        <v/>
      </c>
      <c r="AJ145">
        <f>IF(AND($E145=TRUE,$C145="FWD"),AD145,"")</f>
        <v/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b">
        <v>1</v>
      </c>
      <c r="F146" s="2" t="n">
        <v>5</v>
      </c>
      <c r="G146" t="inlineStr">
        <is>
          <t>a</t>
        </is>
      </c>
      <c r="I146" s="2" t="n">
        <v>2904</v>
      </c>
      <c r="J146" t="n">
        <v>91</v>
      </c>
      <c r="K146" s="3" t="n">
        <v>2337</v>
      </c>
      <c r="L146" t="inlineStr">
        <is>
          <t>flat</t>
        </is>
      </c>
      <c r="M146" s="4" t="n">
        <v>2904</v>
      </c>
      <c r="N146" s="4" t="n">
        <v>0.237</v>
      </c>
      <c r="O146" s="3" t="n">
        <v>0.0373</v>
      </c>
      <c r="P146" t="inlineStr">
        <is>
          <t>adjusted xGOT</t>
        </is>
      </c>
      <c r="Q146" s="3" t="n">
        <v>0.781</v>
      </c>
      <c r="R146" s="3" t="n">
        <v>4</v>
      </c>
      <c r="S146" s="3" t="n">
        <v>0.054</v>
      </c>
      <c r="T146" s="3" t="n">
        <v>0.147</v>
      </c>
      <c r="U146" s="3" t="n">
        <v>0.093</v>
      </c>
      <c r="V146" s="3" t="n">
        <v>2.107</v>
      </c>
      <c r="W146" s="3">
        <f>IF(V146="",IFERROR(VLOOKUP($C146,Assumptions!$A$4:$F$7,6,FALSE),0),V146)</f>
        <v/>
      </c>
      <c r="X146" s="3">
        <f>N(O146)*IFERROR(VLOOKUP($C146,Assumptions!$A$4:$F$7,2,FALSE),0)</f>
        <v/>
      </c>
      <c r="Y146" s="3">
        <f>N(S146)*IFERROR(VLOOKUP($C146,Assumptions!$A$4:$F$7,3,FALSE),0)*Assumptions!$B$11</f>
        <v/>
      </c>
      <c r="Z146" s="3">
        <f>N(N146)*IFERROR(VLOOKUP($C146,Assumptions!$A$4:$F$7,4,FALSE),0)</f>
        <v/>
      </c>
      <c r="AA146" s="3">
        <f>N(T146)*IFERROR(VLOOKUP($C146,Assumptions!$A$4:$F$7,5,FALSE),0)</f>
        <v/>
      </c>
      <c r="AB146" s="3">
        <f>N(U146)</f>
        <v/>
      </c>
      <c r="AC146" s="3">
        <f>SUM(W146:AB146)</f>
        <v/>
      </c>
      <c r="AD146" s="3">
        <f>N(AC146)*N(M146)/90</f>
        <v/>
      </c>
      <c r="AE146" s="3">
        <f>IFERROR(AD146-VLOOKUP($C146,Assumptions!$A$29:$C$32,3,FALSE),"")</f>
        <v/>
      </c>
      <c r="AF146" s="3">
        <f>IFERROR(AE146/F146,"")</f>
        <v/>
      </c>
      <c r="AG146">
        <f>IF(AND($E146=TRUE,$C146="GKP"),AD146,"")</f>
        <v/>
      </c>
      <c r="AH146">
        <f>IF(AND($E146=TRUE,$C146="DEF"),AD146,"")</f>
        <v/>
      </c>
      <c r="AI146">
        <f>IF(AND($E146=TRUE,$C146="MID"),AD146,"")</f>
        <v/>
      </c>
      <c r="AJ146">
        <f>IF(AND($E146=TRUE,$C146="FWD"),AD146,"")</f>
        <v/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b">
        <v>1</v>
      </c>
      <c r="F147" s="2" t="n">
        <v>6</v>
      </c>
      <c r="G147" t="inlineStr">
        <is>
          <t>a</t>
        </is>
      </c>
      <c r="I147" s="2" t="n">
        <v>2339</v>
      </c>
      <c r="J147" t="n">
        <v>91</v>
      </c>
      <c r="K147" s="3" t="n">
        <v>1653</v>
      </c>
      <c r="L147" t="inlineStr">
        <is>
          <t>fade (losing his place)</t>
        </is>
      </c>
      <c r="M147" s="4" t="n">
        <v>2339</v>
      </c>
      <c r="N147" s="4" t="n">
        <v>0.21</v>
      </c>
      <c r="O147" s="3" t="n">
        <v>0.2011</v>
      </c>
      <c r="P147" t="inlineStr">
        <is>
          <t>adjusted xGOT</t>
        </is>
      </c>
      <c r="Q147" s="3" t="n">
        <v>0.957</v>
      </c>
      <c r="R147" s="3" t="n">
        <v>10.7</v>
      </c>
      <c r="S147" s="3" t="n">
        <v>0.1998</v>
      </c>
      <c r="T147" s="3" t="n">
        <v>0</v>
      </c>
      <c r="U147" s="3" t="n">
        <v>0.2309</v>
      </c>
      <c r="V147" s="3" t="n">
        <v>2.116</v>
      </c>
      <c r="W147" s="3">
        <f>IF(V147="",IFERROR(VLOOKUP($C147,Assumptions!$A$4:$F$7,6,FALSE),0),V147)</f>
        <v/>
      </c>
      <c r="X147" s="3">
        <f>N(O147)*IFERROR(VLOOKUP($C147,Assumptions!$A$4:$F$7,2,FALSE),0)</f>
        <v/>
      </c>
      <c r="Y147" s="3">
        <f>N(S147)*IFERROR(VLOOKUP($C147,Assumptions!$A$4:$F$7,3,FALSE),0)*Assumptions!$B$11</f>
        <v/>
      </c>
      <c r="Z147" s="3">
        <f>N(N147)*IFERROR(VLOOKUP($C147,Assumptions!$A$4:$F$7,4,FALSE),0)</f>
        <v/>
      </c>
      <c r="AA147" s="3">
        <f>N(T147)*IFERROR(VLOOKUP($C147,Assumptions!$A$4:$F$7,5,FALSE),0)</f>
        <v/>
      </c>
      <c r="AB147" s="3">
        <f>N(U147)</f>
        <v/>
      </c>
      <c r="AC147" s="3">
        <f>SUM(W147:AB147)</f>
        <v/>
      </c>
      <c r="AD147" s="3">
        <f>N(AC147)*N(M147)/90</f>
        <v/>
      </c>
      <c r="AE147" s="3">
        <f>IFERROR(AD147-VLOOKUP($C147,Assumptions!$A$29:$C$32,3,FALSE),"")</f>
        <v/>
      </c>
      <c r="AF147" s="3">
        <f>IFERROR(AE147/F147,"")</f>
        <v/>
      </c>
      <c r="AG147">
        <f>IF(AND($E147=TRUE,$C147="GKP"),AD147,"")</f>
        <v/>
      </c>
      <c r="AH147">
        <f>IF(AND($E147=TRUE,$C147="DEF"),AD147,"")</f>
        <v/>
      </c>
      <c r="AI147">
        <f>IF(AND($E147=TRUE,$C147="MID"),AD147,"")</f>
        <v/>
      </c>
      <c r="AJ147">
        <f>IF(AND($E147=TRUE,$C147="FWD"),AD147,"")</f>
        <v/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b">
        <v>1</v>
      </c>
      <c r="F148" s="2" t="n">
        <v>5.5</v>
      </c>
      <c r="G148" t="inlineStr">
        <is>
          <t>a</t>
        </is>
      </c>
      <c r="I148" s="2" t="n">
        <v>2340</v>
      </c>
      <c r="J148" t="n">
        <v>91</v>
      </c>
      <c r="K148" s="3" t="n">
        <v>3385</v>
      </c>
      <c r="L148" t="inlineStr">
        <is>
          <t>flat</t>
        </is>
      </c>
      <c r="M148" s="4" t="n">
        <v>2340</v>
      </c>
      <c r="N148" s="4" t="n">
        <v>0.263</v>
      </c>
      <c r="O148" s="3" t="n">
        <v>0</v>
      </c>
      <c r="P148" t="inlineStr">
        <is>
          <t>blended xG</t>
        </is>
      </c>
      <c r="Q148" s="3" t="n">
        <v>1</v>
      </c>
      <c r="R148" s="3" t="n">
        <v>0</v>
      </c>
      <c r="S148" s="3" t="n">
        <v>0.0005999999999999999</v>
      </c>
      <c r="T148" s="3" t="n">
        <v>0</v>
      </c>
      <c r="U148" s="3" t="n">
        <v>0.3077</v>
      </c>
      <c r="V148" s="3" t="n">
        <v>2</v>
      </c>
      <c r="W148" s="3">
        <f>IF(V148="",IFERROR(VLOOKUP($C148,Assumptions!$A$4:$F$7,6,FALSE),0),V148)</f>
        <v/>
      </c>
      <c r="X148" s="3">
        <f>N(O148)*IFERROR(VLOOKUP($C148,Assumptions!$A$4:$F$7,2,FALSE),0)</f>
        <v/>
      </c>
      <c r="Y148" s="3">
        <f>N(S148)*IFERROR(VLOOKUP($C148,Assumptions!$A$4:$F$7,3,FALSE),0)*Assumptions!$B$11</f>
        <v/>
      </c>
      <c r="Z148" s="3">
        <f>N(N148)*IFERROR(VLOOKUP($C148,Assumptions!$A$4:$F$7,4,FALSE),0)</f>
        <v/>
      </c>
      <c r="AA148" s="3">
        <f>N(T148)*IFERROR(VLOOKUP($C148,Assumptions!$A$4:$F$7,5,FALSE),0)</f>
        <v/>
      </c>
      <c r="AB148" s="3">
        <f>N(U148)</f>
        <v/>
      </c>
      <c r="AC148" s="3">
        <f>SUM(W148:AB148)</f>
        <v/>
      </c>
      <c r="AD148" s="3">
        <f>N(AC148)*N(M148)/90</f>
        <v/>
      </c>
      <c r="AE148" s="3">
        <f>IFERROR(AD148-VLOOKUP($C148,Assumptions!$A$29:$C$32,3,FALSE),"")</f>
        <v/>
      </c>
      <c r="AF148" s="3">
        <f>IFERROR(AE148/F148,"")</f>
        <v/>
      </c>
      <c r="AG148">
        <f>IF(AND($E148=TRUE,$C148="GKP"),AD148,"")</f>
        <v/>
      </c>
      <c r="AH148">
        <f>IF(AND($E148=TRUE,$C148="DEF"),AD148,"")</f>
        <v/>
      </c>
      <c r="AI148">
        <f>IF(AND($E148=TRUE,$C148="MID"),AD148,"")</f>
        <v/>
      </c>
      <c r="AJ148">
        <f>IF(AND($E148=TRUE,$C148="FWD"),AD148,"")</f>
        <v/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b">
        <v>1</v>
      </c>
      <c r="F149" s="2" t="n">
        <v>4.5</v>
      </c>
      <c r="G149" t="inlineStr">
        <is>
          <t>a</t>
        </is>
      </c>
      <c r="I149" s="2" t="n">
        <v>2790</v>
      </c>
      <c r="J149" t="n">
        <v>90</v>
      </c>
      <c r="K149" s="3" t="n">
        <v>0</v>
      </c>
      <c r="L149" t="inlineStr">
        <is>
          <t>flat</t>
        </is>
      </c>
      <c r="M149" s="4" t="n">
        <v>2790</v>
      </c>
      <c r="N149" s="4" t="n">
        <v>0.237</v>
      </c>
      <c r="O149" s="3" t="n">
        <v>0</v>
      </c>
      <c r="P149" t="inlineStr">
        <is>
          <t>blended xG</t>
        </is>
      </c>
      <c r="Q149" s="3" t="n">
        <v>1</v>
      </c>
      <c r="R149" s="3" t="n">
        <v>0</v>
      </c>
      <c r="S149" s="3" t="n">
        <v>0.0018</v>
      </c>
      <c r="T149" s="3" t="n">
        <v>0</v>
      </c>
      <c r="U149" s="3" t="n">
        <v>0.2258</v>
      </c>
      <c r="V149" s="3" t="n">
        <v>2</v>
      </c>
      <c r="W149" s="3">
        <f>IF(V149="",IFERROR(VLOOKUP($C149,Assumptions!$A$4:$F$7,6,FALSE),0),V149)</f>
        <v/>
      </c>
      <c r="X149" s="3">
        <f>N(O149)*IFERROR(VLOOKUP($C149,Assumptions!$A$4:$F$7,2,FALSE),0)</f>
        <v/>
      </c>
      <c r="Y149" s="3">
        <f>N(S149)*IFERROR(VLOOKUP($C149,Assumptions!$A$4:$F$7,3,FALSE),0)*Assumptions!$B$11</f>
        <v/>
      </c>
      <c r="Z149" s="3">
        <f>N(N149)*IFERROR(VLOOKUP($C149,Assumptions!$A$4:$F$7,4,FALSE),0)</f>
        <v/>
      </c>
      <c r="AA149" s="3">
        <f>N(T149)*IFERROR(VLOOKUP($C149,Assumptions!$A$4:$F$7,5,FALSE),0)</f>
        <v/>
      </c>
      <c r="AB149" s="3">
        <f>N(U149)</f>
        <v/>
      </c>
      <c r="AC149" s="3">
        <f>SUM(W149:AB149)</f>
        <v/>
      </c>
      <c r="AD149" s="3">
        <f>N(AC149)*N(M149)/90</f>
        <v/>
      </c>
      <c r="AE149" s="3">
        <f>IFERROR(AD149-VLOOKUP($C149,Assumptions!$A$29:$C$32,3,FALSE),"")</f>
        <v/>
      </c>
      <c r="AF149" s="3">
        <f>IFERROR(AE149/F149,"")</f>
        <v/>
      </c>
      <c r="AG149">
        <f>IF(AND($E149=TRUE,$C149="GKP"),AD149,"")</f>
        <v/>
      </c>
      <c r="AH149">
        <f>IF(AND($E149=TRUE,$C149="DEF"),AD149,"")</f>
        <v/>
      </c>
      <c r="AI149">
        <f>IF(AND($E149=TRUE,$C149="MID"),AD149,"")</f>
        <v/>
      </c>
      <c r="AJ149">
        <f>IF(AND($E149=TRUE,$C149="FWD"),AD149,"")</f>
        <v/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b">
        <v>1</v>
      </c>
      <c r="F150" s="2" t="n">
        <v>5</v>
      </c>
      <c r="G150" t="inlineStr">
        <is>
          <t>a</t>
        </is>
      </c>
      <c r="I150" s="2" t="n">
        <v>1649</v>
      </c>
      <c r="J150" t="n">
        <v>90</v>
      </c>
      <c r="K150" s="3" t="n">
        <v>1972</v>
      </c>
      <c r="L150" t="inlineStr">
        <is>
          <t>flat</t>
        </is>
      </c>
      <c r="M150" s="4" t="n">
        <v>1649</v>
      </c>
      <c r="N150" s="4" t="n">
        <v>0.21</v>
      </c>
      <c r="O150" s="3" t="n">
        <v>0.0541</v>
      </c>
      <c r="P150" t="inlineStr">
        <is>
          <t>adjusted xGOT</t>
        </is>
      </c>
      <c r="Q150" s="3" t="n">
        <v>0.885</v>
      </c>
      <c r="R150" s="3" t="n">
        <v>5.2</v>
      </c>
      <c r="S150" s="3" t="n">
        <v>0.0334</v>
      </c>
      <c r="T150" s="3" t="n">
        <v>0.421</v>
      </c>
      <c r="U150" s="3" t="n">
        <v>0.2183</v>
      </c>
      <c r="V150" s="3" t="n">
        <v>2.292</v>
      </c>
      <c r="W150" s="3">
        <f>IF(V150="",IFERROR(VLOOKUP($C150,Assumptions!$A$4:$F$7,6,FALSE),0),V150)</f>
        <v/>
      </c>
      <c r="X150" s="3">
        <f>N(O150)*IFERROR(VLOOKUP($C150,Assumptions!$A$4:$F$7,2,FALSE),0)</f>
        <v/>
      </c>
      <c r="Y150" s="3">
        <f>N(S150)*IFERROR(VLOOKUP($C150,Assumptions!$A$4:$F$7,3,FALSE),0)*Assumptions!$B$11</f>
        <v/>
      </c>
      <c r="Z150" s="3">
        <f>N(N150)*IFERROR(VLOOKUP($C150,Assumptions!$A$4:$F$7,4,FALSE),0)</f>
        <v/>
      </c>
      <c r="AA150" s="3">
        <f>N(T150)*IFERROR(VLOOKUP($C150,Assumptions!$A$4:$F$7,5,FALSE),0)</f>
        <v/>
      </c>
      <c r="AB150" s="3">
        <f>N(U150)</f>
        <v/>
      </c>
      <c r="AC150" s="3">
        <f>SUM(W150:AB150)</f>
        <v/>
      </c>
      <c r="AD150" s="3">
        <f>N(AC150)*N(M150)/90</f>
        <v/>
      </c>
      <c r="AE150" s="3">
        <f>IFERROR(AD150-VLOOKUP($C150,Assumptions!$A$29:$C$32,3,FALSE),"")</f>
        <v/>
      </c>
      <c r="AF150" s="3">
        <f>IFERROR(AE150/F150,"")</f>
        <v/>
      </c>
      <c r="AG150">
        <f>IF(AND($E150=TRUE,$C150="GKP"),AD150,"")</f>
        <v/>
      </c>
      <c r="AH150">
        <f>IF(AND($E150=TRUE,$C150="DEF"),AD150,"")</f>
        <v/>
      </c>
      <c r="AI150">
        <f>IF(AND($E150=TRUE,$C150="MID"),AD150,"")</f>
        <v/>
      </c>
      <c r="AJ150">
        <f>IF(AND($E150=TRUE,$C150="FWD"),AD150,"")</f>
        <v/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b">
        <v>1</v>
      </c>
      <c r="F151" s="2" t="n">
        <v>5</v>
      </c>
      <c r="G151" t="inlineStr">
        <is>
          <t>a</t>
        </is>
      </c>
      <c r="I151" s="2" t="n">
        <v>1834</v>
      </c>
      <c r="J151" t="n">
        <v>89</v>
      </c>
      <c r="K151" s="3" t="n">
        <v>2440</v>
      </c>
      <c r="L151" t="inlineStr">
        <is>
          <t>flat</t>
        </is>
      </c>
      <c r="M151" s="4" t="n">
        <v>1834</v>
      </c>
      <c r="N151" s="4" t="n">
        <v>0.21</v>
      </c>
      <c r="O151" s="3" t="n">
        <v>0.0794</v>
      </c>
      <c r="P151" t="inlineStr">
        <is>
          <t>adjusted xGOT</t>
        </is>
      </c>
      <c r="Q151" s="3" t="n">
        <v>0.9350000000000001</v>
      </c>
      <c r="R151" s="3" t="n">
        <v>5.7</v>
      </c>
      <c r="S151" s="3" t="n">
        <v>0.0575</v>
      </c>
      <c r="T151" s="3" t="n">
        <v>0.524</v>
      </c>
      <c r="U151" s="3" t="n">
        <v>0.2944</v>
      </c>
      <c r="V151" s="3" t="n">
        <v>2.208</v>
      </c>
      <c r="W151" s="3">
        <f>IF(V151="",IFERROR(VLOOKUP($C151,Assumptions!$A$4:$F$7,6,FALSE),0),V151)</f>
        <v/>
      </c>
      <c r="X151" s="3">
        <f>N(O151)*IFERROR(VLOOKUP($C151,Assumptions!$A$4:$F$7,2,FALSE),0)</f>
        <v/>
      </c>
      <c r="Y151" s="3">
        <f>N(S151)*IFERROR(VLOOKUP($C151,Assumptions!$A$4:$F$7,3,FALSE),0)*Assumptions!$B$11</f>
        <v/>
      </c>
      <c r="Z151" s="3">
        <f>N(N151)*IFERROR(VLOOKUP($C151,Assumptions!$A$4:$F$7,4,FALSE),0)</f>
        <v/>
      </c>
      <c r="AA151" s="3">
        <f>N(T151)*IFERROR(VLOOKUP($C151,Assumptions!$A$4:$F$7,5,FALSE),0)</f>
        <v/>
      </c>
      <c r="AB151" s="3">
        <f>N(U151)</f>
        <v/>
      </c>
      <c r="AC151" s="3">
        <f>SUM(W151:AB151)</f>
        <v/>
      </c>
      <c r="AD151" s="3">
        <f>N(AC151)*N(M151)/90</f>
        <v/>
      </c>
      <c r="AE151" s="3">
        <f>IFERROR(AD151-VLOOKUP($C151,Assumptions!$A$29:$C$32,3,FALSE),"")</f>
        <v/>
      </c>
      <c r="AF151" s="3">
        <f>IFERROR(AE151/F151,"")</f>
        <v/>
      </c>
      <c r="AG151">
        <f>IF(AND($E151=TRUE,$C151="GKP"),AD151,"")</f>
        <v/>
      </c>
      <c r="AH151">
        <f>IF(AND($E151=TRUE,$C151="DEF"),AD151,"")</f>
        <v/>
      </c>
      <c r="AI151">
        <f>IF(AND($E151=TRUE,$C151="MID"),AD151,"")</f>
        <v/>
      </c>
      <c r="AJ151">
        <f>IF(AND($E151=TRUE,$C151="FWD"),AD151,"")</f>
        <v/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b">
        <v>1</v>
      </c>
      <c r="F152" s="2" t="n">
        <v>5</v>
      </c>
      <c r="G152" t="inlineStr">
        <is>
          <t>a</t>
        </is>
      </c>
      <c r="I152" s="2" t="n">
        <v>2073</v>
      </c>
      <c r="J152" t="n">
        <v>89</v>
      </c>
      <c r="K152" s="3" t="n">
        <v>2998</v>
      </c>
      <c r="L152" t="inlineStr">
        <is>
          <t>flat</t>
        </is>
      </c>
      <c r="M152" s="4" t="n">
        <v>2073</v>
      </c>
      <c r="N152" s="4" t="n">
        <v>0.237</v>
      </c>
      <c r="O152" s="3" t="n">
        <v>0.0511</v>
      </c>
      <c r="P152" t="inlineStr">
        <is>
          <t>adjusted xGOT</t>
        </is>
      </c>
      <c r="Q152" s="3" t="n">
        <v>1.015</v>
      </c>
      <c r="R152" s="3" t="n">
        <v>1.8</v>
      </c>
      <c r="S152" s="3" t="n">
        <v>0.07049999999999999</v>
      </c>
      <c r="T152" s="3" t="n">
        <v>0.36</v>
      </c>
      <c r="U152" s="3" t="n">
        <v>0.0868</v>
      </c>
      <c r="V152" s="3" t="n">
        <v>2.171</v>
      </c>
      <c r="W152" s="3">
        <f>IF(V152="",IFERROR(VLOOKUP($C152,Assumptions!$A$4:$F$7,6,FALSE),0),V152)</f>
        <v/>
      </c>
      <c r="X152" s="3">
        <f>N(O152)*IFERROR(VLOOKUP($C152,Assumptions!$A$4:$F$7,2,FALSE),0)</f>
        <v/>
      </c>
      <c r="Y152" s="3">
        <f>N(S152)*IFERROR(VLOOKUP($C152,Assumptions!$A$4:$F$7,3,FALSE),0)*Assumptions!$B$11</f>
        <v/>
      </c>
      <c r="Z152" s="3">
        <f>N(N152)*IFERROR(VLOOKUP($C152,Assumptions!$A$4:$F$7,4,FALSE),0)</f>
        <v/>
      </c>
      <c r="AA152" s="3">
        <f>N(T152)*IFERROR(VLOOKUP($C152,Assumptions!$A$4:$F$7,5,FALSE),0)</f>
        <v/>
      </c>
      <c r="AB152" s="3">
        <f>N(U152)</f>
        <v/>
      </c>
      <c r="AC152" s="3">
        <f>SUM(W152:AB152)</f>
        <v/>
      </c>
      <c r="AD152" s="3">
        <f>N(AC152)*N(M152)/90</f>
        <v/>
      </c>
      <c r="AE152" s="3">
        <f>IFERROR(AD152-VLOOKUP($C152,Assumptions!$A$29:$C$32,3,FALSE),"")</f>
        <v/>
      </c>
      <c r="AF152" s="3">
        <f>IFERROR(AE152/F152,"")</f>
        <v/>
      </c>
      <c r="AG152">
        <f>IF(AND($E152=TRUE,$C152="GKP"),AD152,"")</f>
        <v/>
      </c>
      <c r="AH152">
        <f>IF(AND($E152=TRUE,$C152="DEF"),AD152,"")</f>
        <v/>
      </c>
      <c r="AI152">
        <f>IF(AND($E152=TRUE,$C152="MID"),AD152,"")</f>
        <v/>
      </c>
      <c r="AJ152">
        <f>IF(AND($E152=TRUE,$C152="FWD"),AD152,"")</f>
        <v/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b">
        <v>1</v>
      </c>
      <c r="F153" s="2" t="n">
        <v>6</v>
      </c>
      <c r="G153" t="inlineStr">
        <is>
          <t>a</t>
        </is>
      </c>
      <c r="I153" s="2" t="n">
        <v>1838</v>
      </c>
      <c r="J153" t="n">
        <v>88</v>
      </c>
      <c r="K153" s="3" t="n">
        <v>739</v>
      </c>
      <c r="L153" t="inlineStr">
        <is>
          <t>flat</t>
        </is>
      </c>
      <c r="M153" s="4" t="n">
        <v>1838</v>
      </c>
      <c r="N153" s="4" t="n">
        <v>0.237</v>
      </c>
      <c r="O153" s="3" t="n">
        <v>0.1583</v>
      </c>
      <c r="P153" t="inlineStr">
        <is>
          <t>adjusted xGOT</t>
        </is>
      </c>
      <c r="Q153" s="3" t="n">
        <v>1.167</v>
      </c>
      <c r="R153" s="3" t="n">
        <v>7.9</v>
      </c>
      <c r="S153" s="3" t="n">
        <v>0.1703</v>
      </c>
      <c r="T153" s="3" t="n">
        <v>0</v>
      </c>
      <c r="U153" s="3" t="n">
        <v>0.3917</v>
      </c>
      <c r="V153" s="3" t="n">
        <v>2.301</v>
      </c>
      <c r="W153" s="3">
        <f>IF(V153="",IFERROR(VLOOKUP($C153,Assumptions!$A$4:$F$7,6,FALSE),0),V153)</f>
        <v/>
      </c>
      <c r="X153" s="3">
        <f>N(O153)*IFERROR(VLOOKUP($C153,Assumptions!$A$4:$F$7,2,FALSE),0)</f>
        <v/>
      </c>
      <c r="Y153" s="3">
        <f>N(S153)*IFERROR(VLOOKUP($C153,Assumptions!$A$4:$F$7,3,FALSE),0)*Assumptions!$B$11</f>
        <v/>
      </c>
      <c r="Z153" s="3">
        <f>N(N153)*IFERROR(VLOOKUP($C153,Assumptions!$A$4:$F$7,4,FALSE),0)</f>
        <v/>
      </c>
      <c r="AA153" s="3">
        <f>N(T153)*IFERROR(VLOOKUP($C153,Assumptions!$A$4:$F$7,5,FALSE),0)</f>
        <v/>
      </c>
      <c r="AB153" s="3">
        <f>N(U153)</f>
        <v/>
      </c>
      <c r="AC153" s="3">
        <f>SUM(W153:AB153)</f>
        <v/>
      </c>
      <c r="AD153" s="3">
        <f>N(AC153)*N(M153)/90</f>
        <v/>
      </c>
      <c r="AE153" s="3">
        <f>IFERROR(AD153-VLOOKUP($C153,Assumptions!$A$29:$C$32,3,FALSE),"")</f>
        <v/>
      </c>
      <c r="AF153" s="3">
        <f>IFERROR(AE153/F153,"")</f>
        <v/>
      </c>
      <c r="AG153">
        <f>IF(AND($E153=TRUE,$C153="GKP"),AD153,"")</f>
        <v/>
      </c>
      <c r="AH153">
        <f>IF(AND($E153=TRUE,$C153="DEF"),AD153,"")</f>
        <v/>
      </c>
      <c r="AI153">
        <f>IF(AND($E153=TRUE,$C153="MID"),AD153,"")</f>
        <v/>
      </c>
      <c r="AJ153">
        <f>IF(AND($E153=TRUE,$C153="FWD"),AD153,"")</f>
        <v/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b">
        <v>1</v>
      </c>
      <c r="F154" s="2" t="n">
        <v>5.5</v>
      </c>
      <c r="G154" t="inlineStr">
        <is>
          <t>a</t>
        </is>
      </c>
      <c r="I154" s="2" t="n">
        <v>1776</v>
      </c>
      <c r="J154" t="n">
        <v>87</v>
      </c>
      <c r="K154" s="3" t="n">
        <v>2611</v>
      </c>
      <c r="L154" t="inlineStr">
        <is>
          <t>flat</t>
        </is>
      </c>
      <c r="M154" s="4" t="n">
        <v>1776</v>
      </c>
      <c r="N154" s="4" t="n">
        <v>0.263</v>
      </c>
      <c r="O154" s="3" t="n">
        <v>0.1425</v>
      </c>
      <c r="P154" t="inlineStr">
        <is>
          <t>adjusted xGOT</t>
        </is>
      </c>
      <c r="Q154" s="3" t="n">
        <v>0.97</v>
      </c>
      <c r="R154" s="3" t="n">
        <v>7.9</v>
      </c>
      <c r="S154" s="3" t="n">
        <v>0.19</v>
      </c>
      <c r="T154" s="3" t="n">
        <v>0.05</v>
      </c>
      <c r="U154" s="3" t="n">
        <v>0.1014</v>
      </c>
      <c r="V154" s="3" t="n">
        <v>2.534</v>
      </c>
      <c r="W154" s="3">
        <f>IF(V154="",IFERROR(VLOOKUP($C154,Assumptions!$A$4:$F$7,6,FALSE),0),V154)</f>
        <v/>
      </c>
      <c r="X154" s="3">
        <f>N(O154)*IFERROR(VLOOKUP($C154,Assumptions!$A$4:$F$7,2,FALSE),0)</f>
        <v/>
      </c>
      <c r="Y154" s="3">
        <f>N(S154)*IFERROR(VLOOKUP($C154,Assumptions!$A$4:$F$7,3,FALSE),0)*Assumptions!$B$11</f>
        <v/>
      </c>
      <c r="Z154" s="3">
        <f>N(N154)*IFERROR(VLOOKUP($C154,Assumptions!$A$4:$F$7,4,FALSE),0)</f>
        <v/>
      </c>
      <c r="AA154" s="3">
        <f>N(T154)*IFERROR(VLOOKUP($C154,Assumptions!$A$4:$F$7,5,FALSE),0)</f>
        <v/>
      </c>
      <c r="AB154" s="3">
        <f>N(U154)</f>
        <v/>
      </c>
      <c r="AC154" s="3">
        <f>SUM(W154:AB154)</f>
        <v/>
      </c>
      <c r="AD154" s="3">
        <f>N(AC154)*N(M154)/90</f>
        <v/>
      </c>
      <c r="AE154" s="3">
        <f>IFERROR(AD154-VLOOKUP($C154,Assumptions!$A$29:$C$32,3,FALSE),"")</f>
        <v/>
      </c>
      <c r="AF154" s="3">
        <f>IFERROR(AE154/F154,"")</f>
        <v/>
      </c>
      <c r="AG154">
        <f>IF(AND($E154=TRUE,$C154="GKP"),AD154,"")</f>
        <v/>
      </c>
      <c r="AH154">
        <f>IF(AND($E154=TRUE,$C154="DEF"),AD154,"")</f>
        <v/>
      </c>
      <c r="AI154">
        <f>IF(AND($E154=TRUE,$C154="MID"),AD154,"")</f>
        <v/>
      </c>
      <c r="AJ154">
        <f>IF(AND($E154=TRUE,$C154="FWD"),AD154,"")</f>
        <v/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b">
        <v>1</v>
      </c>
      <c r="F155" s="2" t="n">
        <v>5.5</v>
      </c>
      <c r="G155" t="inlineStr">
        <is>
          <t>a</t>
        </is>
      </c>
      <c r="I155" s="2" t="n">
        <v>1787</v>
      </c>
      <c r="J155" t="n">
        <v>87</v>
      </c>
      <c r="K155" s="3" t="n">
        <v>1043</v>
      </c>
      <c r="L155" t="inlineStr">
        <is>
          <t>flat</t>
        </is>
      </c>
      <c r="M155" s="4" t="n">
        <v>1787</v>
      </c>
      <c r="N155" s="4" t="n">
        <v>0.5</v>
      </c>
      <c r="O155" s="3" t="n">
        <v>0.018</v>
      </c>
      <c r="P155" t="inlineStr">
        <is>
          <t>adjusted xGOT</t>
        </is>
      </c>
      <c r="Q155" s="3" t="n">
        <v>0.993</v>
      </c>
      <c r="R155" s="3" t="n">
        <v>0.4</v>
      </c>
      <c r="S155" s="3" t="n">
        <v>0.0956</v>
      </c>
      <c r="T155" s="3" t="n">
        <v>0.35</v>
      </c>
      <c r="U155" s="3" t="n">
        <v>0.2518</v>
      </c>
      <c r="V155" s="3" t="n">
        <v>2.166</v>
      </c>
      <c r="W155" s="3">
        <f>IF(V155="",IFERROR(VLOOKUP($C155,Assumptions!$A$4:$F$7,6,FALSE),0),V155)</f>
        <v/>
      </c>
      <c r="X155" s="3">
        <f>N(O155)*IFERROR(VLOOKUP($C155,Assumptions!$A$4:$F$7,2,FALSE),0)</f>
        <v/>
      </c>
      <c r="Y155" s="3">
        <f>N(S155)*IFERROR(VLOOKUP($C155,Assumptions!$A$4:$F$7,3,FALSE),0)*Assumptions!$B$11</f>
        <v/>
      </c>
      <c r="Z155" s="3">
        <f>N(N155)*IFERROR(VLOOKUP($C155,Assumptions!$A$4:$F$7,4,FALSE),0)</f>
        <v/>
      </c>
      <c r="AA155" s="3">
        <f>N(T155)*IFERROR(VLOOKUP($C155,Assumptions!$A$4:$F$7,5,FALSE),0)</f>
        <v/>
      </c>
      <c r="AB155" s="3">
        <f>N(U155)</f>
        <v/>
      </c>
      <c r="AC155" s="3">
        <f>SUM(W155:AB155)</f>
        <v/>
      </c>
      <c r="AD155" s="3">
        <f>N(AC155)*N(M155)/90</f>
        <v/>
      </c>
      <c r="AE155" s="3">
        <f>IFERROR(AD155-VLOOKUP($C155,Assumptions!$A$29:$C$32,3,FALSE),"")</f>
        <v/>
      </c>
      <c r="AF155" s="3">
        <f>IFERROR(AE155/F155,"")</f>
        <v/>
      </c>
      <c r="AG155">
        <f>IF(AND($E155=TRUE,$C155="GKP"),AD155,"")</f>
        <v/>
      </c>
      <c r="AH155">
        <f>IF(AND($E155=TRUE,$C155="DEF"),AD155,"")</f>
        <v/>
      </c>
      <c r="AI155">
        <f>IF(AND($E155=TRUE,$C155="MID"),AD155,"")</f>
        <v/>
      </c>
      <c r="AJ155">
        <f>IF(AND($E155=TRUE,$C155="FWD"),AD155,"")</f>
        <v/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b">
        <v>1</v>
      </c>
      <c r="F156" s="2" t="n">
        <v>5.5</v>
      </c>
      <c r="G156" t="inlineStr">
        <is>
          <t>a</t>
        </is>
      </c>
      <c r="I156" s="2" t="n">
        <v>1880</v>
      </c>
      <c r="J156" t="n">
        <v>86</v>
      </c>
      <c r="K156" s="3" t="n">
        <v>356</v>
      </c>
      <c r="L156" t="inlineStr">
        <is>
          <t>fade (losing his place)</t>
        </is>
      </c>
      <c r="M156" s="4" t="n">
        <v>1880</v>
      </c>
      <c r="N156" s="4" t="n">
        <v>0.237</v>
      </c>
      <c r="O156" s="3" t="n">
        <v>0.0346</v>
      </c>
      <c r="P156" t="inlineStr">
        <is>
          <t>adjusted xGOT</t>
        </is>
      </c>
      <c r="Q156" s="3" t="n">
        <v>1.004</v>
      </c>
      <c r="R156" s="3" t="n">
        <v>6.4</v>
      </c>
      <c r="S156" s="3" t="n">
        <v>0.0411</v>
      </c>
      <c r="T156" s="3" t="n">
        <v>0.5649999999999999</v>
      </c>
      <c r="U156" s="3" t="n">
        <v>0.1915</v>
      </c>
      <c r="V156" s="3" t="n">
        <v>2.25</v>
      </c>
      <c r="W156" s="3">
        <f>IF(V156="",IFERROR(VLOOKUP($C156,Assumptions!$A$4:$F$7,6,FALSE),0),V156)</f>
        <v/>
      </c>
      <c r="X156" s="3">
        <f>N(O156)*IFERROR(VLOOKUP($C156,Assumptions!$A$4:$F$7,2,FALSE),0)</f>
        <v/>
      </c>
      <c r="Y156" s="3">
        <f>N(S156)*IFERROR(VLOOKUP($C156,Assumptions!$A$4:$F$7,3,FALSE),0)*Assumptions!$B$11</f>
        <v/>
      </c>
      <c r="Z156" s="3">
        <f>N(N156)*IFERROR(VLOOKUP($C156,Assumptions!$A$4:$F$7,4,FALSE),0)</f>
        <v/>
      </c>
      <c r="AA156" s="3">
        <f>N(T156)*IFERROR(VLOOKUP($C156,Assumptions!$A$4:$F$7,5,FALSE),0)</f>
        <v/>
      </c>
      <c r="AB156" s="3">
        <f>N(U156)</f>
        <v/>
      </c>
      <c r="AC156" s="3">
        <f>SUM(W156:AB156)</f>
        <v/>
      </c>
      <c r="AD156" s="3">
        <f>N(AC156)*N(M156)/90</f>
        <v/>
      </c>
      <c r="AE156" s="3">
        <f>IFERROR(AD156-VLOOKUP($C156,Assumptions!$A$29:$C$32,3,FALSE),"")</f>
        <v/>
      </c>
      <c r="AF156" s="3">
        <f>IFERROR(AE156/F156,"")</f>
        <v/>
      </c>
      <c r="AG156">
        <f>IF(AND($E156=TRUE,$C156="GKP"),AD156,"")</f>
        <v/>
      </c>
      <c r="AH156">
        <f>IF(AND($E156=TRUE,$C156="DEF"),AD156,"")</f>
        <v/>
      </c>
      <c r="AI156">
        <f>IF(AND($E156=TRUE,$C156="MID"),AD156,"")</f>
        <v/>
      </c>
      <c r="AJ156">
        <f>IF(AND($E156=TRUE,$C156="FWD"),AD156,"")</f>
        <v/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b">
        <v>1</v>
      </c>
      <c r="F157" s="2" t="n">
        <v>5.5</v>
      </c>
      <c r="G157" t="inlineStr">
        <is>
          <t>a</t>
        </is>
      </c>
      <c r="I157" s="2" t="n">
        <v>2251</v>
      </c>
      <c r="J157" t="n">
        <v>85</v>
      </c>
      <c r="K157" s="3" t="n">
        <v>3137</v>
      </c>
      <c r="L157" t="inlineStr">
        <is>
          <t>flat</t>
        </is>
      </c>
      <c r="M157" s="4" t="n">
        <v>2251</v>
      </c>
      <c r="N157" s="4" t="n">
        <v>0.263</v>
      </c>
      <c r="O157" s="3" t="n">
        <v>0.0573</v>
      </c>
      <c r="P157" t="inlineStr">
        <is>
          <t>adjusted xGOT</t>
        </is>
      </c>
      <c r="Q157" s="3" t="n">
        <v>0.954</v>
      </c>
      <c r="R157" s="3" t="n">
        <v>3.4</v>
      </c>
      <c r="S157" s="3" t="n">
        <v>0.051</v>
      </c>
      <c r="T157" s="3" t="n">
        <v>0.037</v>
      </c>
      <c r="U157" s="3" t="n">
        <v>0.1199</v>
      </c>
      <c r="V157" s="3" t="n">
        <v>2.279</v>
      </c>
      <c r="W157" s="3">
        <f>IF(V157="",IFERROR(VLOOKUP($C157,Assumptions!$A$4:$F$7,6,FALSE),0),V157)</f>
        <v/>
      </c>
      <c r="X157" s="3">
        <f>N(O157)*IFERROR(VLOOKUP($C157,Assumptions!$A$4:$F$7,2,FALSE),0)</f>
        <v/>
      </c>
      <c r="Y157" s="3">
        <f>N(S157)*IFERROR(VLOOKUP($C157,Assumptions!$A$4:$F$7,3,FALSE),0)*Assumptions!$B$11</f>
        <v/>
      </c>
      <c r="Z157" s="3">
        <f>N(N157)*IFERROR(VLOOKUP($C157,Assumptions!$A$4:$F$7,4,FALSE),0)</f>
        <v/>
      </c>
      <c r="AA157" s="3">
        <f>N(T157)*IFERROR(VLOOKUP($C157,Assumptions!$A$4:$F$7,5,FALSE),0)</f>
        <v/>
      </c>
      <c r="AB157" s="3">
        <f>N(U157)</f>
        <v/>
      </c>
      <c r="AC157" s="3">
        <f>SUM(W157:AB157)</f>
        <v/>
      </c>
      <c r="AD157" s="3">
        <f>N(AC157)*N(M157)/90</f>
        <v/>
      </c>
      <c r="AE157" s="3">
        <f>IFERROR(AD157-VLOOKUP($C157,Assumptions!$A$29:$C$32,3,FALSE),"")</f>
        <v/>
      </c>
      <c r="AF157" s="3">
        <f>IFERROR(AE157/F157,"")</f>
        <v/>
      </c>
      <c r="AG157">
        <f>IF(AND($E157=TRUE,$C157="GKP"),AD157,"")</f>
        <v/>
      </c>
      <c r="AH157">
        <f>IF(AND($E157=TRUE,$C157="DEF"),AD157,"")</f>
        <v/>
      </c>
      <c r="AI157">
        <f>IF(AND($E157=TRUE,$C157="MID"),AD157,"")</f>
        <v/>
      </c>
      <c r="AJ157">
        <f>IF(AND($E157=TRUE,$C157="FWD"),AD157,"")</f>
        <v/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b">
        <v>1</v>
      </c>
      <c r="F158" s="2" t="n">
        <v>4.5</v>
      </c>
      <c r="G158" t="inlineStr">
        <is>
          <t>a</t>
        </is>
      </c>
      <c r="I158" s="2" t="n">
        <v>1404</v>
      </c>
      <c r="J158" t="n">
        <v>84</v>
      </c>
      <c r="K158" s="3" t="n">
        <v>830</v>
      </c>
      <c r="L158" t="inlineStr">
        <is>
          <t>fade (losing his place)</t>
        </is>
      </c>
      <c r="M158" s="4" t="n">
        <v>1404</v>
      </c>
      <c r="N158" s="4" t="n">
        <v>0.263</v>
      </c>
      <c r="O158" s="3" t="n">
        <v>0.109</v>
      </c>
      <c r="P158" t="inlineStr">
        <is>
          <t>adjusted xGOT</t>
        </is>
      </c>
      <c r="Q158" s="3" t="n">
        <v>1.025</v>
      </c>
      <c r="R158" s="3" t="n">
        <v>1.7</v>
      </c>
      <c r="S158" s="3" t="n">
        <v>0.2809</v>
      </c>
      <c r="T158" s="3" t="n">
        <v>0</v>
      </c>
      <c r="U158" s="3" t="n">
        <v>0.5769</v>
      </c>
      <c r="V158" s="3" t="n">
        <v>2.692</v>
      </c>
      <c r="W158" s="3">
        <f>IF(V158="",IFERROR(VLOOKUP($C158,Assumptions!$A$4:$F$7,6,FALSE),0),V158)</f>
        <v/>
      </c>
      <c r="X158" s="3">
        <f>N(O158)*IFERROR(VLOOKUP($C158,Assumptions!$A$4:$F$7,2,FALSE),0)</f>
        <v/>
      </c>
      <c r="Y158" s="3">
        <f>N(S158)*IFERROR(VLOOKUP($C158,Assumptions!$A$4:$F$7,3,FALSE),0)*Assumptions!$B$11</f>
        <v/>
      </c>
      <c r="Z158" s="3">
        <f>N(N158)*IFERROR(VLOOKUP($C158,Assumptions!$A$4:$F$7,4,FALSE),0)</f>
        <v/>
      </c>
      <c r="AA158" s="3">
        <f>N(T158)*IFERROR(VLOOKUP($C158,Assumptions!$A$4:$F$7,5,FALSE),0)</f>
        <v/>
      </c>
      <c r="AB158" s="3">
        <f>N(U158)</f>
        <v/>
      </c>
      <c r="AC158" s="3">
        <f>SUM(W158:AB158)</f>
        <v/>
      </c>
      <c r="AD158" s="3">
        <f>N(AC158)*N(M158)/90</f>
        <v/>
      </c>
      <c r="AE158" s="3">
        <f>IFERROR(AD158-VLOOKUP($C158,Assumptions!$A$29:$C$32,3,FALSE),"")</f>
        <v/>
      </c>
      <c r="AF158" s="3">
        <f>IFERROR(AE158/F158,"")</f>
        <v/>
      </c>
      <c r="AG158">
        <f>IF(AND($E158=TRUE,$C158="GKP"),AD158,"")</f>
        <v/>
      </c>
      <c r="AH158">
        <f>IF(AND($E158=TRUE,$C158="DEF"),AD158,"")</f>
        <v/>
      </c>
      <c r="AI158">
        <f>IF(AND($E158=TRUE,$C158="MID"),AD158,"")</f>
        <v/>
      </c>
      <c r="AJ158">
        <f>IF(AND($E158=TRUE,$C158="FWD"),AD158,"")</f>
        <v/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b">
        <v>1</v>
      </c>
      <c r="F159" s="2" t="n">
        <v>5</v>
      </c>
      <c r="G159" t="inlineStr">
        <is>
          <t>a</t>
        </is>
      </c>
      <c r="I159" s="2" t="n">
        <v>2100</v>
      </c>
      <c r="J159" t="n">
        <v>84</v>
      </c>
      <c r="K159" s="3" t="n">
        <v>1881</v>
      </c>
      <c r="L159" t="inlineStr">
        <is>
          <t>flat</t>
        </is>
      </c>
      <c r="M159" s="4" t="n">
        <v>2100</v>
      </c>
      <c r="N159" s="4" t="n"/>
      <c r="O159" s="3" t="n">
        <v>0.0257</v>
      </c>
      <c r="P159" t="inlineStr">
        <is>
          <t>adjusted xGOT</t>
        </is>
      </c>
      <c r="Q159" s="3" t="n">
        <v>0.9379999999999999</v>
      </c>
      <c r="R159" s="3" t="n">
        <v>0.6</v>
      </c>
      <c r="S159" s="3" t="n">
        <v>0.0227</v>
      </c>
      <c r="T159" s="3" t="n">
        <v>0.5600000000000001</v>
      </c>
      <c r="U159" s="3" t="n">
        <v>0</v>
      </c>
      <c r="V159" s="3" t="n">
        <v>2.314</v>
      </c>
      <c r="W159" s="3">
        <f>IF(V159="",IFERROR(VLOOKUP($C159,Assumptions!$A$4:$F$7,6,FALSE),0),V159)</f>
        <v/>
      </c>
      <c r="X159" s="3">
        <f>N(O159)*IFERROR(VLOOKUP($C159,Assumptions!$A$4:$F$7,2,FALSE),0)</f>
        <v/>
      </c>
      <c r="Y159" s="3">
        <f>N(S159)*IFERROR(VLOOKUP($C159,Assumptions!$A$4:$F$7,3,FALSE),0)*Assumptions!$B$11</f>
        <v/>
      </c>
      <c r="Z159" s="3">
        <f>N(N159)*IFERROR(VLOOKUP($C159,Assumptions!$A$4:$F$7,4,FALSE),0)</f>
        <v/>
      </c>
      <c r="AA159" s="3">
        <f>N(T159)*IFERROR(VLOOKUP($C159,Assumptions!$A$4:$F$7,5,FALSE),0)</f>
        <v/>
      </c>
      <c r="AB159" s="3">
        <f>N(U159)</f>
        <v/>
      </c>
      <c r="AC159" s="3">
        <f>SUM(W159:AB159)</f>
        <v/>
      </c>
      <c r="AD159" s="3">
        <f>N(AC159)*N(M159)/90</f>
        <v/>
      </c>
      <c r="AE159" s="3">
        <f>IFERROR(AD159-VLOOKUP($C159,Assumptions!$A$29:$C$32,3,FALSE),"")</f>
        <v/>
      </c>
      <c r="AF159" s="3">
        <f>IFERROR(AE159/F159,"")</f>
        <v/>
      </c>
      <c r="AG159">
        <f>IF(AND($E159=TRUE,$C159="GKP"),AD159,"")</f>
        <v/>
      </c>
      <c r="AH159">
        <f>IF(AND($E159=TRUE,$C159="DEF"),AD159,"")</f>
        <v/>
      </c>
      <c r="AI159">
        <f>IF(AND($E159=TRUE,$C159="MID"),AD159,"")</f>
        <v/>
      </c>
      <c r="AJ159">
        <f>IF(AND($E159=TRUE,$C159="FWD"),AD159,"")</f>
        <v/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b">
        <v>1</v>
      </c>
      <c r="F160" s="2" t="n">
        <v>5.5</v>
      </c>
      <c r="G160" t="inlineStr">
        <is>
          <t>a</t>
        </is>
      </c>
      <c r="I160" s="2" t="n">
        <v>2130</v>
      </c>
      <c r="J160" t="n">
        <v>83</v>
      </c>
      <c r="K160" s="3" t="n">
        <v>3101</v>
      </c>
      <c r="L160" t="inlineStr">
        <is>
          <t>flat</t>
        </is>
      </c>
      <c r="M160" s="4" t="n">
        <v>2130</v>
      </c>
      <c r="N160" s="4" t="n">
        <v>0.237</v>
      </c>
      <c r="O160" s="3" t="n">
        <v>0.0299</v>
      </c>
      <c r="P160" t="inlineStr">
        <is>
          <t>adjusted xGOT</t>
        </is>
      </c>
      <c r="Q160" s="3" t="n">
        <v>0.968</v>
      </c>
      <c r="R160" s="3" t="n">
        <v>4</v>
      </c>
      <c r="S160" s="3" t="n">
        <v>0.0163</v>
      </c>
      <c r="T160" s="3" t="n">
        <v>0.4</v>
      </c>
      <c r="U160" s="3" t="n">
        <v>0.1268</v>
      </c>
      <c r="V160" s="3" t="n">
        <v>2.028</v>
      </c>
      <c r="W160" s="3">
        <f>IF(V160="",IFERROR(VLOOKUP($C160,Assumptions!$A$4:$F$7,6,FALSE),0),V160)</f>
        <v/>
      </c>
      <c r="X160" s="3">
        <f>N(O160)*IFERROR(VLOOKUP($C160,Assumptions!$A$4:$F$7,2,FALSE),0)</f>
        <v/>
      </c>
      <c r="Y160" s="3">
        <f>N(S160)*IFERROR(VLOOKUP($C160,Assumptions!$A$4:$F$7,3,FALSE),0)*Assumptions!$B$11</f>
        <v/>
      </c>
      <c r="Z160" s="3">
        <f>N(N160)*IFERROR(VLOOKUP($C160,Assumptions!$A$4:$F$7,4,FALSE),0)</f>
        <v/>
      </c>
      <c r="AA160" s="3">
        <f>N(T160)*IFERROR(VLOOKUP($C160,Assumptions!$A$4:$F$7,5,FALSE),0)</f>
        <v/>
      </c>
      <c r="AB160" s="3">
        <f>N(U160)</f>
        <v/>
      </c>
      <c r="AC160" s="3">
        <f>SUM(W160:AB160)</f>
        <v/>
      </c>
      <c r="AD160" s="3">
        <f>N(AC160)*N(M160)/90</f>
        <v/>
      </c>
      <c r="AE160" s="3">
        <f>IFERROR(AD160-VLOOKUP($C160,Assumptions!$A$29:$C$32,3,FALSE),"")</f>
        <v/>
      </c>
      <c r="AF160" s="3">
        <f>IFERROR(AE160/F160,"")</f>
        <v/>
      </c>
      <c r="AG160">
        <f>IF(AND($E160=TRUE,$C160="GKP"),AD160,"")</f>
        <v/>
      </c>
      <c r="AH160">
        <f>IF(AND($E160=TRUE,$C160="DEF"),AD160,"")</f>
        <v/>
      </c>
      <c r="AI160">
        <f>IF(AND($E160=TRUE,$C160="MID"),AD160,"")</f>
        <v/>
      </c>
      <c r="AJ160">
        <f>IF(AND($E160=TRUE,$C160="FWD"),AD160,"")</f>
        <v/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b">
        <v>1</v>
      </c>
      <c r="F161" s="2" t="n">
        <v>5.5</v>
      </c>
      <c r="G161" t="inlineStr">
        <is>
          <t>a</t>
        </is>
      </c>
      <c r="I161" s="2" t="n">
        <v>1553</v>
      </c>
      <c r="J161" t="n">
        <v>83</v>
      </c>
      <c r="K161" s="3" t="n">
        <v>2263</v>
      </c>
      <c r="L161" t="inlineStr">
        <is>
          <t>flat</t>
        </is>
      </c>
      <c r="M161" s="4" t="n">
        <v>1553</v>
      </c>
      <c r="N161" s="4" t="n">
        <v>0.29</v>
      </c>
      <c r="O161" s="3" t="n">
        <v>0.1438</v>
      </c>
      <c r="P161" t="inlineStr">
        <is>
          <t>adjusted xGOT</t>
        </is>
      </c>
      <c r="Q161" s="3" t="n">
        <v>1.165</v>
      </c>
      <c r="R161" s="3" t="n">
        <v>2.1</v>
      </c>
      <c r="S161" s="3" t="n">
        <v>0.0516</v>
      </c>
      <c r="T161" s="3" t="n">
        <v>0</v>
      </c>
      <c r="U161" s="3" t="n">
        <v>0.4057</v>
      </c>
      <c r="V161" s="3" t="n">
        <v>2.55</v>
      </c>
      <c r="W161" s="3">
        <f>IF(V161="",IFERROR(VLOOKUP($C161,Assumptions!$A$4:$F$7,6,FALSE),0),V161)</f>
        <v/>
      </c>
      <c r="X161" s="3">
        <f>N(O161)*IFERROR(VLOOKUP($C161,Assumptions!$A$4:$F$7,2,FALSE),0)</f>
        <v/>
      </c>
      <c r="Y161" s="3">
        <f>N(S161)*IFERROR(VLOOKUP($C161,Assumptions!$A$4:$F$7,3,FALSE),0)*Assumptions!$B$11</f>
        <v/>
      </c>
      <c r="Z161" s="3">
        <f>N(N161)*IFERROR(VLOOKUP($C161,Assumptions!$A$4:$F$7,4,FALSE),0)</f>
        <v/>
      </c>
      <c r="AA161" s="3">
        <f>N(T161)*IFERROR(VLOOKUP($C161,Assumptions!$A$4:$F$7,5,FALSE),0)</f>
        <v/>
      </c>
      <c r="AB161" s="3">
        <f>N(U161)</f>
        <v/>
      </c>
      <c r="AC161" s="3">
        <f>SUM(W161:AB161)</f>
        <v/>
      </c>
      <c r="AD161" s="3">
        <f>N(AC161)*N(M161)/90</f>
        <v/>
      </c>
      <c r="AE161" s="3">
        <f>IFERROR(AD161-VLOOKUP($C161,Assumptions!$A$29:$C$32,3,FALSE),"")</f>
        <v/>
      </c>
      <c r="AF161" s="3">
        <f>IFERROR(AE161/F161,"")</f>
        <v/>
      </c>
      <c r="AG161">
        <f>IF(AND($E161=TRUE,$C161="GKP"),AD161,"")</f>
        <v/>
      </c>
      <c r="AH161">
        <f>IF(AND($E161=TRUE,$C161="DEF"),AD161,"")</f>
        <v/>
      </c>
      <c r="AI161">
        <f>IF(AND($E161=TRUE,$C161="MID"),AD161,"")</f>
        <v/>
      </c>
      <c r="AJ161">
        <f>IF(AND($E161=TRUE,$C161="FWD"),AD161,"")</f>
        <v/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b">
        <v>1</v>
      </c>
      <c r="F162" s="2" t="n">
        <v>5.5</v>
      </c>
      <c r="G162" t="inlineStr">
        <is>
          <t>a</t>
        </is>
      </c>
      <c r="I162" s="2" t="n">
        <v>1676</v>
      </c>
      <c r="J162" t="n">
        <v>82</v>
      </c>
      <c r="K162" s="3" t="n">
        <v>443</v>
      </c>
      <c r="L162" t="inlineStr">
        <is>
          <t>flat</t>
        </is>
      </c>
      <c r="M162" s="4" t="n">
        <v>1676</v>
      </c>
      <c r="N162" s="4" t="n">
        <v>0.237</v>
      </c>
      <c r="O162" s="3" t="n">
        <v>0.1126</v>
      </c>
      <c r="P162" t="inlineStr">
        <is>
          <t>adjusted xGOT</t>
        </is>
      </c>
      <c r="Q162" s="3" t="n">
        <v>1.043</v>
      </c>
      <c r="R162" s="3" t="n">
        <v>4.9</v>
      </c>
      <c r="S162" s="3" t="n">
        <v>0.2363</v>
      </c>
      <c r="T162" s="3" t="n">
        <v>0.059</v>
      </c>
      <c r="U162" s="3" t="n">
        <v>0.1611</v>
      </c>
      <c r="V162" s="3" t="n">
        <v>2.47</v>
      </c>
      <c r="W162" s="3">
        <f>IF(V162="",IFERROR(VLOOKUP($C162,Assumptions!$A$4:$F$7,6,FALSE),0),V162)</f>
        <v/>
      </c>
      <c r="X162" s="3">
        <f>N(O162)*IFERROR(VLOOKUP($C162,Assumptions!$A$4:$F$7,2,FALSE),0)</f>
        <v/>
      </c>
      <c r="Y162" s="3">
        <f>N(S162)*IFERROR(VLOOKUP($C162,Assumptions!$A$4:$F$7,3,FALSE),0)*Assumptions!$B$11</f>
        <v/>
      </c>
      <c r="Z162" s="3">
        <f>N(N162)*IFERROR(VLOOKUP($C162,Assumptions!$A$4:$F$7,4,FALSE),0)</f>
        <v/>
      </c>
      <c r="AA162" s="3">
        <f>N(T162)*IFERROR(VLOOKUP($C162,Assumptions!$A$4:$F$7,5,FALSE),0)</f>
        <v/>
      </c>
      <c r="AB162" s="3">
        <f>N(U162)</f>
        <v/>
      </c>
      <c r="AC162" s="3">
        <f>SUM(W162:AB162)</f>
        <v/>
      </c>
      <c r="AD162" s="3">
        <f>N(AC162)*N(M162)/90</f>
        <v/>
      </c>
      <c r="AE162" s="3">
        <f>IFERROR(AD162-VLOOKUP($C162,Assumptions!$A$29:$C$32,3,FALSE),"")</f>
        <v/>
      </c>
      <c r="AF162" s="3">
        <f>IFERROR(AE162/F162,"")</f>
        <v/>
      </c>
      <c r="AG162">
        <f>IF(AND($E162=TRUE,$C162="GKP"),AD162,"")</f>
        <v/>
      </c>
      <c r="AH162">
        <f>IF(AND($E162=TRUE,$C162="DEF"),AD162,"")</f>
        <v/>
      </c>
      <c r="AI162">
        <f>IF(AND($E162=TRUE,$C162="MID"),AD162,"")</f>
        <v/>
      </c>
      <c r="AJ162">
        <f>IF(AND($E162=TRUE,$C162="FWD"),AD162,"")</f>
        <v/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b">
        <v>1</v>
      </c>
      <c r="F163" s="2" t="n">
        <v>6</v>
      </c>
      <c r="G163" t="inlineStr">
        <is>
          <t>a</t>
        </is>
      </c>
      <c r="I163" s="2" t="n">
        <v>1606</v>
      </c>
      <c r="J163" t="n">
        <v>82</v>
      </c>
      <c r="K163" s="3" t="n">
        <v>1835</v>
      </c>
      <c r="L163" t="inlineStr">
        <is>
          <t>flat</t>
        </is>
      </c>
      <c r="M163" s="4" t="n">
        <v>1606</v>
      </c>
      <c r="N163" s="4" t="n">
        <v>0.21</v>
      </c>
      <c r="O163" s="3" t="n">
        <v>0.1588</v>
      </c>
      <c r="P163" t="inlineStr">
        <is>
          <t>adjusted xGOT</t>
        </is>
      </c>
      <c r="Q163" s="3" t="n">
        <v>0.923</v>
      </c>
      <c r="R163" s="3" t="n">
        <v>14.6</v>
      </c>
      <c r="S163" s="3" t="n">
        <v>0.2086</v>
      </c>
      <c r="T163" s="3" t="n">
        <v>0</v>
      </c>
      <c r="U163" s="3" t="n">
        <v>0.2802</v>
      </c>
      <c r="V163" s="3" t="n">
        <v>2.802</v>
      </c>
      <c r="W163" s="3">
        <f>IF(V163="",IFERROR(VLOOKUP($C163,Assumptions!$A$4:$F$7,6,FALSE),0),V163)</f>
        <v/>
      </c>
      <c r="X163" s="3">
        <f>N(O163)*IFERROR(VLOOKUP($C163,Assumptions!$A$4:$F$7,2,FALSE),0)</f>
        <v/>
      </c>
      <c r="Y163" s="3">
        <f>N(S163)*IFERROR(VLOOKUP($C163,Assumptions!$A$4:$F$7,3,FALSE),0)*Assumptions!$B$11</f>
        <v/>
      </c>
      <c r="Z163" s="3">
        <f>N(N163)*IFERROR(VLOOKUP($C163,Assumptions!$A$4:$F$7,4,FALSE),0)</f>
        <v/>
      </c>
      <c r="AA163" s="3">
        <f>N(T163)*IFERROR(VLOOKUP($C163,Assumptions!$A$4:$F$7,5,FALSE),0)</f>
        <v/>
      </c>
      <c r="AB163" s="3">
        <f>N(U163)</f>
        <v/>
      </c>
      <c r="AC163" s="3">
        <f>SUM(W163:AB163)</f>
        <v/>
      </c>
      <c r="AD163" s="3">
        <f>N(AC163)*N(M163)/90</f>
        <v/>
      </c>
      <c r="AE163" s="3">
        <f>IFERROR(AD163-VLOOKUP($C163,Assumptions!$A$29:$C$32,3,FALSE),"")</f>
        <v/>
      </c>
      <c r="AF163" s="3">
        <f>IFERROR(AE163/F163,"")</f>
        <v/>
      </c>
      <c r="AG163">
        <f>IF(AND($E163=TRUE,$C163="GKP"),AD163,"")</f>
        <v/>
      </c>
      <c r="AH163">
        <f>IF(AND($E163=TRUE,$C163="DEF"),AD163,"")</f>
        <v/>
      </c>
      <c r="AI163">
        <f>IF(AND($E163=TRUE,$C163="MID"),AD163,"")</f>
        <v/>
      </c>
      <c r="AJ163">
        <f>IF(AND($E163=TRUE,$C163="FWD"),AD163,"")</f>
        <v/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b">
        <v>1</v>
      </c>
      <c r="F164" s="2" t="n">
        <v>4.5</v>
      </c>
      <c r="G164" t="inlineStr">
        <is>
          <t>a</t>
        </is>
      </c>
      <c r="I164" s="2" t="n">
        <v>1791</v>
      </c>
      <c r="J164" t="n">
        <v>81</v>
      </c>
      <c r="K164" s="3" t="n">
        <v>1528</v>
      </c>
      <c r="L164" t="inlineStr">
        <is>
          <t>flat</t>
        </is>
      </c>
      <c r="M164" s="4" t="n">
        <v>1791</v>
      </c>
      <c r="N164" s="4" t="n">
        <v>0.237</v>
      </c>
      <c r="O164" s="3" t="n">
        <v>0.0396</v>
      </c>
      <c r="P164" t="inlineStr">
        <is>
          <t>adjusted xGOT</t>
        </is>
      </c>
      <c r="Q164" s="3" t="n">
        <v>0.858</v>
      </c>
      <c r="R164" s="3" t="n">
        <v>3.9</v>
      </c>
      <c r="S164" s="3" t="n">
        <v>0.0605</v>
      </c>
      <c r="T164" s="3" t="n">
        <v>0.333</v>
      </c>
      <c r="U164" s="3" t="n">
        <v>0.2513</v>
      </c>
      <c r="V164" s="3" t="n">
        <v>2.06</v>
      </c>
      <c r="W164" s="3">
        <f>IF(V164="",IFERROR(VLOOKUP($C164,Assumptions!$A$4:$F$7,6,FALSE),0),V164)</f>
        <v/>
      </c>
      <c r="X164" s="3">
        <f>N(O164)*IFERROR(VLOOKUP($C164,Assumptions!$A$4:$F$7,2,FALSE),0)</f>
        <v/>
      </c>
      <c r="Y164" s="3">
        <f>N(S164)*IFERROR(VLOOKUP($C164,Assumptions!$A$4:$F$7,3,FALSE),0)*Assumptions!$B$11</f>
        <v/>
      </c>
      <c r="Z164" s="3">
        <f>N(N164)*IFERROR(VLOOKUP($C164,Assumptions!$A$4:$F$7,4,FALSE),0)</f>
        <v/>
      </c>
      <c r="AA164" s="3">
        <f>N(T164)*IFERROR(VLOOKUP($C164,Assumptions!$A$4:$F$7,5,FALSE),0)</f>
        <v/>
      </c>
      <c r="AB164" s="3">
        <f>N(U164)</f>
        <v/>
      </c>
      <c r="AC164" s="3">
        <f>SUM(W164:AB164)</f>
        <v/>
      </c>
      <c r="AD164" s="3">
        <f>N(AC164)*N(M164)/90</f>
        <v/>
      </c>
      <c r="AE164" s="3">
        <f>IFERROR(AD164-VLOOKUP($C164,Assumptions!$A$29:$C$32,3,FALSE),"")</f>
        <v/>
      </c>
      <c r="AF164" s="3">
        <f>IFERROR(AE164/F164,"")</f>
        <v/>
      </c>
      <c r="AG164">
        <f>IF(AND($E164=TRUE,$C164="GKP"),AD164,"")</f>
        <v/>
      </c>
      <c r="AH164">
        <f>IF(AND($E164=TRUE,$C164="DEF"),AD164,"")</f>
        <v/>
      </c>
      <c r="AI164">
        <f>IF(AND($E164=TRUE,$C164="MID"),AD164,"")</f>
        <v/>
      </c>
      <c r="AJ164">
        <f>IF(AND($E164=TRUE,$C164="FWD"),AD164,"")</f>
        <v/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b">
        <v>1</v>
      </c>
      <c r="F165" s="2" t="n">
        <v>5.5</v>
      </c>
      <c r="G165" t="inlineStr">
        <is>
          <t>a</t>
        </is>
      </c>
      <c r="I165" s="2" t="n">
        <v>2534</v>
      </c>
      <c r="J165" t="n">
        <v>81</v>
      </c>
      <c r="K165" s="3" t="n">
        <v>2918</v>
      </c>
      <c r="L165" t="inlineStr">
        <is>
          <t>flat</t>
        </is>
      </c>
      <c r="M165" s="4" t="n">
        <v>2534</v>
      </c>
      <c r="N165" s="4" t="n">
        <v>0.237</v>
      </c>
      <c r="O165" s="3" t="n">
        <v>0.0645</v>
      </c>
      <c r="P165" t="inlineStr">
        <is>
          <t>adjusted xGOT</t>
        </is>
      </c>
      <c r="Q165" s="3" t="n">
        <v>1.038</v>
      </c>
      <c r="R165" s="3" t="n">
        <v>6.8</v>
      </c>
      <c r="S165" s="3" t="n">
        <v>0.1177</v>
      </c>
      <c r="T165" s="3" t="n">
        <v>0.129</v>
      </c>
      <c r="U165" s="3" t="n">
        <v>0.0355</v>
      </c>
      <c r="V165" s="3" t="n">
        <v>2.202</v>
      </c>
      <c r="W165" s="3">
        <f>IF(V165="",IFERROR(VLOOKUP($C165,Assumptions!$A$4:$F$7,6,FALSE),0),V165)</f>
        <v/>
      </c>
      <c r="X165" s="3">
        <f>N(O165)*IFERROR(VLOOKUP($C165,Assumptions!$A$4:$F$7,2,FALSE),0)</f>
        <v/>
      </c>
      <c r="Y165" s="3">
        <f>N(S165)*IFERROR(VLOOKUP($C165,Assumptions!$A$4:$F$7,3,FALSE),0)*Assumptions!$B$11</f>
        <v/>
      </c>
      <c r="Z165" s="3">
        <f>N(N165)*IFERROR(VLOOKUP($C165,Assumptions!$A$4:$F$7,4,FALSE),0)</f>
        <v/>
      </c>
      <c r="AA165" s="3">
        <f>N(T165)*IFERROR(VLOOKUP($C165,Assumptions!$A$4:$F$7,5,FALSE),0)</f>
        <v/>
      </c>
      <c r="AB165" s="3">
        <f>N(U165)</f>
        <v/>
      </c>
      <c r="AC165" s="3">
        <f>SUM(W165:AB165)</f>
        <v/>
      </c>
      <c r="AD165" s="3">
        <f>N(AC165)*N(M165)/90</f>
        <v/>
      </c>
      <c r="AE165" s="3">
        <f>IFERROR(AD165-VLOOKUP($C165,Assumptions!$A$29:$C$32,3,FALSE),"")</f>
        <v/>
      </c>
      <c r="AF165" s="3">
        <f>IFERROR(AE165/F165,"")</f>
        <v/>
      </c>
      <c r="AG165">
        <f>IF(AND($E165=TRUE,$C165="GKP"),AD165,"")</f>
        <v/>
      </c>
      <c r="AH165">
        <f>IF(AND($E165=TRUE,$C165="DEF"),AD165,"")</f>
        <v/>
      </c>
      <c r="AI165">
        <f>IF(AND($E165=TRUE,$C165="MID"),AD165,"")</f>
        <v/>
      </c>
      <c r="AJ165">
        <f>IF(AND($E165=TRUE,$C165="FWD"),AD165,"")</f>
        <v/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b">
        <v>1</v>
      </c>
      <c r="F166" s="2" t="n">
        <v>5.5</v>
      </c>
      <c r="G166" t="inlineStr">
        <is>
          <t>a</t>
        </is>
      </c>
      <c r="I166" s="2" t="n">
        <v>1923</v>
      </c>
      <c r="J166" t="n">
        <v>81</v>
      </c>
      <c r="K166" s="3" t="n">
        <v>697</v>
      </c>
      <c r="L166" t="inlineStr">
        <is>
          <t>fade (losing his place)</t>
        </is>
      </c>
      <c r="M166" s="4" t="n">
        <v>1923</v>
      </c>
      <c r="N166" s="4" t="n">
        <v>0.263</v>
      </c>
      <c r="O166" s="3" t="n">
        <v>0.1026</v>
      </c>
      <c r="P166" t="inlineStr">
        <is>
          <t>adjusted xGOT</t>
        </is>
      </c>
      <c r="Q166" s="3" t="n">
        <v>0.992</v>
      </c>
      <c r="R166" s="3" t="n">
        <v>10.4</v>
      </c>
      <c r="S166" s="3" t="n">
        <v>0.1311</v>
      </c>
      <c r="T166" s="3" t="n">
        <v>0.222</v>
      </c>
      <c r="U166" s="3" t="n">
        <v>0.2808</v>
      </c>
      <c r="V166" s="3" t="n">
        <v>2.434</v>
      </c>
      <c r="W166" s="3">
        <f>IF(V166="",IFERROR(VLOOKUP($C166,Assumptions!$A$4:$F$7,6,FALSE),0),V166)</f>
        <v/>
      </c>
      <c r="X166" s="3">
        <f>N(O166)*IFERROR(VLOOKUP($C166,Assumptions!$A$4:$F$7,2,FALSE),0)</f>
        <v/>
      </c>
      <c r="Y166" s="3">
        <f>N(S166)*IFERROR(VLOOKUP($C166,Assumptions!$A$4:$F$7,3,FALSE),0)*Assumptions!$B$11</f>
        <v/>
      </c>
      <c r="Z166" s="3">
        <f>N(N166)*IFERROR(VLOOKUP($C166,Assumptions!$A$4:$F$7,4,FALSE),0)</f>
        <v/>
      </c>
      <c r="AA166" s="3">
        <f>N(T166)*IFERROR(VLOOKUP($C166,Assumptions!$A$4:$F$7,5,FALSE),0)</f>
        <v/>
      </c>
      <c r="AB166" s="3">
        <f>N(U166)</f>
        <v/>
      </c>
      <c r="AC166" s="3">
        <f>SUM(W166:AB166)</f>
        <v/>
      </c>
      <c r="AD166" s="3">
        <f>N(AC166)*N(M166)/90</f>
        <v/>
      </c>
      <c r="AE166" s="3">
        <f>IFERROR(AD166-VLOOKUP($C166,Assumptions!$A$29:$C$32,3,FALSE),"")</f>
        <v/>
      </c>
      <c r="AF166" s="3">
        <f>IFERROR(AE166/F166,"")</f>
        <v/>
      </c>
      <c r="AG166">
        <f>IF(AND($E166=TRUE,$C166="GKP"),AD166,"")</f>
        <v/>
      </c>
      <c r="AH166">
        <f>IF(AND($E166=TRUE,$C166="DEF"),AD166,"")</f>
        <v/>
      </c>
      <c r="AI166">
        <f>IF(AND($E166=TRUE,$C166="MID"),AD166,"")</f>
        <v/>
      </c>
      <c r="AJ166">
        <f>IF(AND($E166=TRUE,$C166="FWD"),AD166,"")</f>
        <v/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b">
        <v>1</v>
      </c>
      <c r="F167" s="2" t="n">
        <v>5</v>
      </c>
      <c r="G167" t="inlineStr">
        <is>
          <t>a</t>
        </is>
      </c>
      <c r="I167" s="2" t="n">
        <v>2891</v>
      </c>
      <c r="J167" t="n">
        <v>80</v>
      </c>
      <c r="K167" s="3" t="n">
        <v>2842</v>
      </c>
      <c r="L167" t="inlineStr">
        <is>
          <t>flat</t>
        </is>
      </c>
      <c r="M167" s="4" t="n">
        <v>2891</v>
      </c>
      <c r="N167" s="4" t="n">
        <v>0.29</v>
      </c>
      <c r="O167" s="3" t="n">
        <v>0.0411</v>
      </c>
      <c r="P167" t="inlineStr">
        <is>
          <t>adjusted xGOT</t>
        </is>
      </c>
      <c r="Q167" s="3" t="n">
        <v>0.923</v>
      </c>
      <c r="R167" s="3" t="n">
        <v>1.4</v>
      </c>
      <c r="S167" s="3" t="n">
        <v>0.0372</v>
      </c>
      <c r="T167" s="3" t="n">
        <v>0.121</v>
      </c>
      <c r="U167" s="3" t="n">
        <v>0</v>
      </c>
      <c r="V167" s="3" t="n">
        <v>2.055</v>
      </c>
      <c r="W167" s="3">
        <f>IF(V167="",IFERROR(VLOOKUP($C167,Assumptions!$A$4:$F$7,6,FALSE),0),V167)</f>
        <v/>
      </c>
      <c r="X167" s="3">
        <f>N(O167)*IFERROR(VLOOKUP($C167,Assumptions!$A$4:$F$7,2,FALSE),0)</f>
        <v/>
      </c>
      <c r="Y167" s="3">
        <f>N(S167)*IFERROR(VLOOKUP($C167,Assumptions!$A$4:$F$7,3,FALSE),0)*Assumptions!$B$11</f>
        <v/>
      </c>
      <c r="Z167" s="3">
        <f>N(N167)*IFERROR(VLOOKUP($C167,Assumptions!$A$4:$F$7,4,FALSE),0)</f>
        <v/>
      </c>
      <c r="AA167" s="3">
        <f>N(T167)*IFERROR(VLOOKUP($C167,Assumptions!$A$4:$F$7,5,FALSE),0)</f>
        <v/>
      </c>
      <c r="AB167" s="3">
        <f>N(U167)</f>
        <v/>
      </c>
      <c r="AC167" s="3">
        <f>SUM(W167:AB167)</f>
        <v/>
      </c>
      <c r="AD167" s="3">
        <f>N(AC167)*N(M167)/90</f>
        <v/>
      </c>
      <c r="AE167" s="3">
        <f>IFERROR(AD167-VLOOKUP($C167,Assumptions!$A$29:$C$32,3,FALSE),"")</f>
        <v/>
      </c>
      <c r="AF167" s="3">
        <f>IFERROR(AE167/F167,"")</f>
        <v/>
      </c>
      <c r="AG167">
        <f>IF(AND($E167=TRUE,$C167="GKP"),AD167,"")</f>
        <v/>
      </c>
      <c r="AH167">
        <f>IF(AND($E167=TRUE,$C167="DEF"),AD167,"")</f>
        <v/>
      </c>
      <c r="AI167">
        <f>IF(AND($E167=TRUE,$C167="MID"),AD167,"")</f>
        <v/>
      </c>
      <c r="AJ167">
        <f>IF(AND($E167=TRUE,$C167="FWD"),AD167,"")</f>
        <v/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b">
        <v>1</v>
      </c>
      <c r="F168" s="2" t="n">
        <v>6</v>
      </c>
      <c r="G168" t="inlineStr">
        <is>
          <t>i</t>
        </is>
      </c>
      <c r="H168" t="inlineStr">
        <is>
          <t>Knee injury - Unknown return date</t>
        </is>
      </c>
      <c r="I168" s="2" t="n">
        <v>1747</v>
      </c>
      <c r="J168" t="n">
        <v>80</v>
      </c>
      <c r="K168" s="3" t="n">
        <v>2160</v>
      </c>
      <c r="L168" t="inlineStr">
        <is>
          <t>ramp-up (injury / late WC return)</t>
        </is>
      </c>
      <c r="M168" s="4" t="n">
        <v>1747</v>
      </c>
      <c r="N168" s="4" t="n">
        <v>0.237</v>
      </c>
      <c r="O168" s="3" t="n">
        <v>0.1625</v>
      </c>
      <c r="P168" t="inlineStr">
        <is>
          <t>adjusted xGOT</t>
        </is>
      </c>
      <c r="Q168" s="3" t="n">
        <v>1.031</v>
      </c>
      <c r="R168" s="3" t="n">
        <v>3.1</v>
      </c>
      <c r="S168" s="3" t="n">
        <v>0.219</v>
      </c>
      <c r="T168" s="3" t="n">
        <v>0.158</v>
      </c>
      <c r="U168" s="3" t="n">
        <v>0.3606</v>
      </c>
      <c r="V168" s="3" t="n">
        <v>2.37</v>
      </c>
      <c r="W168" s="3">
        <f>IF(V168="",IFERROR(VLOOKUP($C168,Assumptions!$A$4:$F$7,6,FALSE),0),V168)</f>
        <v/>
      </c>
      <c r="X168" s="3">
        <f>N(O168)*IFERROR(VLOOKUP($C168,Assumptions!$A$4:$F$7,2,FALSE),0)</f>
        <v/>
      </c>
      <c r="Y168" s="3">
        <f>N(S168)*IFERROR(VLOOKUP($C168,Assumptions!$A$4:$F$7,3,FALSE),0)*Assumptions!$B$11</f>
        <v/>
      </c>
      <c r="Z168" s="3">
        <f>N(N168)*IFERROR(VLOOKUP($C168,Assumptions!$A$4:$F$7,4,FALSE),0)</f>
        <v/>
      </c>
      <c r="AA168" s="3">
        <f>N(T168)*IFERROR(VLOOKUP($C168,Assumptions!$A$4:$F$7,5,FALSE),0)</f>
        <v/>
      </c>
      <c r="AB168" s="3">
        <f>N(U168)</f>
        <v/>
      </c>
      <c r="AC168" s="3">
        <f>SUM(W168:AB168)</f>
        <v/>
      </c>
      <c r="AD168" s="3">
        <f>N(AC168)*N(M168)/90</f>
        <v/>
      </c>
      <c r="AE168" s="3">
        <f>IFERROR(AD168-VLOOKUP($C168,Assumptions!$A$29:$C$32,3,FALSE),"")</f>
        <v/>
      </c>
      <c r="AF168" s="3">
        <f>IFERROR(AE168/F168,"")</f>
        <v/>
      </c>
      <c r="AG168">
        <f>IF(AND($E168=TRUE,$C168="GKP"),AD168,"")</f>
        <v/>
      </c>
      <c r="AH168">
        <f>IF(AND($E168=TRUE,$C168="DEF"),AD168,"")</f>
        <v/>
      </c>
      <c r="AI168">
        <f>IF(AND($E168=TRUE,$C168="MID"),AD168,"")</f>
        <v/>
      </c>
      <c r="AJ168">
        <f>IF(AND($E168=TRUE,$C168="FWD"),AD168,"")</f>
        <v/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b">
        <v>1</v>
      </c>
      <c r="F169" s="2" t="n">
        <v>5.5</v>
      </c>
      <c r="G169" t="inlineStr">
        <is>
          <t>a</t>
        </is>
      </c>
      <c r="I169" s="2" t="n">
        <v>1909</v>
      </c>
      <c r="J169" t="n">
        <v>80</v>
      </c>
      <c r="K169" s="3" t="n">
        <v>1744</v>
      </c>
      <c r="L169" t="inlineStr">
        <is>
          <t>flat</t>
        </is>
      </c>
      <c r="M169" s="4" t="n">
        <v>1909</v>
      </c>
      <c r="N169" s="4" t="n">
        <v>0.237</v>
      </c>
      <c r="O169" s="3" t="n">
        <v>0.2074</v>
      </c>
      <c r="P169" t="inlineStr">
        <is>
          <t>adjusted xGOT</t>
        </is>
      </c>
      <c r="Q169" s="3" t="n">
        <v>0.9340000000000001</v>
      </c>
      <c r="R169" s="3" t="n">
        <v>11.3</v>
      </c>
      <c r="S169" s="3" t="n">
        <v>0.0598</v>
      </c>
      <c r="T169" s="3" t="n">
        <v>0</v>
      </c>
      <c r="U169" s="3" t="n">
        <v>0.09429999999999999</v>
      </c>
      <c r="V169" s="3" t="n">
        <v>2.64</v>
      </c>
      <c r="W169" s="3">
        <f>IF(V169="",IFERROR(VLOOKUP($C169,Assumptions!$A$4:$F$7,6,FALSE),0),V169)</f>
        <v/>
      </c>
      <c r="X169" s="3">
        <f>N(O169)*IFERROR(VLOOKUP($C169,Assumptions!$A$4:$F$7,2,FALSE),0)</f>
        <v/>
      </c>
      <c r="Y169" s="3">
        <f>N(S169)*IFERROR(VLOOKUP($C169,Assumptions!$A$4:$F$7,3,FALSE),0)*Assumptions!$B$11</f>
        <v/>
      </c>
      <c r="Z169" s="3">
        <f>N(N169)*IFERROR(VLOOKUP($C169,Assumptions!$A$4:$F$7,4,FALSE),0)</f>
        <v/>
      </c>
      <c r="AA169" s="3">
        <f>N(T169)*IFERROR(VLOOKUP($C169,Assumptions!$A$4:$F$7,5,FALSE),0)</f>
        <v/>
      </c>
      <c r="AB169" s="3">
        <f>N(U169)</f>
        <v/>
      </c>
      <c r="AC169" s="3">
        <f>SUM(W169:AB169)</f>
        <v/>
      </c>
      <c r="AD169" s="3">
        <f>N(AC169)*N(M169)/90</f>
        <v/>
      </c>
      <c r="AE169" s="3">
        <f>IFERROR(AD169-VLOOKUP($C169,Assumptions!$A$29:$C$32,3,FALSE),"")</f>
        <v/>
      </c>
      <c r="AF169" s="3">
        <f>IFERROR(AE169/F169,"")</f>
        <v/>
      </c>
      <c r="AG169">
        <f>IF(AND($E169=TRUE,$C169="GKP"),AD169,"")</f>
        <v/>
      </c>
      <c r="AH169">
        <f>IF(AND($E169=TRUE,$C169="DEF"),AD169,"")</f>
        <v/>
      </c>
      <c r="AI169">
        <f>IF(AND($E169=TRUE,$C169="MID"),AD169,"")</f>
        <v/>
      </c>
      <c r="AJ169">
        <f>IF(AND($E169=TRUE,$C169="FWD"),AD169,"")</f>
        <v/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b">
        <v>1</v>
      </c>
      <c r="F170" s="2" t="n">
        <v>5.5</v>
      </c>
      <c r="G170" t="inlineStr">
        <is>
          <t>a</t>
        </is>
      </c>
      <c r="I170" s="2" t="n">
        <v>1234</v>
      </c>
      <c r="J170" t="n">
        <v>80</v>
      </c>
      <c r="K170" s="3" t="n">
        <v>258</v>
      </c>
      <c r="L170" t="inlineStr">
        <is>
          <t>flat</t>
        </is>
      </c>
      <c r="M170" s="4" t="n">
        <v>1234</v>
      </c>
      <c r="N170" s="4" t="n">
        <v>0.263</v>
      </c>
      <c r="O170" s="3" t="n">
        <v>0.5348000000000001</v>
      </c>
      <c r="P170" t="inlineStr">
        <is>
          <t>adjusted xGOT</t>
        </is>
      </c>
      <c r="Q170" s="3" t="n">
        <v>0.965</v>
      </c>
      <c r="R170" s="3" t="n">
        <v>33.4</v>
      </c>
      <c r="S170" s="3" t="n">
        <v>0.0571</v>
      </c>
      <c r="T170" s="3" t="n">
        <v>0</v>
      </c>
      <c r="U170" s="3" t="n">
        <v>0.6564</v>
      </c>
      <c r="V170" s="3" t="n">
        <v>2.917</v>
      </c>
      <c r="W170" s="3">
        <f>IF(V170="",IFERROR(VLOOKUP($C170,Assumptions!$A$4:$F$7,6,FALSE),0),V170)</f>
        <v/>
      </c>
      <c r="X170" s="3">
        <f>N(O170)*IFERROR(VLOOKUP($C170,Assumptions!$A$4:$F$7,2,FALSE),0)</f>
        <v/>
      </c>
      <c r="Y170" s="3">
        <f>N(S170)*IFERROR(VLOOKUP($C170,Assumptions!$A$4:$F$7,3,FALSE),0)*Assumptions!$B$11</f>
        <v/>
      </c>
      <c r="Z170" s="3">
        <f>N(N170)*IFERROR(VLOOKUP($C170,Assumptions!$A$4:$F$7,4,FALSE),0)</f>
        <v/>
      </c>
      <c r="AA170" s="3">
        <f>N(T170)*IFERROR(VLOOKUP($C170,Assumptions!$A$4:$F$7,5,FALSE),0)</f>
        <v/>
      </c>
      <c r="AB170" s="3">
        <f>N(U170)</f>
        <v/>
      </c>
      <c r="AC170" s="3">
        <f>SUM(W170:AB170)</f>
        <v/>
      </c>
      <c r="AD170" s="3">
        <f>N(AC170)*N(M170)/90</f>
        <v/>
      </c>
      <c r="AE170" s="3">
        <f>IFERROR(AD170-VLOOKUP($C170,Assumptions!$A$29:$C$32,3,FALSE),"")</f>
        <v/>
      </c>
      <c r="AF170" s="3">
        <f>IFERROR(AE170/F170,"")</f>
        <v/>
      </c>
      <c r="AG170">
        <f>IF(AND($E170=TRUE,$C170="GKP"),AD170,"")</f>
        <v/>
      </c>
      <c r="AH170">
        <f>IF(AND($E170=TRUE,$C170="DEF"),AD170,"")</f>
        <v/>
      </c>
      <c r="AI170">
        <f>IF(AND($E170=TRUE,$C170="MID"),AD170,"")</f>
        <v/>
      </c>
      <c r="AJ170">
        <f>IF(AND($E170=TRUE,$C170="FWD"),AD170,"")</f>
        <v/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b">
        <v>1</v>
      </c>
      <c r="F171" s="2" t="n">
        <v>5</v>
      </c>
      <c r="G171" t="inlineStr">
        <is>
          <t>a</t>
        </is>
      </c>
      <c r="I171" s="2" t="n">
        <v>2176</v>
      </c>
      <c r="J171" t="n">
        <v>79</v>
      </c>
      <c r="K171" s="3" t="n">
        <v>2702</v>
      </c>
      <c r="L171" t="inlineStr">
        <is>
          <t>flat</t>
        </is>
      </c>
      <c r="M171" s="4" t="n">
        <v>2176</v>
      </c>
      <c r="N171" s="4" t="n">
        <v>0.21</v>
      </c>
      <c r="O171" s="3" t="n">
        <v>0.0413</v>
      </c>
      <c r="P171" t="inlineStr">
        <is>
          <t>adjusted xGOT</t>
        </is>
      </c>
      <c r="Q171" s="3" t="n">
        <v>0.989</v>
      </c>
      <c r="R171" s="3" t="n">
        <v>2.6</v>
      </c>
      <c r="S171" s="3" t="n">
        <v>0.1099</v>
      </c>
      <c r="T171" s="3" t="n">
        <v>0.208</v>
      </c>
      <c r="U171" s="3" t="n">
        <v>0.2068</v>
      </c>
      <c r="V171" s="3" t="n">
        <v>2.192</v>
      </c>
      <c r="W171" s="3">
        <f>IF(V171="",IFERROR(VLOOKUP($C171,Assumptions!$A$4:$F$7,6,FALSE),0),V171)</f>
        <v/>
      </c>
      <c r="X171" s="3">
        <f>N(O171)*IFERROR(VLOOKUP($C171,Assumptions!$A$4:$F$7,2,FALSE),0)</f>
        <v/>
      </c>
      <c r="Y171" s="3">
        <f>N(S171)*IFERROR(VLOOKUP($C171,Assumptions!$A$4:$F$7,3,FALSE),0)*Assumptions!$B$11</f>
        <v/>
      </c>
      <c r="Z171" s="3">
        <f>N(N171)*IFERROR(VLOOKUP($C171,Assumptions!$A$4:$F$7,4,FALSE),0)</f>
        <v/>
      </c>
      <c r="AA171" s="3">
        <f>N(T171)*IFERROR(VLOOKUP($C171,Assumptions!$A$4:$F$7,5,FALSE),0)</f>
        <v/>
      </c>
      <c r="AB171" s="3">
        <f>N(U171)</f>
        <v/>
      </c>
      <c r="AC171" s="3">
        <f>SUM(W171:AB171)</f>
        <v/>
      </c>
      <c r="AD171" s="3">
        <f>N(AC171)*N(M171)/90</f>
        <v/>
      </c>
      <c r="AE171" s="3">
        <f>IFERROR(AD171-VLOOKUP($C171,Assumptions!$A$29:$C$32,3,FALSE),"")</f>
        <v/>
      </c>
      <c r="AF171" s="3">
        <f>IFERROR(AE171/F171,"")</f>
        <v/>
      </c>
      <c r="AG171">
        <f>IF(AND($E171=TRUE,$C171="GKP"),AD171,"")</f>
        <v/>
      </c>
      <c r="AH171">
        <f>IF(AND($E171=TRUE,$C171="DEF"),AD171,"")</f>
        <v/>
      </c>
      <c r="AI171">
        <f>IF(AND($E171=TRUE,$C171="MID"),AD171,"")</f>
        <v/>
      </c>
      <c r="AJ171">
        <f>IF(AND($E171=TRUE,$C171="FWD"),AD171,"")</f>
        <v/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b">
        <v>1</v>
      </c>
      <c r="F172" s="2" t="n">
        <v>6.5</v>
      </c>
      <c r="G172" t="inlineStr">
        <is>
          <t>d</t>
        </is>
      </c>
      <c r="H172" t="inlineStr">
        <is>
          <t>Foot injury - 75% chance of playing</t>
        </is>
      </c>
      <c r="I172" s="2" t="n">
        <v>1627</v>
      </c>
      <c r="J172" t="n">
        <v>79</v>
      </c>
      <c r="K172" s="3" t="n">
        <v>27</v>
      </c>
      <c r="L172" t="inlineStr">
        <is>
          <t>flat</t>
        </is>
      </c>
      <c r="M172" s="4" t="n">
        <v>1627</v>
      </c>
      <c r="N172" s="4" t="n">
        <v>0.421</v>
      </c>
      <c r="O172" s="3" t="n">
        <v>0.1214</v>
      </c>
      <c r="P172" t="inlineStr">
        <is>
          <t>adjusted xGOT</t>
        </is>
      </c>
      <c r="Q172" s="3" t="n">
        <v>1.07</v>
      </c>
      <c r="R172" s="3" t="n">
        <v>9.800000000000001</v>
      </c>
      <c r="S172" s="3" t="n">
        <v>0.2193</v>
      </c>
      <c r="T172" s="3" t="n">
        <v>0</v>
      </c>
      <c r="U172" s="3" t="n">
        <v>0.6637999999999999</v>
      </c>
      <c r="V172" s="3" t="n">
        <v>2.102</v>
      </c>
      <c r="W172" s="3">
        <f>IF(V172="",IFERROR(VLOOKUP($C172,Assumptions!$A$4:$F$7,6,FALSE),0),V172)</f>
        <v/>
      </c>
      <c r="X172" s="3">
        <f>N(O172)*IFERROR(VLOOKUP($C172,Assumptions!$A$4:$F$7,2,FALSE),0)</f>
        <v/>
      </c>
      <c r="Y172" s="3">
        <f>N(S172)*IFERROR(VLOOKUP($C172,Assumptions!$A$4:$F$7,3,FALSE),0)*Assumptions!$B$11</f>
        <v/>
      </c>
      <c r="Z172" s="3">
        <f>N(N172)*IFERROR(VLOOKUP($C172,Assumptions!$A$4:$F$7,4,FALSE),0)</f>
        <v/>
      </c>
      <c r="AA172" s="3">
        <f>N(T172)*IFERROR(VLOOKUP($C172,Assumptions!$A$4:$F$7,5,FALSE),0)</f>
        <v/>
      </c>
      <c r="AB172" s="3">
        <f>N(U172)</f>
        <v/>
      </c>
      <c r="AC172" s="3">
        <f>SUM(W172:AB172)</f>
        <v/>
      </c>
      <c r="AD172" s="3">
        <f>N(AC172)*N(M172)/90</f>
        <v/>
      </c>
      <c r="AE172" s="3">
        <f>IFERROR(AD172-VLOOKUP($C172,Assumptions!$A$29:$C$32,3,FALSE),"")</f>
        <v/>
      </c>
      <c r="AF172" s="3">
        <f>IFERROR(AE172/F172,"")</f>
        <v/>
      </c>
      <c r="AG172">
        <f>IF(AND($E172=TRUE,$C172="GKP"),AD172,"")</f>
        <v/>
      </c>
      <c r="AH172">
        <f>IF(AND($E172=TRUE,$C172="DEF"),AD172,"")</f>
        <v/>
      </c>
      <c r="AI172">
        <f>IF(AND($E172=TRUE,$C172="MID"),AD172,"")</f>
        <v/>
      </c>
      <c r="AJ172">
        <f>IF(AND($E172=TRUE,$C172="FWD"),AD172,"")</f>
        <v/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b">
        <v>1</v>
      </c>
      <c r="F173" s="2" t="n">
        <v>5.5</v>
      </c>
      <c r="G173" t="inlineStr">
        <is>
          <t>a</t>
        </is>
      </c>
      <c r="I173" s="2" t="n">
        <v>1370</v>
      </c>
      <c r="J173" t="n">
        <v>79</v>
      </c>
      <c r="K173" s="3" t="n">
        <v>3038</v>
      </c>
      <c r="L173" t="inlineStr">
        <is>
          <t>flat</t>
        </is>
      </c>
      <c r="M173" s="4" t="n">
        <v>1370</v>
      </c>
      <c r="N173" s="4" t="n">
        <v>0.421</v>
      </c>
      <c r="O173" s="3" t="n">
        <v>0.1364</v>
      </c>
      <c r="P173" t="inlineStr">
        <is>
          <t>adjusted xGOT</t>
        </is>
      </c>
      <c r="Q173" s="3" t="n">
        <v>0.923</v>
      </c>
      <c r="R173" s="3" t="n">
        <v>10</v>
      </c>
      <c r="S173" s="3" t="n">
        <v>0.0374</v>
      </c>
      <c r="T173" s="3" t="n">
        <v>0.188</v>
      </c>
      <c r="U173" s="3" t="n">
        <v>0.1971</v>
      </c>
      <c r="V173" s="3" t="n">
        <v>2.102</v>
      </c>
      <c r="W173" s="3">
        <f>IF(V173="",IFERROR(VLOOKUP($C173,Assumptions!$A$4:$F$7,6,FALSE),0),V173)</f>
        <v/>
      </c>
      <c r="X173" s="3">
        <f>N(O173)*IFERROR(VLOOKUP($C173,Assumptions!$A$4:$F$7,2,FALSE),0)</f>
        <v/>
      </c>
      <c r="Y173" s="3">
        <f>N(S173)*IFERROR(VLOOKUP($C173,Assumptions!$A$4:$F$7,3,FALSE),0)*Assumptions!$B$11</f>
        <v/>
      </c>
      <c r="Z173" s="3">
        <f>N(N173)*IFERROR(VLOOKUP($C173,Assumptions!$A$4:$F$7,4,FALSE),0)</f>
        <v/>
      </c>
      <c r="AA173" s="3">
        <f>N(T173)*IFERROR(VLOOKUP($C173,Assumptions!$A$4:$F$7,5,FALSE),0)</f>
        <v/>
      </c>
      <c r="AB173" s="3">
        <f>N(U173)</f>
        <v/>
      </c>
      <c r="AC173" s="3">
        <f>SUM(W173:AB173)</f>
        <v/>
      </c>
      <c r="AD173" s="3">
        <f>N(AC173)*N(M173)/90</f>
        <v/>
      </c>
      <c r="AE173" s="3">
        <f>IFERROR(AD173-VLOOKUP($C173,Assumptions!$A$29:$C$32,3,FALSE),"")</f>
        <v/>
      </c>
      <c r="AF173" s="3">
        <f>IFERROR(AE173/F173,"")</f>
        <v/>
      </c>
      <c r="AG173">
        <f>IF(AND($E173=TRUE,$C173="GKP"),AD173,"")</f>
        <v/>
      </c>
      <c r="AH173">
        <f>IF(AND($E173=TRUE,$C173="DEF"),AD173,"")</f>
        <v/>
      </c>
      <c r="AI173">
        <f>IF(AND($E173=TRUE,$C173="MID"),AD173,"")</f>
        <v/>
      </c>
      <c r="AJ173">
        <f>IF(AND($E173=TRUE,$C173="FWD"),AD173,"")</f>
        <v/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b">
        <v>1</v>
      </c>
      <c r="F174" s="2" t="n">
        <v>5.5</v>
      </c>
      <c r="G174" t="inlineStr">
        <is>
          <t>a</t>
        </is>
      </c>
      <c r="I174" s="2" t="n">
        <v>1636</v>
      </c>
      <c r="J174" t="n">
        <v>78</v>
      </c>
      <c r="K174" s="3" t="n">
        <v>3164</v>
      </c>
      <c r="L174" t="inlineStr">
        <is>
          <t>flat</t>
        </is>
      </c>
      <c r="M174" s="4" t="n">
        <v>1636</v>
      </c>
      <c r="N174" s="4" t="n">
        <v>0.263</v>
      </c>
      <c r="O174" s="3" t="n">
        <v>0.0791</v>
      </c>
      <c r="P174" t="inlineStr">
        <is>
          <t>adjusted xGOT</t>
        </is>
      </c>
      <c r="Q174" s="3" t="n">
        <v>1.034</v>
      </c>
      <c r="R174" s="3" t="n">
        <v>13</v>
      </c>
      <c r="S174" s="3" t="n">
        <v>0.1993</v>
      </c>
      <c r="T174" s="3" t="n">
        <v>0.111</v>
      </c>
      <c r="U174" s="3" t="n">
        <v>0.5501</v>
      </c>
      <c r="V174" s="3" t="n">
        <v>2.035</v>
      </c>
      <c r="W174" s="3">
        <f>IF(V174="",IFERROR(VLOOKUP($C174,Assumptions!$A$4:$F$7,6,FALSE),0),V174)</f>
        <v/>
      </c>
      <c r="X174" s="3">
        <f>N(O174)*IFERROR(VLOOKUP($C174,Assumptions!$A$4:$F$7,2,FALSE),0)</f>
        <v/>
      </c>
      <c r="Y174" s="3">
        <f>N(S174)*IFERROR(VLOOKUP($C174,Assumptions!$A$4:$F$7,3,FALSE),0)*Assumptions!$B$11</f>
        <v/>
      </c>
      <c r="Z174" s="3">
        <f>N(N174)*IFERROR(VLOOKUP($C174,Assumptions!$A$4:$F$7,4,FALSE),0)</f>
        <v/>
      </c>
      <c r="AA174" s="3">
        <f>N(T174)*IFERROR(VLOOKUP($C174,Assumptions!$A$4:$F$7,5,FALSE),0)</f>
        <v/>
      </c>
      <c r="AB174" s="3">
        <f>N(U174)</f>
        <v/>
      </c>
      <c r="AC174" s="3">
        <f>SUM(W174:AB174)</f>
        <v/>
      </c>
      <c r="AD174" s="3">
        <f>N(AC174)*N(M174)/90</f>
        <v/>
      </c>
      <c r="AE174" s="3">
        <f>IFERROR(AD174-VLOOKUP($C174,Assumptions!$A$29:$C$32,3,FALSE),"")</f>
        <v/>
      </c>
      <c r="AF174" s="3">
        <f>IFERROR(AE174/F174,"")</f>
        <v/>
      </c>
      <c r="AG174">
        <f>IF(AND($E174=TRUE,$C174="GKP"),AD174,"")</f>
        <v/>
      </c>
      <c r="AH174">
        <f>IF(AND($E174=TRUE,$C174="DEF"),AD174,"")</f>
        <v/>
      </c>
      <c r="AI174">
        <f>IF(AND($E174=TRUE,$C174="MID"),AD174,"")</f>
        <v/>
      </c>
      <c r="AJ174">
        <f>IF(AND($E174=TRUE,$C174="FWD"),AD174,"")</f>
        <v/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b">
        <v>1</v>
      </c>
      <c r="F175" s="2" t="n">
        <v>6</v>
      </c>
      <c r="G175" t="inlineStr">
        <is>
          <t>a</t>
        </is>
      </c>
      <c r="I175" s="2" t="n">
        <v>1334</v>
      </c>
      <c r="J175" t="n">
        <v>78</v>
      </c>
      <c r="K175" s="3" t="n">
        <v>1097</v>
      </c>
      <c r="L175" t="inlineStr">
        <is>
          <t>fade (losing his place)</t>
        </is>
      </c>
      <c r="M175" s="4" t="n">
        <v>1334</v>
      </c>
      <c r="N175" s="4" t="n">
        <v>0.237</v>
      </c>
      <c r="O175" s="3" t="n">
        <v>0.1737</v>
      </c>
      <c r="P175" t="inlineStr">
        <is>
          <t>adjusted xGOT</t>
        </is>
      </c>
      <c r="Q175" s="3" t="n">
        <v>1.042</v>
      </c>
      <c r="R175" s="3" t="n">
        <v>5.4</v>
      </c>
      <c r="S175" s="3" t="n">
        <v>0.1971</v>
      </c>
      <c r="T175" s="3" t="n">
        <v>0</v>
      </c>
      <c r="U175" s="3" t="n">
        <v>0.4048</v>
      </c>
      <c r="V175" s="3" t="n">
        <v>2.901</v>
      </c>
      <c r="W175" s="3">
        <f>IF(V175="",IFERROR(VLOOKUP($C175,Assumptions!$A$4:$F$7,6,FALSE),0),V175)</f>
        <v/>
      </c>
      <c r="X175" s="3">
        <f>N(O175)*IFERROR(VLOOKUP($C175,Assumptions!$A$4:$F$7,2,FALSE),0)</f>
        <v/>
      </c>
      <c r="Y175" s="3">
        <f>N(S175)*IFERROR(VLOOKUP($C175,Assumptions!$A$4:$F$7,3,FALSE),0)*Assumptions!$B$11</f>
        <v/>
      </c>
      <c r="Z175" s="3">
        <f>N(N175)*IFERROR(VLOOKUP($C175,Assumptions!$A$4:$F$7,4,FALSE),0)</f>
        <v/>
      </c>
      <c r="AA175" s="3">
        <f>N(T175)*IFERROR(VLOOKUP($C175,Assumptions!$A$4:$F$7,5,FALSE),0)</f>
        <v/>
      </c>
      <c r="AB175" s="3">
        <f>N(U175)</f>
        <v/>
      </c>
      <c r="AC175" s="3">
        <f>SUM(W175:AB175)</f>
        <v/>
      </c>
      <c r="AD175" s="3">
        <f>N(AC175)*N(M175)/90</f>
        <v/>
      </c>
      <c r="AE175" s="3">
        <f>IFERROR(AD175-VLOOKUP($C175,Assumptions!$A$29:$C$32,3,FALSE),"")</f>
        <v/>
      </c>
      <c r="AF175" s="3">
        <f>IFERROR(AE175/F175,"")</f>
        <v/>
      </c>
      <c r="AG175">
        <f>IF(AND($E175=TRUE,$C175="GKP"),AD175,"")</f>
        <v/>
      </c>
      <c r="AH175">
        <f>IF(AND($E175=TRUE,$C175="DEF"),AD175,"")</f>
        <v/>
      </c>
      <c r="AI175">
        <f>IF(AND($E175=TRUE,$C175="MID"),AD175,"")</f>
        <v/>
      </c>
      <c r="AJ175">
        <f>IF(AND($E175=TRUE,$C175="FWD"),AD175,"")</f>
        <v/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b">
        <v>1</v>
      </c>
      <c r="F176" s="2" t="n">
        <v>4.5</v>
      </c>
      <c r="G176" t="inlineStr">
        <is>
          <t>a</t>
        </is>
      </c>
      <c r="I176" s="2" t="n">
        <v>2049</v>
      </c>
      <c r="J176" t="n">
        <v>78</v>
      </c>
      <c r="K176" s="3" t="n">
        <v>1955</v>
      </c>
      <c r="L176" t="inlineStr">
        <is>
          <t>flat</t>
        </is>
      </c>
      <c r="M176" s="4" t="n">
        <v>2049</v>
      </c>
      <c r="N176" s="4" t="n">
        <v>0.237</v>
      </c>
      <c r="O176" s="3" t="n">
        <v>0.041</v>
      </c>
      <c r="P176" t="inlineStr">
        <is>
          <t>adjusted xGOT</t>
        </is>
      </c>
      <c r="Q176" s="3" t="n">
        <v>1.038</v>
      </c>
      <c r="R176" s="3" t="n">
        <v>1.5</v>
      </c>
      <c r="S176" s="3" t="n">
        <v>0.07969999999999999</v>
      </c>
      <c r="T176" s="3" t="n">
        <v>0.043</v>
      </c>
      <c r="U176" s="3" t="n">
        <v>0.1318</v>
      </c>
      <c r="V176" s="3" t="n">
        <v>2.284</v>
      </c>
      <c r="W176" s="3">
        <f>IF(V176="",IFERROR(VLOOKUP($C176,Assumptions!$A$4:$F$7,6,FALSE),0),V176)</f>
        <v/>
      </c>
      <c r="X176" s="3">
        <f>N(O176)*IFERROR(VLOOKUP($C176,Assumptions!$A$4:$F$7,2,FALSE),0)</f>
        <v/>
      </c>
      <c r="Y176" s="3">
        <f>N(S176)*IFERROR(VLOOKUP($C176,Assumptions!$A$4:$F$7,3,FALSE),0)*Assumptions!$B$11</f>
        <v/>
      </c>
      <c r="Z176" s="3">
        <f>N(N176)*IFERROR(VLOOKUP($C176,Assumptions!$A$4:$F$7,4,FALSE),0)</f>
        <v/>
      </c>
      <c r="AA176" s="3">
        <f>N(T176)*IFERROR(VLOOKUP($C176,Assumptions!$A$4:$F$7,5,FALSE),0)</f>
        <v/>
      </c>
      <c r="AB176" s="3">
        <f>N(U176)</f>
        <v/>
      </c>
      <c r="AC176" s="3">
        <f>SUM(W176:AB176)</f>
        <v/>
      </c>
      <c r="AD176" s="3">
        <f>N(AC176)*N(M176)/90</f>
        <v/>
      </c>
      <c r="AE176" s="3">
        <f>IFERROR(AD176-VLOOKUP($C176,Assumptions!$A$29:$C$32,3,FALSE),"")</f>
        <v/>
      </c>
      <c r="AF176" s="3">
        <f>IFERROR(AE176/F176,"")</f>
        <v/>
      </c>
      <c r="AG176">
        <f>IF(AND($E176=TRUE,$C176="GKP"),AD176,"")</f>
        <v/>
      </c>
      <c r="AH176">
        <f>IF(AND($E176=TRUE,$C176="DEF"),AD176,"")</f>
        <v/>
      </c>
      <c r="AI176">
        <f>IF(AND($E176=TRUE,$C176="MID"),AD176,"")</f>
        <v/>
      </c>
      <c r="AJ176">
        <f>IF(AND($E176=TRUE,$C176="FWD"),AD176,"")</f>
        <v/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b">
        <v>1</v>
      </c>
      <c r="F177" s="2" t="n">
        <v>5</v>
      </c>
      <c r="G177" t="inlineStr">
        <is>
          <t>a</t>
        </is>
      </c>
      <c r="I177" s="2" t="n">
        <v>1769</v>
      </c>
      <c r="J177" t="n">
        <v>77</v>
      </c>
      <c r="K177" s="3" t="n">
        <v>2633</v>
      </c>
      <c r="L177" t="inlineStr">
        <is>
          <t>flat</t>
        </is>
      </c>
      <c r="M177" s="4" t="n">
        <v>1769</v>
      </c>
      <c r="N177" s="4" t="n">
        <v>0.29</v>
      </c>
      <c r="O177" s="3" t="n">
        <v>0.034</v>
      </c>
      <c r="P177" t="inlineStr">
        <is>
          <t>adjusted xGOT</t>
        </is>
      </c>
      <c r="Q177" s="3" t="n">
        <v>1.063</v>
      </c>
      <c r="R177" s="3" t="n">
        <v>2.1</v>
      </c>
      <c r="S177" s="3" t="n">
        <v>0.0473</v>
      </c>
      <c r="T177" s="3" t="n">
        <v>0.333</v>
      </c>
      <c r="U177" s="3" t="n">
        <v>0.1526</v>
      </c>
      <c r="V177" s="3" t="n">
        <v>2.289</v>
      </c>
      <c r="W177" s="3">
        <f>IF(V177="",IFERROR(VLOOKUP($C177,Assumptions!$A$4:$F$7,6,FALSE),0),V177)</f>
        <v/>
      </c>
      <c r="X177" s="3">
        <f>N(O177)*IFERROR(VLOOKUP($C177,Assumptions!$A$4:$F$7,2,FALSE),0)</f>
        <v/>
      </c>
      <c r="Y177" s="3">
        <f>N(S177)*IFERROR(VLOOKUP($C177,Assumptions!$A$4:$F$7,3,FALSE),0)*Assumptions!$B$11</f>
        <v/>
      </c>
      <c r="Z177" s="3">
        <f>N(N177)*IFERROR(VLOOKUP($C177,Assumptions!$A$4:$F$7,4,FALSE),0)</f>
        <v/>
      </c>
      <c r="AA177" s="3">
        <f>N(T177)*IFERROR(VLOOKUP($C177,Assumptions!$A$4:$F$7,5,FALSE),0)</f>
        <v/>
      </c>
      <c r="AB177" s="3">
        <f>N(U177)</f>
        <v/>
      </c>
      <c r="AC177" s="3">
        <f>SUM(W177:AB177)</f>
        <v/>
      </c>
      <c r="AD177" s="3">
        <f>N(AC177)*N(M177)/90</f>
        <v/>
      </c>
      <c r="AE177" s="3">
        <f>IFERROR(AD177-VLOOKUP($C177,Assumptions!$A$29:$C$32,3,FALSE),"")</f>
        <v/>
      </c>
      <c r="AF177" s="3">
        <f>IFERROR(AE177/F177,"")</f>
        <v/>
      </c>
      <c r="AG177">
        <f>IF(AND($E177=TRUE,$C177="GKP"),AD177,"")</f>
        <v/>
      </c>
      <c r="AH177">
        <f>IF(AND($E177=TRUE,$C177="DEF"),AD177,"")</f>
        <v/>
      </c>
      <c r="AI177">
        <f>IF(AND($E177=TRUE,$C177="MID"),AD177,"")</f>
        <v/>
      </c>
      <c r="AJ177">
        <f>IF(AND($E177=TRUE,$C177="FWD"),AD177,"")</f>
        <v/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b">
        <v>1</v>
      </c>
      <c r="F178" s="2" t="n">
        <v>5.5</v>
      </c>
      <c r="G178" t="inlineStr">
        <is>
          <t>a</t>
        </is>
      </c>
      <c r="I178" s="2" t="n">
        <v>2074</v>
      </c>
      <c r="J178" t="n">
        <v>77</v>
      </c>
      <c r="K178" s="3" t="n">
        <v>2371</v>
      </c>
      <c r="L178" t="inlineStr">
        <is>
          <t>flat</t>
        </is>
      </c>
      <c r="M178" s="4" t="n">
        <v>2074</v>
      </c>
      <c r="N178" s="4" t="n">
        <v>0.316</v>
      </c>
      <c r="O178" s="3" t="n">
        <v>0.1914</v>
      </c>
      <c r="P178" t="inlineStr">
        <is>
          <t>adjusted xGOT</t>
        </is>
      </c>
      <c r="Q178" s="3" t="n">
        <v>0.974</v>
      </c>
      <c r="R178" s="3" t="n">
        <v>4.5</v>
      </c>
      <c r="S178" s="3" t="n">
        <v>0.3173</v>
      </c>
      <c r="T178" s="3" t="n">
        <v>0.038</v>
      </c>
      <c r="U178" s="3" t="n">
        <v>0.1302</v>
      </c>
      <c r="V178" s="3" t="n">
        <v>2.3</v>
      </c>
      <c r="W178" s="3">
        <f>IF(V178="",IFERROR(VLOOKUP($C178,Assumptions!$A$4:$F$7,6,FALSE),0),V178)</f>
        <v/>
      </c>
      <c r="X178" s="3">
        <f>N(O178)*IFERROR(VLOOKUP($C178,Assumptions!$A$4:$F$7,2,FALSE),0)</f>
        <v/>
      </c>
      <c r="Y178" s="3">
        <f>N(S178)*IFERROR(VLOOKUP($C178,Assumptions!$A$4:$F$7,3,FALSE),0)*Assumptions!$B$11</f>
        <v/>
      </c>
      <c r="Z178" s="3">
        <f>N(N178)*IFERROR(VLOOKUP($C178,Assumptions!$A$4:$F$7,4,FALSE),0)</f>
        <v/>
      </c>
      <c r="AA178" s="3">
        <f>N(T178)*IFERROR(VLOOKUP($C178,Assumptions!$A$4:$F$7,5,FALSE),0)</f>
        <v/>
      </c>
      <c r="AB178" s="3">
        <f>N(U178)</f>
        <v/>
      </c>
      <c r="AC178" s="3">
        <f>SUM(W178:AB178)</f>
        <v/>
      </c>
      <c r="AD178" s="3">
        <f>N(AC178)*N(M178)/90</f>
        <v/>
      </c>
      <c r="AE178" s="3">
        <f>IFERROR(AD178-VLOOKUP($C178,Assumptions!$A$29:$C$32,3,FALSE),"")</f>
        <v/>
      </c>
      <c r="AF178" s="3">
        <f>IFERROR(AE178/F178,"")</f>
        <v/>
      </c>
      <c r="AG178">
        <f>IF(AND($E178=TRUE,$C178="GKP"),AD178,"")</f>
        <v/>
      </c>
      <c r="AH178">
        <f>IF(AND($E178=TRUE,$C178="DEF"),AD178,"")</f>
        <v/>
      </c>
      <c r="AI178">
        <f>IF(AND($E178=TRUE,$C178="MID"),AD178,"")</f>
        <v/>
      </c>
      <c r="AJ178">
        <f>IF(AND($E178=TRUE,$C178="FWD"),AD178,"")</f>
        <v/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b">
        <v>1</v>
      </c>
      <c r="F179" s="2" t="n">
        <v>5</v>
      </c>
      <c r="G179" t="inlineStr">
        <is>
          <t>d</t>
        </is>
      </c>
      <c r="H179" t="inlineStr">
        <is>
          <t>Wrist injury - 75% chance of playing</t>
        </is>
      </c>
      <c r="I179" s="2" t="n">
        <v>1911</v>
      </c>
      <c r="J179" t="n">
        <v>76</v>
      </c>
      <c r="K179" s="3" t="n">
        <v>137</v>
      </c>
      <c r="L179" t="inlineStr">
        <is>
          <t>flat</t>
        </is>
      </c>
      <c r="M179" s="4" t="n">
        <v>1911</v>
      </c>
      <c r="N179" s="4" t="n">
        <v>0.237</v>
      </c>
      <c r="O179" s="3" t="n">
        <v>0.0143</v>
      </c>
      <c r="P179" t="inlineStr">
        <is>
          <t>adjusted xGOT</t>
        </is>
      </c>
      <c r="Q179" s="3" t="n">
        <v>0.919</v>
      </c>
      <c r="R179" s="3" t="n">
        <v>1.7</v>
      </c>
      <c r="S179" s="3" t="n">
        <v>0.1326</v>
      </c>
      <c r="T179" s="3" t="n">
        <v>0.136</v>
      </c>
      <c r="U179" s="3" t="n">
        <v>0.2355</v>
      </c>
      <c r="V179" s="3" t="n">
        <v>2.402</v>
      </c>
      <c r="W179" s="3">
        <f>IF(V179="",IFERROR(VLOOKUP($C179,Assumptions!$A$4:$F$7,6,FALSE),0),V179)</f>
        <v/>
      </c>
      <c r="X179" s="3">
        <f>N(O179)*IFERROR(VLOOKUP($C179,Assumptions!$A$4:$F$7,2,FALSE),0)</f>
        <v/>
      </c>
      <c r="Y179" s="3">
        <f>N(S179)*IFERROR(VLOOKUP($C179,Assumptions!$A$4:$F$7,3,FALSE),0)*Assumptions!$B$11</f>
        <v/>
      </c>
      <c r="Z179" s="3">
        <f>N(N179)*IFERROR(VLOOKUP($C179,Assumptions!$A$4:$F$7,4,FALSE),0)</f>
        <v/>
      </c>
      <c r="AA179" s="3">
        <f>N(T179)*IFERROR(VLOOKUP($C179,Assumptions!$A$4:$F$7,5,FALSE),0)</f>
        <v/>
      </c>
      <c r="AB179" s="3">
        <f>N(U179)</f>
        <v/>
      </c>
      <c r="AC179" s="3">
        <f>SUM(W179:AB179)</f>
        <v/>
      </c>
      <c r="AD179" s="3">
        <f>N(AC179)*N(M179)/90</f>
        <v/>
      </c>
      <c r="AE179" s="3">
        <f>IFERROR(AD179-VLOOKUP($C179,Assumptions!$A$29:$C$32,3,FALSE),"")</f>
        <v/>
      </c>
      <c r="AF179" s="3">
        <f>IFERROR(AE179/F179,"")</f>
        <v/>
      </c>
      <c r="AG179">
        <f>IF(AND($E179=TRUE,$C179="GKP"),AD179,"")</f>
        <v/>
      </c>
      <c r="AH179">
        <f>IF(AND($E179=TRUE,$C179="DEF"),AD179,"")</f>
        <v/>
      </c>
      <c r="AI179">
        <f>IF(AND($E179=TRUE,$C179="MID"),AD179,"")</f>
        <v/>
      </c>
      <c r="AJ179">
        <f>IF(AND($E179=TRUE,$C179="FWD"),AD179,"")</f>
        <v/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b">
        <v>1</v>
      </c>
      <c r="F180" s="2" t="n">
        <v>5</v>
      </c>
      <c r="G180" t="inlineStr">
        <is>
          <t>i</t>
        </is>
      </c>
      <c r="H180" t="inlineStr">
        <is>
          <t>Knee injury - Unknown return date</t>
        </is>
      </c>
      <c r="I180" s="2" t="n">
        <v>1755</v>
      </c>
      <c r="J180" t="n">
        <v>76</v>
      </c>
      <c r="K180" s="3" t="n">
        <v>1285</v>
      </c>
      <c r="L180" t="inlineStr">
        <is>
          <t>ramp-up (injury / late WC return)</t>
        </is>
      </c>
      <c r="M180" s="4" t="n">
        <v>1755</v>
      </c>
      <c r="N180" s="4" t="n">
        <v>0.237</v>
      </c>
      <c r="O180" s="3" t="n">
        <v>0.0853</v>
      </c>
      <c r="P180" t="inlineStr">
        <is>
          <t>adjusted xGOT</t>
        </is>
      </c>
      <c r="Q180" s="3" t="n">
        <v>0.99</v>
      </c>
      <c r="R180" s="3" t="n">
        <v>9</v>
      </c>
      <c r="S180" s="3" t="n">
        <v>0.0306</v>
      </c>
      <c r="T180" s="3" t="n">
        <v>0.333</v>
      </c>
      <c r="U180" s="3" t="n">
        <v>0.2051</v>
      </c>
      <c r="V180" s="3" t="n">
        <v>2.308</v>
      </c>
      <c r="W180" s="3">
        <f>IF(V180="",IFERROR(VLOOKUP($C180,Assumptions!$A$4:$F$7,6,FALSE),0),V180)</f>
        <v/>
      </c>
      <c r="X180" s="3">
        <f>N(O180)*IFERROR(VLOOKUP($C180,Assumptions!$A$4:$F$7,2,FALSE),0)</f>
        <v/>
      </c>
      <c r="Y180" s="3">
        <f>N(S180)*IFERROR(VLOOKUP($C180,Assumptions!$A$4:$F$7,3,FALSE),0)*Assumptions!$B$11</f>
        <v/>
      </c>
      <c r="Z180" s="3">
        <f>N(N180)*IFERROR(VLOOKUP($C180,Assumptions!$A$4:$F$7,4,FALSE),0)</f>
        <v/>
      </c>
      <c r="AA180" s="3">
        <f>N(T180)*IFERROR(VLOOKUP($C180,Assumptions!$A$4:$F$7,5,FALSE),0)</f>
        <v/>
      </c>
      <c r="AB180" s="3">
        <f>N(U180)</f>
        <v/>
      </c>
      <c r="AC180" s="3">
        <f>SUM(W180:AB180)</f>
        <v/>
      </c>
      <c r="AD180" s="3">
        <f>N(AC180)*N(M180)/90</f>
        <v/>
      </c>
      <c r="AE180" s="3">
        <f>IFERROR(AD180-VLOOKUP($C180,Assumptions!$A$29:$C$32,3,FALSE),"")</f>
        <v/>
      </c>
      <c r="AF180" s="3">
        <f>IFERROR(AE180/F180,"")</f>
        <v/>
      </c>
      <c r="AG180">
        <f>IF(AND($E180=TRUE,$C180="GKP"),AD180,"")</f>
        <v/>
      </c>
      <c r="AH180">
        <f>IF(AND($E180=TRUE,$C180="DEF"),AD180,"")</f>
        <v/>
      </c>
      <c r="AI180">
        <f>IF(AND($E180=TRUE,$C180="MID"),AD180,"")</f>
        <v/>
      </c>
      <c r="AJ180">
        <f>IF(AND($E180=TRUE,$C180="FWD"),AD180,"")</f>
        <v/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b">
        <v>1</v>
      </c>
      <c r="F181" s="2" t="n">
        <v>6</v>
      </c>
      <c r="G181" t="inlineStr">
        <is>
          <t>a</t>
        </is>
      </c>
      <c r="I181" s="2" t="n">
        <v>805</v>
      </c>
      <c r="J181" t="n">
        <v>76</v>
      </c>
      <c r="K181" s="3" t="n">
        <v>2069</v>
      </c>
      <c r="L181" t="inlineStr">
        <is>
          <t>flat</t>
        </is>
      </c>
      <c r="M181" s="4" t="n">
        <v>805</v>
      </c>
      <c r="N181" s="4" t="n">
        <v>0.21</v>
      </c>
      <c r="O181" s="3" t="n">
        <v>0.5302</v>
      </c>
      <c r="P181" t="inlineStr">
        <is>
          <t>adjusted xGOT</t>
        </is>
      </c>
      <c r="Q181" s="3" t="n">
        <v>1.108</v>
      </c>
      <c r="R181" s="3" t="n">
        <v>6.1</v>
      </c>
      <c r="S181" s="3" t="n">
        <v>0.0596</v>
      </c>
      <c r="T181" s="3" t="n">
        <v>0</v>
      </c>
      <c r="U181" s="3" t="n">
        <v>1.4534</v>
      </c>
      <c r="V181" s="3" t="n">
        <v>3.578</v>
      </c>
      <c r="W181" s="3">
        <f>IF(V181="",IFERROR(VLOOKUP($C181,Assumptions!$A$4:$F$7,6,FALSE),0),V181)</f>
        <v/>
      </c>
      <c r="X181" s="3">
        <f>N(O181)*IFERROR(VLOOKUP($C181,Assumptions!$A$4:$F$7,2,FALSE),0)</f>
        <v/>
      </c>
      <c r="Y181" s="3">
        <f>N(S181)*IFERROR(VLOOKUP($C181,Assumptions!$A$4:$F$7,3,FALSE),0)*Assumptions!$B$11</f>
        <v/>
      </c>
      <c r="Z181" s="3">
        <f>N(N181)*IFERROR(VLOOKUP($C181,Assumptions!$A$4:$F$7,4,FALSE),0)</f>
        <v/>
      </c>
      <c r="AA181" s="3">
        <f>N(T181)*IFERROR(VLOOKUP($C181,Assumptions!$A$4:$F$7,5,FALSE),0)</f>
        <v/>
      </c>
      <c r="AB181" s="3">
        <f>N(U181)</f>
        <v/>
      </c>
      <c r="AC181" s="3">
        <f>SUM(W181:AB181)</f>
        <v/>
      </c>
      <c r="AD181" s="3">
        <f>N(AC181)*N(M181)/90</f>
        <v/>
      </c>
      <c r="AE181" s="3">
        <f>IFERROR(AD181-VLOOKUP($C181,Assumptions!$A$29:$C$32,3,FALSE),"")</f>
        <v/>
      </c>
      <c r="AF181" s="3">
        <f>IFERROR(AE181/F181,"")</f>
        <v/>
      </c>
      <c r="AG181">
        <f>IF(AND($E181=TRUE,$C181="GKP"),AD181,"")</f>
        <v/>
      </c>
      <c r="AH181">
        <f>IF(AND($E181=TRUE,$C181="DEF"),AD181,"")</f>
        <v/>
      </c>
      <c r="AI181">
        <f>IF(AND($E181=TRUE,$C181="MID"),AD181,"")</f>
        <v/>
      </c>
      <c r="AJ181">
        <f>IF(AND($E181=TRUE,$C181="FWD"),AD181,"")</f>
        <v/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b">
        <v>1</v>
      </c>
      <c r="F182" s="2" t="n">
        <v>4.5</v>
      </c>
      <c r="G182" t="inlineStr">
        <is>
          <t>a</t>
        </is>
      </c>
      <c r="I182" s="2" t="n">
        <v>1805</v>
      </c>
      <c r="J182" t="n">
        <v>76</v>
      </c>
      <c r="K182" s="3" t="n">
        <v>1619</v>
      </c>
      <c r="L182" t="inlineStr">
        <is>
          <t>fade (losing his place)</t>
        </is>
      </c>
      <c r="M182" s="4" t="n">
        <v>1805</v>
      </c>
      <c r="N182" s="4" t="n">
        <v>0.263</v>
      </c>
      <c r="O182" s="3" t="n">
        <v>0.0362</v>
      </c>
      <c r="P182" t="inlineStr">
        <is>
          <t>adjusted xGOT</t>
        </is>
      </c>
      <c r="Q182" s="3" t="n">
        <v>1.053</v>
      </c>
      <c r="R182" s="3" t="n">
        <v>2.9</v>
      </c>
      <c r="S182" s="3" t="n">
        <v>0.0407</v>
      </c>
      <c r="T182" s="3" t="n">
        <v>0.45</v>
      </c>
      <c r="U182" s="3" t="n">
        <v>0.0499</v>
      </c>
      <c r="V182" s="3" t="n">
        <v>2.294</v>
      </c>
      <c r="W182" s="3">
        <f>IF(V182="",IFERROR(VLOOKUP($C182,Assumptions!$A$4:$F$7,6,FALSE),0),V182)</f>
        <v/>
      </c>
      <c r="X182" s="3">
        <f>N(O182)*IFERROR(VLOOKUP($C182,Assumptions!$A$4:$F$7,2,FALSE),0)</f>
        <v/>
      </c>
      <c r="Y182" s="3">
        <f>N(S182)*IFERROR(VLOOKUP($C182,Assumptions!$A$4:$F$7,3,FALSE),0)*Assumptions!$B$11</f>
        <v/>
      </c>
      <c r="Z182" s="3">
        <f>N(N182)*IFERROR(VLOOKUP($C182,Assumptions!$A$4:$F$7,4,FALSE),0)</f>
        <v/>
      </c>
      <c r="AA182" s="3">
        <f>N(T182)*IFERROR(VLOOKUP($C182,Assumptions!$A$4:$F$7,5,FALSE),0)</f>
        <v/>
      </c>
      <c r="AB182" s="3">
        <f>N(U182)</f>
        <v/>
      </c>
      <c r="AC182" s="3">
        <f>SUM(W182:AB182)</f>
        <v/>
      </c>
      <c r="AD182" s="3">
        <f>N(AC182)*N(M182)/90</f>
        <v/>
      </c>
      <c r="AE182" s="3">
        <f>IFERROR(AD182-VLOOKUP($C182,Assumptions!$A$29:$C$32,3,FALSE),"")</f>
        <v/>
      </c>
      <c r="AF182" s="3">
        <f>IFERROR(AE182/F182,"")</f>
        <v/>
      </c>
      <c r="AG182">
        <f>IF(AND($E182=TRUE,$C182="GKP"),AD182,"")</f>
        <v/>
      </c>
      <c r="AH182">
        <f>IF(AND($E182=TRUE,$C182="DEF"),AD182,"")</f>
        <v/>
      </c>
      <c r="AI182">
        <f>IF(AND($E182=TRUE,$C182="MID"),AD182,"")</f>
        <v/>
      </c>
      <c r="AJ182">
        <f>IF(AND($E182=TRUE,$C182="FWD"),AD182,"")</f>
        <v/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b">
        <v>1</v>
      </c>
      <c r="F183" s="2" t="n">
        <v>6</v>
      </c>
      <c r="G183" t="inlineStr">
        <is>
          <t>a</t>
        </is>
      </c>
      <c r="I183" s="2" t="n">
        <v>2301</v>
      </c>
      <c r="J183" t="n">
        <v>75</v>
      </c>
      <c r="K183" s="3" t="n">
        <v>953</v>
      </c>
      <c r="L183" t="inlineStr">
        <is>
          <t>flat</t>
        </is>
      </c>
      <c r="M183" s="4" t="n">
        <v>2301</v>
      </c>
      <c r="N183" s="4" t="n">
        <v>0.316</v>
      </c>
      <c r="O183" s="3" t="n">
        <v>0.2317</v>
      </c>
      <c r="P183" t="inlineStr">
        <is>
          <t>adjusted xGOT</t>
        </is>
      </c>
      <c r="Q183" s="3" t="n">
        <v>1.118</v>
      </c>
      <c r="R183" s="3" t="n">
        <v>15.4</v>
      </c>
      <c r="S183" s="3" t="n">
        <v>0.0353</v>
      </c>
      <c r="T183" s="3" t="n">
        <v>0</v>
      </c>
      <c r="U183" s="3" t="n">
        <v>0.1173</v>
      </c>
      <c r="V183" s="3" t="n">
        <v>2.308</v>
      </c>
      <c r="W183" s="3">
        <f>IF(V183="",IFERROR(VLOOKUP($C183,Assumptions!$A$4:$F$7,6,FALSE),0),V183)</f>
        <v/>
      </c>
      <c r="X183" s="3">
        <f>N(O183)*IFERROR(VLOOKUP($C183,Assumptions!$A$4:$F$7,2,FALSE),0)</f>
        <v/>
      </c>
      <c r="Y183" s="3">
        <f>N(S183)*IFERROR(VLOOKUP($C183,Assumptions!$A$4:$F$7,3,FALSE),0)*Assumptions!$B$11</f>
        <v/>
      </c>
      <c r="Z183" s="3">
        <f>N(N183)*IFERROR(VLOOKUP($C183,Assumptions!$A$4:$F$7,4,FALSE),0)</f>
        <v/>
      </c>
      <c r="AA183" s="3">
        <f>N(T183)*IFERROR(VLOOKUP($C183,Assumptions!$A$4:$F$7,5,FALSE),0)</f>
        <v/>
      </c>
      <c r="AB183" s="3">
        <f>N(U183)</f>
        <v/>
      </c>
      <c r="AC183" s="3">
        <f>SUM(W183:AB183)</f>
        <v/>
      </c>
      <c r="AD183" s="3">
        <f>N(AC183)*N(M183)/90</f>
        <v/>
      </c>
      <c r="AE183" s="3">
        <f>IFERROR(AD183-VLOOKUP($C183,Assumptions!$A$29:$C$32,3,FALSE),"")</f>
        <v/>
      </c>
      <c r="AF183" s="3">
        <f>IFERROR(AE183/F183,"")</f>
        <v/>
      </c>
      <c r="AG183">
        <f>IF(AND($E183=TRUE,$C183="GKP"),AD183,"")</f>
        <v/>
      </c>
      <c r="AH183">
        <f>IF(AND($E183=TRUE,$C183="DEF"),AD183,"")</f>
        <v/>
      </c>
      <c r="AI183">
        <f>IF(AND($E183=TRUE,$C183="MID"),AD183,"")</f>
        <v/>
      </c>
      <c r="AJ183">
        <f>IF(AND($E183=TRUE,$C183="FWD"),AD183,"")</f>
        <v/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b">
        <v>1</v>
      </c>
      <c r="F184" s="2" t="n">
        <v>6.5</v>
      </c>
      <c r="G184" t="inlineStr">
        <is>
          <t>d</t>
        </is>
      </c>
      <c r="H184" t="inlineStr">
        <is>
          <t>Thigh injury - 75% chance of playing</t>
        </is>
      </c>
      <c r="I184" s="2" t="n">
        <v>1535</v>
      </c>
      <c r="J184" t="n">
        <v>75</v>
      </c>
      <c r="K184" s="3" t="n">
        <v>1858</v>
      </c>
      <c r="L184" t="inlineStr">
        <is>
          <t>flat</t>
        </is>
      </c>
      <c r="M184" s="4" t="n">
        <v>1535</v>
      </c>
      <c r="N184" s="4" t="n">
        <v>0.237</v>
      </c>
      <c r="O184" s="3" t="n">
        <v>0.1118</v>
      </c>
      <c r="P184" t="inlineStr">
        <is>
          <t>adjusted xGOT</t>
        </is>
      </c>
      <c r="Q184" s="3" t="n">
        <v>0.993</v>
      </c>
      <c r="R184" s="3" t="n">
        <v>14</v>
      </c>
      <c r="S184" s="3" t="n">
        <v>0.1461</v>
      </c>
      <c r="T184" s="3" t="n">
        <v>0</v>
      </c>
      <c r="U184" s="3" t="n">
        <v>0.4691</v>
      </c>
      <c r="V184" s="3" t="n">
        <v>2.111</v>
      </c>
      <c r="W184" s="3">
        <f>IF(V184="",IFERROR(VLOOKUP($C184,Assumptions!$A$4:$F$7,6,FALSE),0),V184)</f>
        <v/>
      </c>
      <c r="X184" s="3">
        <f>N(O184)*IFERROR(VLOOKUP($C184,Assumptions!$A$4:$F$7,2,FALSE),0)</f>
        <v/>
      </c>
      <c r="Y184" s="3">
        <f>N(S184)*IFERROR(VLOOKUP($C184,Assumptions!$A$4:$F$7,3,FALSE),0)*Assumptions!$B$11</f>
        <v/>
      </c>
      <c r="Z184" s="3">
        <f>N(N184)*IFERROR(VLOOKUP($C184,Assumptions!$A$4:$F$7,4,FALSE),0)</f>
        <v/>
      </c>
      <c r="AA184" s="3">
        <f>N(T184)*IFERROR(VLOOKUP($C184,Assumptions!$A$4:$F$7,5,FALSE),0)</f>
        <v/>
      </c>
      <c r="AB184" s="3">
        <f>N(U184)</f>
        <v/>
      </c>
      <c r="AC184" s="3">
        <f>SUM(W184:AB184)</f>
        <v/>
      </c>
      <c r="AD184" s="3">
        <f>N(AC184)*N(M184)/90</f>
        <v/>
      </c>
      <c r="AE184" s="3">
        <f>IFERROR(AD184-VLOOKUP($C184,Assumptions!$A$29:$C$32,3,FALSE),"")</f>
        <v/>
      </c>
      <c r="AF184" s="3">
        <f>IFERROR(AE184/F184,"")</f>
        <v/>
      </c>
      <c r="AG184">
        <f>IF(AND($E184=TRUE,$C184="GKP"),AD184,"")</f>
        <v/>
      </c>
      <c r="AH184">
        <f>IF(AND($E184=TRUE,$C184="DEF"),AD184,"")</f>
        <v/>
      </c>
      <c r="AI184">
        <f>IF(AND($E184=TRUE,$C184="MID"),AD184,"")</f>
        <v/>
      </c>
      <c r="AJ184">
        <f>IF(AND($E184=TRUE,$C184="FWD"),AD184,"")</f>
        <v/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b">
        <v>1</v>
      </c>
      <c r="F185" s="2" t="n">
        <v>6.5</v>
      </c>
      <c r="G185" t="inlineStr">
        <is>
          <t>a</t>
        </is>
      </c>
      <c r="I185" s="2" t="n">
        <v>1363</v>
      </c>
      <c r="J185" t="n">
        <v>74</v>
      </c>
      <c r="K185" s="3" t="n">
        <v>1864</v>
      </c>
      <c r="L185" t="inlineStr">
        <is>
          <t>flat</t>
        </is>
      </c>
      <c r="M185" s="4" t="n">
        <v>1363</v>
      </c>
      <c r="N185" s="4" t="n">
        <v>0.5</v>
      </c>
      <c r="O185" s="3" t="n">
        <v>0.0789</v>
      </c>
      <c r="P185" t="inlineStr">
        <is>
          <t>adjusted xGOT</t>
        </is>
      </c>
      <c r="Q185" s="3" t="n">
        <v>0.956</v>
      </c>
      <c r="R185" s="3" t="n">
        <v>23.4</v>
      </c>
      <c r="S185" s="3" t="n">
        <v>0.2849</v>
      </c>
      <c r="T185" s="3" t="n">
        <v>0.062</v>
      </c>
      <c r="U185" s="3" t="n">
        <v>0.3302</v>
      </c>
      <c r="V185" s="3" t="n">
        <v>2.311</v>
      </c>
      <c r="W185" s="3">
        <f>IF(V185="",IFERROR(VLOOKUP($C185,Assumptions!$A$4:$F$7,6,FALSE),0),V185)</f>
        <v/>
      </c>
      <c r="X185" s="3">
        <f>N(O185)*IFERROR(VLOOKUP($C185,Assumptions!$A$4:$F$7,2,FALSE),0)</f>
        <v/>
      </c>
      <c r="Y185" s="3">
        <f>N(S185)*IFERROR(VLOOKUP($C185,Assumptions!$A$4:$F$7,3,FALSE),0)*Assumptions!$B$11</f>
        <v/>
      </c>
      <c r="Z185" s="3">
        <f>N(N185)*IFERROR(VLOOKUP($C185,Assumptions!$A$4:$F$7,4,FALSE),0)</f>
        <v/>
      </c>
      <c r="AA185" s="3">
        <f>N(T185)*IFERROR(VLOOKUP($C185,Assumptions!$A$4:$F$7,5,FALSE),0)</f>
        <v/>
      </c>
      <c r="AB185" s="3">
        <f>N(U185)</f>
        <v/>
      </c>
      <c r="AC185" s="3">
        <f>SUM(W185:AB185)</f>
        <v/>
      </c>
      <c r="AD185" s="3">
        <f>N(AC185)*N(M185)/90</f>
        <v/>
      </c>
      <c r="AE185" s="3">
        <f>IFERROR(AD185-VLOOKUP($C185,Assumptions!$A$29:$C$32,3,FALSE),"")</f>
        <v/>
      </c>
      <c r="AF185" s="3">
        <f>IFERROR(AE185/F185,"")</f>
        <v/>
      </c>
      <c r="AG185">
        <f>IF(AND($E185=TRUE,$C185="GKP"),AD185,"")</f>
        <v/>
      </c>
      <c r="AH185">
        <f>IF(AND($E185=TRUE,$C185="DEF"),AD185,"")</f>
        <v/>
      </c>
      <c r="AI185">
        <f>IF(AND($E185=TRUE,$C185="MID"),AD185,"")</f>
        <v/>
      </c>
      <c r="AJ185">
        <f>IF(AND($E185=TRUE,$C185="FWD"),AD185,"")</f>
        <v/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b">
        <v>1</v>
      </c>
      <c r="F186" s="2" t="n">
        <v>5.5</v>
      </c>
      <c r="G186" t="inlineStr">
        <is>
          <t>a</t>
        </is>
      </c>
      <c r="I186" s="2" t="n">
        <v>1148</v>
      </c>
      <c r="J186" t="n">
        <v>74</v>
      </c>
      <c r="K186" s="3" t="n">
        <v>481</v>
      </c>
      <c r="L186" t="inlineStr">
        <is>
          <t>flat</t>
        </is>
      </c>
      <c r="M186" s="4" t="n">
        <v>1148</v>
      </c>
      <c r="N186" s="4" t="n">
        <v>0.29</v>
      </c>
      <c r="O186" s="3" t="n">
        <v>0.383</v>
      </c>
      <c r="P186" t="inlineStr">
        <is>
          <t>adjusted xGOT</t>
        </is>
      </c>
      <c r="Q186" s="3" t="n">
        <v>1.039</v>
      </c>
      <c r="R186" s="3" t="n">
        <v>4.7</v>
      </c>
      <c r="S186" s="3" t="n">
        <v>0.0149</v>
      </c>
      <c r="T186" s="3" t="n">
        <v>0</v>
      </c>
      <c r="U186" s="3" t="n">
        <v>0.6272</v>
      </c>
      <c r="V186" s="3" t="n">
        <v>3.214</v>
      </c>
      <c r="W186" s="3">
        <f>IF(V186="",IFERROR(VLOOKUP($C186,Assumptions!$A$4:$F$7,6,FALSE),0),V186)</f>
        <v/>
      </c>
      <c r="X186" s="3">
        <f>N(O186)*IFERROR(VLOOKUP($C186,Assumptions!$A$4:$F$7,2,FALSE),0)</f>
        <v/>
      </c>
      <c r="Y186" s="3">
        <f>N(S186)*IFERROR(VLOOKUP($C186,Assumptions!$A$4:$F$7,3,FALSE),0)*Assumptions!$B$11</f>
        <v/>
      </c>
      <c r="Z186" s="3">
        <f>N(N186)*IFERROR(VLOOKUP($C186,Assumptions!$A$4:$F$7,4,FALSE),0)</f>
        <v/>
      </c>
      <c r="AA186" s="3">
        <f>N(T186)*IFERROR(VLOOKUP($C186,Assumptions!$A$4:$F$7,5,FALSE),0)</f>
        <v/>
      </c>
      <c r="AB186" s="3">
        <f>N(U186)</f>
        <v/>
      </c>
      <c r="AC186" s="3">
        <f>SUM(W186:AB186)</f>
        <v/>
      </c>
      <c r="AD186" s="3">
        <f>N(AC186)*N(M186)/90</f>
        <v/>
      </c>
      <c r="AE186" s="3">
        <f>IFERROR(AD186-VLOOKUP($C186,Assumptions!$A$29:$C$32,3,FALSE),"")</f>
        <v/>
      </c>
      <c r="AF186" s="3">
        <f>IFERROR(AE186/F186,"")</f>
        <v/>
      </c>
      <c r="AG186">
        <f>IF(AND($E186=TRUE,$C186="GKP"),AD186,"")</f>
        <v/>
      </c>
      <c r="AH186">
        <f>IF(AND($E186=TRUE,$C186="DEF"),AD186,"")</f>
        <v/>
      </c>
      <c r="AI186">
        <f>IF(AND($E186=TRUE,$C186="MID"),AD186,"")</f>
        <v/>
      </c>
      <c r="AJ186">
        <f>IF(AND($E186=TRUE,$C186="FWD"),AD186,"")</f>
        <v/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b">
        <v>1</v>
      </c>
      <c r="F187" s="2" t="n">
        <v>4.5</v>
      </c>
      <c r="G187" t="inlineStr">
        <is>
          <t>a</t>
        </is>
      </c>
      <c r="I187" s="2" t="n">
        <v>1966</v>
      </c>
      <c r="J187" t="n">
        <v>74</v>
      </c>
      <c r="K187" s="3" t="n">
        <v>3067</v>
      </c>
      <c r="L187" t="inlineStr">
        <is>
          <t>flat</t>
        </is>
      </c>
      <c r="M187" s="4" t="n">
        <v>1966</v>
      </c>
      <c r="N187" s="4" t="n">
        <v>0.29</v>
      </c>
      <c r="O187" s="3" t="n">
        <v>0.0059</v>
      </c>
      <c r="P187" t="inlineStr">
        <is>
          <t>adjusted xGOT</t>
        </is>
      </c>
      <c r="Q187" s="3" t="n">
        <v>0.984</v>
      </c>
      <c r="R187" s="3" t="n">
        <v>0.1</v>
      </c>
      <c r="S187" s="3" t="n">
        <v>0.021</v>
      </c>
      <c r="T187" s="3" t="n">
        <v>0.174</v>
      </c>
      <c r="U187" s="3" t="n">
        <v>0.2289</v>
      </c>
      <c r="V187" s="3" t="n">
        <v>2.106</v>
      </c>
      <c r="W187" s="3">
        <f>IF(V187="",IFERROR(VLOOKUP($C187,Assumptions!$A$4:$F$7,6,FALSE),0),V187)</f>
        <v/>
      </c>
      <c r="X187" s="3">
        <f>N(O187)*IFERROR(VLOOKUP($C187,Assumptions!$A$4:$F$7,2,FALSE),0)</f>
        <v/>
      </c>
      <c r="Y187" s="3">
        <f>N(S187)*IFERROR(VLOOKUP($C187,Assumptions!$A$4:$F$7,3,FALSE),0)*Assumptions!$B$11</f>
        <v/>
      </c>
      <c r="Z187" s="3">
        <f>N(N187)*IFERROR(VLOOKUP($C187,Assumptions!$A$4:$F$7,4,FALSE),0)</f>
        <v/>
      </c>
      <c r="AA187" s="3">
        <f>N(T187)*IFERROR(VLOOKUP($C187,Assumptions!$A$4:$F$7,5,FALSE),0)</f>
        <v/>
      </c>
      <c r="AB187" s="3">
        <f>N(U187)</f>
        <v/>
      </c>
      <c r="AC187" s="3">
        <f>SUM(W187:AB187)</f>
        <v/>
      </c>
      <c r="AD187" s="3">
        <f>N(AC187)*N(M187)/90</f>
        <v/>
      </c>
      <c r="AE187" s="3">
        <f>IFERROR(AD187-VLOOKUP($C187,Assumptions!$A$29:$C$32,3,FALSE),"")</f>
        <v/>
      </c>
      <c r="AF187" s="3">
        <f>IFERROR(AE187/F187,"")</f>
        <v/>
      </c>
      <c r="AG187">
        <f>IF(AND($E187=TRUE,$C187="GKP"),AD187,"")</f>
        <v/>
      </c>
      <c r="AH187">
        <f>IF(AND($E187=TRUE,$C187="DEF"),AD187,"")</f>
        <v/>
      </c>
      <c r="AI187">
        <f>IF(AND($E187=TRUE,$C187="MID"),AD187,"")</f>
        <v/>
      </c>
      <c r="AJ187">
        <f>IF(AND($E187=TRUE,$C187="FWD"),AD187,"")</f>
        <v/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b">
        <v>1</v>
      </c>
      <c r="F188" s="2" t="n">
        <v>5</v>
      </c>
      <c r="G188" t="inlineStr">
        <is>
          <t>a</t>
        </is>
      </c>
      <c r="I188" s="2" t="n">
        <v>1434</v>
      </c>
      <c r="J188" t="n">
        <v>74</v>
      </c>
      <c r="K188" s="3" t="n">
        <v>780</v>
      </c>
      <c r="L188" t="inlineStr">
        <is>
          <t>fade (losing his place)</t>
        </is>
      </c>
      <c r="M188" s="4" t="n">
        <v>1434</v>
      </c>
      <c r="N188" s="4" t="n">
        <v>0.263</v>
      </c>
      <c r="O188" s="3" t="n">
        <v>0.0522</v>
      </c>
      <c r="P188" t="inlineStr">
        <is>
          <t>adjusted xGOT</t>
        </is>
      </c>
      <c r="Q188" s="3" t="n">
        <v>1.014</v>
      </c>
      <c r="R188" s="3" t="n">
        <v>5.8</v>
      </c>
      <c r="S188" s="3" t="n">
        <v>0.1908</v>
      </c>
      <c r="T188" s="3" t="n">
        <v>0.467</v>
      </c>
      <c r="U188" s="3" t="n">
        <v>0.3766</v>
      </c>
      <c r="V188" s="3" t="n">
        <v>2.51</v>
      </c>
      <c r="W188" s="3">
        <f>IF(V188="",IFERROR(VLOOKUP($C188,Assumptions!$A$4:$F$7,6,FALSE),0),V188)</f>
        <v/>
      </c>
      <c r="X188" s="3">
        <f>N(O188)*IFERROR(VLOOKUP($C188,Assumptions!$A$4:$F$7,2,FALSE),0)</f>
        <v/>
      </c>
      <c r="Y188" s="3">
        <f>N(S188)*IFERROR(VLOOKUP($C188,Assumptions!$A$4:$F$7,3,FALSE),0)*Assumptions!$B$11</f>
        <v/>
      </c>
      <c r="Z188" s="3">
        <f>N(N188)*IFERROR(VLOOKUP($C188,Assumptions!$A$4:$F$7,4,FALSE),0)</f>
        <v/>
      </c>
      <c r="AA188" s="3">
        <f>N(T188)*IFERROR(VLOOKUP($C188,Assumptions!$A$4:$F$7,5,FALSE),0)</f>
        <v/>
      </c>
      <c r="AB188" s="3">
        <f>N(U188)</f>
        <v/>
      </c>
      <c r="AC188" s="3">
        <f>SUM(W188:AB188)</f>
        <v/>
      </c>
      <c r="AD188" s="3">
        <f>N(AC188)*N(M188)/90</f>
        <v/>
      </c>
      <c r="AE188" s="3">
        <f>IFERROR(AD188-VLOOKUP($C188,Assumptions!$A$29:$C$32,3,FALSE),"")</f>
        <v/>
      </c>
      <c r="AF188" s="3">
        <f>IFERROR(AE188/F188,"")</f>
        <v/>
      </c>
      <c r="AG188">
        <f>IF(AND($E188=TRUE,$C188="GKP"),AD188,"")</f>
        <v/>
      </c>
      <c r="AH188">
        <f>IF(AND($E188=TRUE,$C188="DEF"),AD188,"")</f>
        <v/>
      </c>
      <c r="AI188">
        <f>IF(AND($E188=TRUE,$C188="MID"),AD188,"")</f>
        <v/>
      </c>
      <c r="AJ188">
        <f>IF(AND($E188=TRUE,$C188="FWD"),AD188,"")</f>
        <v/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b">
        <v>1</v>
      </c>
      <c r="F189" s="2" t="n">
        <v>5.5</v>
      </c>
      <c r="G189" t="inlineStr">
        <is>
          <t>a</t>
        </is>
      </c>
      <c r="I189" s="2" t="n">
        <v>1950</v>
      </c>
      <c r="J189" t="n">
        <v>73</v>
      </c>
      <c r="K189" s="3" t="n">
        <v>1448</v>
      </c>
      <c r="L189" t="inlineStr">
        <is>
          <t>flat</t>
        </is>
      </c>
      <c r="M189" s="4" t="n">
        <v>1950</v>
      </c>
      <c r="N189" s="4" t="n">
        <v>0.21</v>
      </c>
      <c r="O189" s="3" t="n">
        <v>0.1074</v>
      </c>
      <c r="P189" t="inlineStr">
        <is>
          <t>adjusted xGOT</t>
        </is>
      </c>
      <c r="Q189" s="3" t="n">
        <v>0.986</v>
      </c>
      <c r="R189" s="3" t="n">
        <v>16</v>
      </c>
      <c r="S189" s="3" t="n">
        <v>0.0741</v>
      </c>
      <c r="T189" s="3" t="n">
        <v>0.348</v>
      </c>
      <c r="U189" s="3" t="n">
        <v>0.09229999999999999</v>
      </c>
      <c r="V189" s="3" t="n">
        <v>2.169</v>
      </c>
      <c r="W189" s="3">
        <f>IF(V189="",IFERROR(VLOOKUP($C189,Assumptions!$A$4:$F$7,6,FALSE),0),V189)</f>
        <v/>
      </c>
      <c r="X189" s="3">
        <f>N(O189)*IFERROR(VLOOKUP($C189,Assumptions!$A$4:$F$7,2,FALSE),0)</f>
        <v/>
      </c>
      <c r="Y189" s="3">
        <f>N(S189)*IFERROR(VLOOKUP($C189,Assumptions!$A$4:$F$7,3,FALSE),0)*Assumptions!$B$11</f>
        <v/>
      </c>
      <c r="Z189" s="3">
        <f>N(N189)*IFERROR(VLOOKUP($C189,Assumptions!$A$4:$F$7,4,FALSE),0)</f>
        <v/>
      </c>
      <c r="AA189" s="3">
        <f>N(T189)*IFERROR(VLOOKUP($C189,Assumptions!$A$4:$F$7,5,FALSE),0)</f>
        <v/>
      </c>
      <c r="AB189" s="3">
        <f>N(U189)</f>
        <v/>
      </c>
      <c r="AC189" s="3">
        <f>SUM(W189:AB189)</f>
        <v/>
      </c>
      <c r="AD189" s="3">
        <f>N(AC189)*N(M189)/90</f>
        <v/>
      </c>
      <c r="AE189" s="3">
        <f>IFERROR(AD189-VLOOKUP($C189,Assumptions!$A$29:$C$32,3,FALSE),"")</f>
        <v/>
      </c>
      <c r="AF189" s="3">
        <f>IFERROR(AE189/F189,"")</f>
        <v/>
      </c>
      <c r="AG189">
        <f>IF(AND($E189=TRUE,$C189="GKP"),AD189,"")</f>
        <v/>
      </c>
      <c r="AH189">
        <f>IF(AND($E189=TRUE,$C189="DEF"),AD189,"")</f>
        <v/>
      </c>
      <c r="AI189">
        <f>IF(AND($E189=TRUE,$C189="MID"),AD189,"")</f>
        <v/>
      </c>
      <c r="AJ189">
        <f>IF(AND($E189=TRUE,$C189="FWD"),AD189,"")</f>
        <v/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b">
        <v>1</v>
      </c>
      <c r="F190" s="2" t="n">
        <v>5.5</v>
      </c>
      <c r="G190" t="inlineStr">
        <is>
          <t>a</t>
        </is>
      </c>
      <c r="I190" s="2" t="n">
        <v>1653</v>
      </c>
      <c r="J190" t="n">
        <v>73</v>
      </c>
      <c r="K190" s="3" t="n">
        <v>691</v>
      </c>
      <c r="L190" t="inlineStr">
        <is>
          <t>flat</t>
        </is>
      </c>
      <c r="M190" s="4" t="n">
        <v>1653</v>
      </c>
      <c r="N190" s="4" t="n">
        <v>0.21</v>
      </c>
      <c r="O190" s="3" t="n">
        <v>0.0256</v>
      </c>
      <c r="P190" t="inlineStr">
        <is>
          <t>adjusted xGOT</t>
        </is>
      </c>
      <c r="Q190" s="3" t="n">
        <v>0.981</v>
      </c>
      <c r="R190" s="3" t="n">
        <v>2.2</v>
      </c>
      <c r="S190" s="3" t="n">
        <v>0.067</v>
      </c>
      <c r="T190" s="3" t="n">
        <v>0.375</v>
      </c>
      <c r="U190" s="3" t="n">
        <v>0.1089</v>
      </c>
      <c r="V190" s="3" t="n">
        <v>2.396</v>
      </c>
      <c r="W190" s="3">
        <f>IF(V190="",IFERROR(VLOOKUP($C190,Assumptions!$A$4:$F$7,6,FALSE),0),V190)</f>
        <v/>
      </c>
      <c r="X190" s="3">
        <f>N(O190)*IFERROR(VLOOKUP($C190,Assumptions!$A$4:$F$7,2,FALSE),0)</f>
        <v/>
      </c>
      <c r="Y190" s="3">
        <f>N(S190)*IFERROR(VLOOKUP($C190,Assumptions!$A$4:$F$7,3,FALSE),0)*Assumptions!$B$11</f>
        <v/>
      </c>
      <c r="Z190" s="3">
        <f>N(N190)*IFERROR(VLOOKUP($C190,Assumptions!$A$4:$F$7,4,FALSE),0)</f>
        <v/>
      </c>
      <c r="AA190" s="3">
        <f>N(T190)*IFERROR(VLOOKUP($C190,Assumptions!$A$4:$F$7,5,FALSE),0)</f>
        <v/>
      </c>
      <c r="AB190" s="3">
        <f>N(U190)</f>
        <v/>
      </c>
      <c r="AC190" s="3">
        <f>SUM(W190:AB190)</f>
        <v/>
      </c>
      <c r="AD190" s="3">
        <f>N(AC190)*N(M190)/90</f>
        <v/>
      </c>
      <c r="AE190" s="3">
        <f>IFERROR(AD190-VLOOKUP($C190,Assumptions!$A$29:$C$32,3,FALSE),"")</f>
        <v/>
      </c>
      <c r="AF190" s="3">
        <f>IFERROR(AE190/F190,"")</f>
        <v/>
      </c>
      <c r="AG190">
        <f>IF(AND($E190=TRUE,$C190="GKP"),AD190,"")</f>
        <v/>
      </c>
      <c r="AH190">
        <f>IF(AND($E190=TRUE,$C190="DEF"),AD190,"")</f>
        <v/>
      </c>
      <c r="AI190">
        <f>IF(AND($E190=TRUE,$C190="MID"),AD190,"")</f>
        <v/>
      </c>
      <c r="AJ190">
        <f>IF(AND($E190=TRUE,$C190="FWD"),AD190,"")</f>
        <v/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b">
        <v>1</v>
      </c>
      <c r="F191" s="2" t="n">
        <v>5.5</v>
      </c>
      <c r="G191" t="inlineStr">
        <is>
          <t>a</t>
        </is>
      </c>
      <c r="I191" s="2" t="n">
        <v>1065</v>
      </c>
      <c r="J191" t="n">
        <v>73</v>
      </c>
      <c r="K191" s="3" t="n">
        <v>268</v>
      </c>
      <c r="L191" t="inlineStr">
        <is>
          <t>flat</t>
        </is>
      </c>
      <c r="M191" s="4" t="n">
        <v>1065</v>
      </c>
      <c r="N191" s="4" t="n">
        <v>0.21</v>
      </c>
      <c r="O191" s="3" t="n">
        <v>0.6428</v>
      </c>
      <c r="P191" t="inlineStr">
        <is>
          <t>adjusted xGOT</t>
        </is>
      </c>
      <c r="Q191" s="3" t="n">
        <v>1.049</v>
      </c>
      <c r="R191" s="3" t="n">
        <v>7.2</v>
      </c>
      <c r="S191" s="3" t="n">
        <v>0.1379</v>
      </c>
      <c r="T191" s="3" t="n">
        <v>0</v>
      </c>
      <c r="U191" s="3" t="n">
        <v>0.6761</v>
      </c>
      <c r="V191" s="3" t="n">
        <v>3.38</v>
      </c>
      <c r="W191" s="3">
        <f>IF(V191="",IFERROR(VLOOKUP($C191,Assumptions!$A$4:$F$7,6,FALSE),0),V191)</f>
        <v/>
      </c>
      <c r="X191" s="3">
        <f>N(O191)*IFERROR(VLOOKUP($C191,Assumptions!$A$4:$F$7,2,FALSE),0)</f>
        <v/>
      </c>
      <c r="Y191" s="3">
        <f>N(S191)*IFERROR(VLOOKUP($C191,Assumptions!$A$4:$F$7,3,FALSE),0)*Assumptions!$B$11</f>
        <v/>
      </c>
      <c r="Z191" s="3">
        <f>N(N191)*IFERROR(VLOOKUP($C191,Assumptions!$A$4:$F$7,4,FALSE),0)</f>
        <v/>
      </c>
      <c r="AA191" s="3">
        <f>N(T191)*IFERROR(VLOOKUP($C191,Assumptions!$A$4:$F$7,5,FALSE),0)</f>
        <v/>
      </c>
      <c r="AB191" s="3">
        <f>N(U191)</f>
        <v/>
      </c>
      <c r="AC191" s="3">
        <f>SUM(W191:AB191)</f>
        <v/>
      </c>
      <c r="AD191" s="3">
        <f>N(AC191)*N(M191)/90</f>
        <v/>
      </c>
      <c r="AE191" s="3">
        <f>IFERROR(AD191-VLOOKUP($C191,Assumptions!$A$29:$C$32,3,FALSE),"")</f>
        <v/>
      </c>
      <c r="AF191" s="3">
        <f>IFERROR(AE191/F191,"")</f>
        <v/>
      </c>
      <c r="AG191">
        <f>IF(AND($E191=TRUE,$C191="GKP"),AD191,"")</f>
        <v/>
      </c>
      <c r="AH191">
        <f>IF(AND($E191=TRUE,$C191="DEF"),AD191,"")</f>
        <v/>
      </c>
      <c r="AI191">
        <f>IF(AND($E191=TRUE,$C191="MID"),AD191,"")</f>
        <v/>
      </c>
      <c r="AJ191">
        <f>IF(AND($E191=TRUE,$C191="FWD"),AD191,"")</f>
        <v/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b">
        <v>1</v>
      </c>
      <c r="F192" s="2" t="n">
        <v>6.5</v>
      </c>
      <c r="G192" t="inlineStr">
        <is>
          <t>a</t>
        </is>
      </c>
      <c r="I192" s="2" t="n">
        <v>1205</v>
      </c>
      <c r="J192" t="n">
        <v>72</v>
      </c>
      <c r="K192" s="3" t="n">
        <v>600</v>
      </c>
      <c r="L192" t="inlineStr">
        <is>
          <t>fade (losing his place)</t>
        </is>
      </c>
      <c r="M192" s="4" t="n">
        <v>1205</v>
      </c>
      <c r="N192" s="4" t="n">
        <v>0.5</v>
      </c>
      <c r="O192" s="3" t="n">
        <v>0.0982</v>
      </c>
      <c r="P192" t="inlineStr">
        <is>
          <t>adjusted xGOT</t>
        </is>
      </c>
      <c r="Q192" s="3" t="n">
        <v>1.069</v>
      </c>
      <c r="R192" s="3" t="n">
        <v>14.3</v>
      </c>
      <c r="S192" s="3" t="n">
        <v>0.2566</v>
      </c>
      <c r="T192" s="3" t="n">
        <v>0</v>
      </c>
      <c r="U192" s="3" t="n">
        <v>0.6722</v>
      </c>
      <c r="V192" s="3" t="n">
        <v>2.763</v>
      </c>
      <c r="W192" s="3">
        <f>IF(V192="",IFERROR(VLOOKUP($C192,Assumptions!$A$4:$F$7,6,FALSE),0),V192)</f>
        <v/>
      </c>
      <c r="X192" s="3">
        <f>N(O192)*IFERROR(VLOOKUP($C192,Assumptions!$A$4:$F$7,2,FALSE),0)</f>
        <v/>
      </c>
      <c r="Y192" s="3">
        <f>N(S192)*IFERROR(VLOOKUP($C192,Assumptions!$A$4:$F$7,3,FALSE),0)*Assumptions!$B$11</f>
        <v/>
      </c>
      <c r="Z192" s="3">
        <f>N(N192)*IFERROR(VLOOKUP($C192,Assumptions!$A$4:$F$7,4,FALSE),0)</f>
        <v/>
      </c>
      <c r="AA192" s="3">
        <f>N(T192)*IFERROR(VLOOKUP($C192,Assumptions!$A$4:$F$7,5,FALSE),0)</f>
        <v/>
      </c>
      <c r="AB192" s="3">
        <f>N(U192)</f>
        <v/>
      </c>
      <c r="AC192" s="3">
        <f>SUM(W192:AB192)</f>
        <v/>
      </c>
      <c r="AD192" s="3">
        <f>N(AC192)*N(M192)/90</f>
        <v/>
      </c>
      <c r="AE192" s="3">
        <f>IFERROR(AD192-VLOOKUP($C192,Assumptions!$A$29:$C$32,3,FALSE),"")</f>
        <v/>
      </c>
      <c r="AF192" s="3">
        <f>IFERROR(AE192/F192,"")</f>
        <v/>
      </c>
      <c r="AG192">
        <f>IF(AND($E192=TRUE,$C192="GKP"),AD192,"")</f>
        <v/>
      </c>
      <c r="AH192">
        <f>IF(AND($E192=TRUE,$C192="DEF"),AD192,"")</f>
        <v/>
      </c>
      <c r="AI192">
        <f>IF(AND($E192=TRUE,$C192="MID"),AD192,"")</f>
        <v/>
      </c>
      <c r="AJ192">
        <f>IF(AND($E192=TRUE,$C192="FWD"),AD192,"")</f>
        <v/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b">
        <v>1</v>
      </c>
      <c r="F193" s="2" t="n">
        <v>5</v>
      </c>
      <c r="G193" t="inlineStr">
        <is>
          <t>a</t>
        </is>
      </c>
      <c r="I193" s="2" t="n">
        <v>1331</v>
      </c>
      <c r="J193" t="n">
        <v>72</v>
      </c>
      <c r="K193" s="3" t="n">
        <v>3249</v>
      </c>
      <c r="L193" t="inlineStr">
        <is>
          <t>flat</t>
        </is>
      </c>
      <c r="M193" s="4" t="n">
        <v>1331</v>
      </c>
      <c r="N193" s="4" t="n">
        <v>0.316</v>
      </c>
      <c r="O193" s="3" t="n">
        <v>0.0876</v>
      </c>
      <c r="P193" t="inlineStr">
        <is>
          <t>adjusted xGOT</t>
        </is>
      </c>
      <c r="Q193" s="3" t="n">
        <v>0.876</v>
      </c>
      <c r="R193" s="3" t="n">
        <v>1.5</v>
      </c>
      <c r="S193" s="3" t="n">
        <v>0.0139</v>
      </c>
      <c r="T193" s="3" t="n">
        <v>0.714</v>
      </c>
      <c r="U193" s="3" t="n">
        <v>0.4733</v>
      </c>
      <c r="V193" s="3" t="n">
        <v>2.299</v>
      </c>
      <c r="W193" s="3">
        <f>IF(V193="",IFERROR(VLOOKUP($C193,Assumptions!$A$4:$F$7,6,FALSE),0),V193)</f>
        <v/>
      </c>
      <c r="X193" s="3">
        <f>N(O193)*IFERROR(VLOOKUP($C193,Assumptions!$A$4:$F$7,2,FALSE),0)</f>
        <v/>
      </c>
      <c r="Y193" s="3">
        <f>N(S193)*IFERROR(VLOOKUP($C193,Assumptions!$A$4:$F$7,3,FALSE),0)*Assumptions!$B$11</f>
        <v/>
      </c>
      <c r="Z193" s="3">
        <f>N(N193)*IFERROR(VLOOKUP($C193,Assumptions!$A$4:$F$7,4,FALSE),0)</f>
        <v/>
      </c>
      <c r="AA193" s="3">
        <f>N(T193)*IFERROR(VLOOKUP($C193,Assumptions!$A$4:$F$7,5,FALSE),0)</f>
        <v/>
      </c>
      <c r="AB193" s="3">
        <f>N(U193)</f>
        <v/>
      </c>
      <c r="AC193" s="3">
        <f>SUM(W193:AB193)</f>
        <v/>
      </c>
      <c r="AD193" s="3">
        <f>N(AC193)*N(M193)/90</f>
        <v/>
      </c>
      <c r="AE193" s="3">
        <f>IFERROR(AD193-VLOOKUP($C193,Assumptions!$A$29:$C$32,3,FALSE),"")</f>
        <v/>
      </c>
      <c r="AF193" s="3">
        <f>IFERROR(AE193/F193,"")</f>
        <v/>
      </c>
      <c r="AG193">
        <f>IF(AND($E193=TRUE,$C193="GKP"),AD193,"")</f>
        <v/>
      </c>
      <c r="AH193">
        <f>IF(AND($E193=TRUE,$C193="DEF"),AD193,"")</f>
        <v/>
      </c>
      <c r="AI193">
        <f>IF(AND($E193=TRUE,$C193="MID"),AD193,"")</f>
        <v/>
      </c>
      <c r="AJ193">
        <f>IF(AND($E193=TRUE,$C193="FWD"),AD193,"")</f>
        <v/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b">
        <v>1</v>
      </c>
      <c r="F194" s="2" t="n">
        <v>5.5</v>
      </c>
      <c r="G194" t="inlineStr">
        <is>
          <t>i</t>
        </is>
      </c>
      <c r="H194" t="inlineStr">
        <is>
          <t>Leg injury - Expected back 30 Aug</t>
        </is>
      </c>
      <c r="I194" s="2" t="n">
        <v>1493</v>
      </c>
      <c r="J194" t="n">
        <v>72</v>
      </c>
      <c r="K194" s="3" t="n">
        <v>1790</v>
      </c>
      <c r="L194" t="inlineStr">
        <is>
          <t>flat</t>
        </is>
      </c>
      <c r="M194" s="4" t="n">
        <v>1493</v>
      </c>
      <c r="N194" s="4" t="n">
        <v>0.21</v>
      </c>
      <c r="O194" s="3" t="n">
        <v>0.0788</v>
      </c>
      <c r="P194" t="inlineStr">
        <is>
          <t>adjusted xGOT</t>
        </is>
      </c>
      <c r="Q194" s="3" t="n">
        <v>0.962</v>
      </c>
      <c r="R194" s="3" t="n">
        <v>3.2</v>
      </c>
      <c r="S194" s="3" t="n">
        <v>0.1333</v>
      </c>
      <c r="T194" s="3" t="n">
        <v>0.333</v>
      </c>
      <c r="U194" s="3" t="n">
        <v>0.3014</v>
      </c>
      <c r="V194" s="3" t="n">
        <v>2.291</v>
      </c>
      <c r="W194" s="3">
        <f>IF(V194="",IFERROR(VLOOKUP($C194,Assumptions!$A$4:$F$7,6,FALSE),0),V194)</f>
        <v/>
      </c>
      <c r="X194" s="3">
        <f>N(O194)*IFERROR(VLOOKUP($C194,Assumptions!$A$4:$F$7,2,FALSE),0)</f>
        <v/>
      </c>
      <c r="Y194" s="3">
        <f>N(S194)*IFERROR(VLOOKUP($C194,Assumptions!$A$4:$F$7,3,FALSE),0)*Assumptions!$B$11</f>
        <v/>
      </c>
      <c r="Z194" s="3">
        <f>N(N194)*IFERROR(VLOOKUP($C194,Assumptions!$A$4:$F$7,4,FALSE),0)</f>
        <v/>
      </c>
      <c r="AA194" s="3">
        <f>N(T194)*IFERROR(VLOOKUP($C194,Assumptions!$A$4:$F$7,5,FALSE),0)</f>
        <v/>
      </c>
      <c r="AB194" s="3">
        <f>N(U194)</f>
        <v/>
      </c>
      <c r="AC194" s="3">
        <f>SUM(W194:AB194)</f>
        <v/>
      </c>
      <c r="AD194" s="3">
        <f>N(AC194)*N(M194)/90</f>
        <v/>
      </c>
      <c r="AE194" s="3">
        <f>IFERROR(AD194-VLOOKUP($C194,Assumptions!$A$29:$C$32,3,FALSE),"")</f>
        <v/>
      </c>
      <c r="AF194" s="3">
        <f>IFERROR(AE194/F194,"")</f>
        <v/>
      </c>
      <c r="AG194">
        <f>IF(AND($E194=TRUE,$C194="GKP"),AD194,"")</f>
        <v/>
      </c>
      <c r="AH194">
        <f>IF(AND($E194=TRUE,$C194="DEF"),AD194,"")</f>
        <v/>
      </c>
      <c r="AI194">
        <f>IF(AND($E194=TRUE,$C194="MID"),AD194,"")</f>
        <v/>
      </c>
      <c r="AJ194">
        <f>IF(AND($E194=TRUE,$C194="FWD"),AD194,"")</f>
        <v/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b">
        <v>1</v>
      </c>
      <c r="F195" s="2" t="n">
        <v>4.5</v>
      </c>
      <c r="G195" t="inlineStr">
        <is>
          <t>d</t>
        </is>
      </c>
      <c r="H195" t="inlineStr">
        <is>
          <t>Unspecified injury - 75% chance of playing</t>
        </is>
      </c>
      <c r="I195" s="2" t="n">
        <v>1980</v>
      </c>
      <c r="J195" t="n">
        <v>71</v>
      </c>
      <c r="K195" s="3" t="n">
        <v>35</v>
      </c>
      <c r="L195" t="inlineStr">
        <is>
          <t>flat</t>
        </is>
      </c>
      <c r="M195" s="4" t="n">
        <v>1980</v>
      </c>
      <c r="N195" s="4" t="n">
        <v>0.21</v>
      </c>
      <c r="O195" s="3" t="n">
        <v>0</v>
      </c>
      <c r="P195" t="inlineStr">
        <is>
          <t>blended xG</t>
        </is>
      </c>
      <c r="Q195" s="3" t="n">
        <v>1</v>
      </c>
      <c r="R195" s="3" t="n">
        <v>0</v>
      </c>
      <c r="S195" s="3" t="n">
        <v>0.0011</v>
      </c>
      <c r="T195" s="3" t="n">
        <v>0</v>
      </c>
      <c r="U195" s="3" t="n">
        <v>0.2273</v>
      </c>
      <c r="V195" s="3" t="n">
        <v>2</v>
      </c>
      <c r="W195" s="3">
        <f>IF(V195="",IFERROR(VLOOKUP($C195,Assumptions!$A$4:$F$7,6,FALSE),0),V195)</f>
        <v/>
      </c>
      <c r="X195" s="3">
        <f>N(O195)*IFERROR(VLOOKUP($C195,Assumptions!$A$4:$F$7,2,FALSE),0)</f>
        <v/>
      </c>
      <c r="Y195" s="3">
        <f>N(S195)*IFERROR(VLOOKUP($C195,Assumptions!$A$4:$F$7,3,FALSE),0)*Assumptions!$B$11</f>
        <v/>
      </c>
      <c r="Z195" s="3">
        <f>N(N195)*IFERROR(VLOOKUP($C195,Assumptions!$A$4:$F$7,4,FALSE),0)</f>
        <v/>
      </c>
      <c r="AA195" s="3">
        <f>N(T195)*IFERROR(VLOOKUP($C195,Assumptions!$A$4:$F$7,5,FALSE),0)</f>
        <v/>
      </c>
      <c r="AB195" s="3">
        <f>N(U195)</f>
        <v/>
      </c>
      <c r="AC195" s="3">
        <f>SUM(W195:AB195)</f>
        <v/>
      </c>
      <c r="AD195" s="3">
        <f>N(AC195)*N(M195)/90</f>
        <v/>
      </c>
      <c r="AE195" s="3">
        <f>IFERROR(AD195-VLOOKUP($C195,Assumptions!$A$29:$C$32,3,FALSE),"")</f>
        <v/>
      </c>
      <c r="AF195" s="3">
        <f>IFERROR(AE195/F195,"")</f>
        <v/>
      </c>
      <c r="AG195">
        <f>IF(AND($E195=TRUE,$C195="GKP"),AD195,"")</f>
        <v/>
      </c>
      <c r="AH195">
        <f>IF(AND($E195=TRUE,$C195="DEF"),AD195,"")</f>
        <v/>
      </c>
      <c r="AI195">
        <f>IF(AND($E195=TRUE,$C195="MID"),AD195,"")</f>
        <v/>
      </c>
      <c r="AJ195">
        <f>IF(AND($E195=TRUE,$C195="FWD"),AD195,"")</f>
        <v/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b">
        <v>1</v>
      </c>
      <c r="F196" s="2" t="n">
        <v>5</v>
      </c>
      <c r="G196" t="inlineStr">
        <is>
          <t>a</t>
        </is>
      </c>
      <c r="I196" s="2" t="n">
        <v>1388</v>
      </c>
      <c r="J196" t="n">
        <v>71</v>
      </c>
      <c r="K196" s="3" t="n">
        <v>174</v>
      </c>
      <c r="L196" t="inlineStr">
        <is>
          <t>flat</t>
        </is>
      </c>
      <c r="M196" s="4" t="n">
        <v>1388</v>
      </c>
      <c r="N196" s="4" t="n">
        <v>0.237</v>
      </c>
      <c r="O196" s="3" t="n">
        <v>0.1013</v>
      </c>
      <c r="P196" t="inlineStr">
        <is>
          <t>adjusted xGOT</t>
        </is>
      </c>
      <c r="Q196" s="3" t="n">
        <v>0.959</v>
      </c>
      <c r="R196" s="3" t="n">
        <v>8.6</v>
      </c>
      <c r="S196" s="3" t="n">
        <v>0.1149</v>
      </c>
      <c r="T196" s="3" t="n">
        <v>0.308</v>
      </c>
      <c r="U196" s="3" t="n">
        <v>0.1297</v>
      </c>
      <c r="V196" s="3" t="n">
        <v>2.529</v>
      </c>
      <c r="W196" s="3">
        <f>IF(V196="",IFERROR(VLOOKUP($C196,Assumptions!$A$4:$F$7,6,FALSE),0),V196)</f>
        <v/>
      </c>
      <c r="X196" s="3">
        <f>N(O196)*IFERROR(VLOOKUP($C196,Assumptions!$A$4:$F$7,2,FALSE),0)</f>
        <v/>
      </c>
      <c r="Y196" s="3">
        <f>N(S196)*IFERROR(VLOOKUP($C196,Assumptions!$A$4:$F$7,3,FALSE),0)*Assumptions!$B$11</f>
        <v/>
      </c>
      <c r="Z196" s="3">
        <f>N(N196)*IFERROR(VLOOKUP($C196,Assumptions!$A$4:$F$7,4,FALSE),0)</f>
        <v/>
      </c>
      <c r="AA196" s="3">
        <f>N(T196)*IFERROR(VLOOKUP($C196,Assumptions!$A$4:$F$7,5,FALSE),0)</f>
        <v/>
      </c>
      <c r="AB196" s="3">
        <f>N(U196)</f>
        <v/>
      </c>
      <c r="AC196" s="3">
        <f>SUM(W196:AB196)</f>
        <v/>
      </c>
      <c r="AD196" s="3">
        <f>N(AC196)*N(M196)/90</f>
        <v/>
      </c>
      <c r="AE196" s="3">
        <f>IFERROR(AD196-VLOOKUP($C196,Assumptions!$A$29:$C$32,3,FALSE),"")</f>
        <v/>
      </c>
      <c r="AF196" s="3">
        <f>IFERROR(AE196/F196,"")</f>
        <v/>
      </c>
      <c r="AG196">
        <f>IF(AND($E196=TRUE,$C196="GKP"),AD196,"")</f>
        <v/>
      </c>
      <c r="AH196">
        <f>IF(AND($E196=TRUE,$C196="DEF"),AD196,"")</f>
        <v/>
      </c>
      <c r="AI196">
        <f>IF(AND($E196=TRUE,$C196="MID"),AD196,"")</f>
        <v/>
      </c>
      <c r="AJ196">
        <f>IF(AND($E196=TRUE,$C196="FWD"),AD196,"")</f>
        <v/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b">
        <v>1</v>
      </c>
      <c r="F197" s="2" t="n">
        <v>5</v>
      </c>
      <c r="G197" t="inlineStr">
        <is>
          <t>a</t>
        </is>
      </c>
      <c r="I197" s="2" t="n">
        <v>1722</v>
      </c>
      <c r="J197" t="n">
        <v>69</v>
      </c>
      <c r="K197" s="3" t="n">
        <v>528</v>
      </c>
      <c r="L197" t="inlineStr">
        <is>
          <t>flat</t>
        </is>
      </c>
      <c r="M197" s="4" t="n">
        <v>1722</v>
      </c>
      <c r="N197" s="4" t="n">
        <v>0.316</v>
      </c>
      <c r="O197" s="3" t="n">
        <v>0.083</v>
      </c>
      <c r="P197" t="inlineStr">
        <is>
          <t>adjusted xGOT</t>
        </is>
      </c>
      <c r="Q197" s="3" t="n">
        <v>0.863</v>
      </c>
      <c r="R197" s="3" t="n">
        <v>8.1</v>
      </c>
      <c r="S197" s="3" t="n">
        <v>0.0853</v>
      </c>
      <c r="T197" s="3" t="n">
        <v>0.222</v>
      </c>
      <c r="U197" s="3" t="n">
        <v>0.1568</v>
      </c>
      <c r="V197" s="3" t="n">
        <v>2.456</v>
      </c>
      <c r="W197" s="3">
        <f>IF(V197="",IFERROR(VLOOKUP($C197,Assumptions!$A$4:$F$7,6,FALSE),0),V197)</f>
        <v/>
      </c>
      <c r="X197" s="3">
        <f>N(O197)*IFERROR(VLOOKUP($C197,Assumptions!$A$4:$F$7,2,FALSE),0)</f>
        <v/>
      </c>
      <c r="Y197" s="3">
        <f>N(S197)*IFERROR(VLOOKUP($C197,Assumptions!$A$4:$F$7,3,FALSE),0)*Assumptions!$B$11</f>
        <v/>
      </c>
      <c r="Z197" s="3">
        <f>N(N197)*IFERROR(VLOOKUP($C197,Assumptions!$A$4:$F$7,4,FALSE),0)</f>
        <v/>
      </c>
      <c r="AA197" s="3">
        <f>N(T197)*IFERROR(VLOOKUP($C197,Assumptions!$A$4:$F$7,5,FALSE),0)</f>
        <v/>
      </c>
      <c r="AB197" s="3">
        <f>N(U197)</f>
        <v/>
      </c>
      <c r="AC197" s="3">
        <f>SUM(W197:AB197)</f>
        <v/>
      </c>
      <c r="AD197" s="3">
        <f>N(AC197)*N(M197)/90</f>
        <v/>
      </c>
      <c r="AE197" s="3">
        <f>IFERROR(AD197-VLOOKUP($C197,Assumptions!$A$29:$C$32,3,FALSE),"")</f>
        <v/>
      </c>
      <c r="AF197" s="3">
        <f>IFERROR(AE197/F197,"")</f>
        <v/>
      </c>
      <c r="AG197">
        <f>IF(AND($E197=TRUE,$C197="GKP"),AD197,"")</f>
        <v/>
      </c>
      <c r="AH197">
        <f>IF(AND($E197=TRUE,$C197="DEF"),AD197,"")</f>
        <v/>
      </c>
      <c r="AI197">
        <f>IF(AND($E197=TRUE,$C197="MID"),AD197,"")</f>
        <v/>
      </c>
      <c r="AJ197">
        <f>IF(AND($E197=TRUE,$C197="FWD"),AD197,"")</f>
        <v/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b">
        <v>1</v>
      </c>
      <c r="F198" s="2" t="n">
        <v>6.5</v>
      </c>
      <c r="G198" t="inlineStr">
        <is>
          <t>i</t>
        </is>
      </c>
      <c r="H198" t="inlineStr">
        <is>
          <t>Back injury - Unknown return date</t>
        </is>
      </c>
      <c r="I198" s="2" t="n">
        <v>1510</v>
      </c>
      <c r="J198" t="n">
        <v>69</v>
      </c>
      <c r="K198" s="3" t="n">
        <v>2804</v>
      </c>
      <c r="L198" t="inlineStr">
        <is>
          <t>ramp-up (injury / late WC return)</t>
        </is>
      </c>
      <c r="M198" s="4" t="n">
        <v>1510</v>
      </c>
      <c r="N198" s="4" t="n">
        <v>0.421</v>
      </c>
      <c r="O198" s="3" t="n">
        <v>0.0659</v>
      </c>
      <c r="P198" t="inlineStr">
        <is>
          <t>adjusted xGOT</t>
        </is>
      </c>
      <c r="Q198" s="3" t="n">
        <v>0.962</v>
      </c>
      <c r="R198" s="3" t="n">
        <v>9.699999999999999</v>
      </c>
      <c r="S198" s="3" t="n">
        <v>0.1408</v>
      </c>
      <c r="T198" s="3" t="n">
        <v>0.471</v>
      </c>
      <c r="U198" s="3" t="n">
        <v>0.3576</v>
      </c>
      <c r="V198" s="3" t="n">
        <v>2.205</v>
      </c>
      <c r="W198" s="3">
        <f>IF(V198="",IFERROR(VLOOKUP($C198,Assumptions!$A$4:$F$7,6,FALSE),0),V198)</f>
        <v/>
      </c>
      <c r="X198" s="3">
        <f>N(O198)*IFERROR(VLOOKUP($C198,Assumptions!$A$4:$F$7,2,FALSE),0)</f>
        <v/>
      </c>
      <c r="Y198" s="3">
        <f>N(S198)*IFERROR(VLOOKUP($C198,Assumptions!$A$4:$F$7,3,FALSE),0)*Assumptions!$B$11</f>
        <v/>
      </c>
      <c r="Z198" s="3">
        <f>N(N198)*IFERROR(VLOOKUP($C198,Assumptions!$A$4:$F$7,4,FALSE),0)</f>
        <v/>
      </c>
      <c r="AA198" s="3">
        <f>N(T198)*IFERROR(VLOOKUP($C198,Assumptions!$A$4:$F$7,5,FALSE),0)</f>
        <v/>
      </c>
      <c r="AB198" s="3">
        <f>N(U198)</f>
        <v/>
      </c>
      <c r="AC198" s="3">
        <f>SUM(W198:AB198)</f>
        <v/>
      </c>
      <c r="AD198" s="3">
        <f>N(AC198)*N(M198)/90</f>
        <v/>
      </c>
      <c r="AE198" s="3">
        <f>IFERROR(AD198-VLOOKUP($C198,Assumptions!$A$29:$C$32,3,FALSE),"")</f>
        <v/>
      </c>
      <c r="AF198" s="3">
        <f>IFERROR(AE198/F198,"")</f>
        <v/>
      </c>
      <c r="AG198">
        <f>IF(AND($E198=TRUE,$C198="GKP"),AD198,"")</f>
        <v/>
      </c>
      <c r="AH198">
        <f>IF(AND($E198=TRUE,$C198="DEF"),AD198,"")</f>
        <v/>
      </c>
      <c r="AI198">
        <f>IF(AND($E198=TRUE,$C198="MID"),AD198,"")</f>
        <v/>
      </c>
      <c r="AJ198">
        <f>IF(AND($E198=TRUE,$C198="FWD"),AD198,"")</f>
        <v/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b">
        <v>1</v>
      </c>
      <c r="F199" s="2" t="n">
        <v>4.5</v>
      </c>
      <c r="G199" t="inlineStr">
        <is>
          <t>i</t>
        </is>
      </c>
      <c r="H199" t="inlineStr">
        <is>
          <t>Hamstring injury - Expected back 30 Aug</t>
        </is>
      </c>
      <c r="I199" s="2" t="n">
        <v>2637</v>
      </c>
      <c r="J199" t="n">
        <v>68</v>
      </c>
      <c r="K199" s="3" t="n">
        <v>2770</v>
      </c>
      <c r="L199" t="inlineStr">
        <is>
          <t>flat</t>
        </is>
      </c>
      <c r="M199" s="4" t="n">
        <v>2637</v>
      </c>
      <c r="N199" s="4" t="n">
        <v>0.21</v>
      </c>
      <c r="O199" s="3" t="n">
        <v>0.0334</v>
      </c>
      <c r="P199" t="inlineStr">
        <is>
          <t>adjusted xGOT</t>
        </is>
      </c>
      <c r="Q199" s="3" t="n">
        <v>0.89</v>
      </c>
      <c r="R199" s="3" t="n">
        <v>1.1</v>
      </c>
      <c r="S199" s="3" t="n">
        <v>0.1022</v>
      </c>
      <c r="T199" s="3" t="n">
        <v>0.065</v>
      </c>
      <c r="U199" s="3" t="n">
        <v>0.273</v>
      </c>
      <c r="V199" s="3" t="n">
        <v>2.048</v>
      </c>
      <c r="W199" s="3">
        <f>IF(V199="",IFERROR(VLOOKUP($C199,Assumptions!$A$4:$F$7,6,FALSE),0),V199)</f>
        <v/>
      </c>
      <c r="X199" s="3">
        <f>N(O199)*IFERROR(VLOOKUP($C199,Assumptions!$A$4:$F$7,2,FALSE),0)</f>
        <v/>
      </c>
      <c r="Y199" s="3">
        <f>N(S199)*IFERROR(VLOOKUP($C199,Assumptions!$A$4:$F$7,3,FALSE),0)*Assumptions!$B$11</f>
        <v/>
      </c>
      <c r="Z199" s="3">
        <f>N(N199)*IFERROR(VLOOKUP($C199,Assumptions!$A$4:$F$7,4,FALSE),0)</f>
        <v/>
      </c>
      <c r="AA199" s="3">
        <f>N(T199)*IFERROR(VLOOKUP($C199,Assumptions!$A$4:$F$7,5,FALSE),0)</f>
        <v/>
      </c>
      <c r="AB199" s="3">
        <f>N(U199)</f>
        <v/>
      </c>
      <c r="AC199" s="3">
        <f>SUM(W199:AB199)</f>
        <v/>
      </c>
      <c r="AD199" s="3">
        <f>N(AC199)*N(M199)/90</f>
        <v/>
      </c>
      <c r="AE199" s="3">
        <f>IFERROR(AD199-VLOOKUP($C199,Assumptions!$A$29:$C$32,3,FALSE),"")</f>
        <v/>
      </c>
      <c r="AF199" s="3">
        <f>IFERROR(AE199/F199,"")</f>
        <v/>
      </c>
      <c r="AG199">
        <f>IF(AND($E199=TRUE,$C199="GKP"),AD199,"")</f>
        <v/>
      </c>
      <c r="AH199">
        <f>IF(AND($E199=TRUE,$C199="DEF"),AD199,"")</f>
        <v/>
      </c>
      <c r="AI199">
        <f>IF(AND($E199=TRUE,$C199="MID"),AD199,"")</f>
        <v/>
      </c>
      <c r="AJ199">
        <f>IF(AND($E199=TRUE,$C199="FWD"),AD199,"")</f>
        <v/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b">
        <v>1</v>
      </c>
      <c r="F200" s="2" t="n">
        <v>5</v>
      </c>
      <c r="G200" t="inlineStr">
        <is>
          <t>a</t>
        </is>
      </c>
      <c r="I200" s="2" t="n">
        <v>1477</v>
      </c>
      <c r="J200" t="n">
        <v>68</v>
      </c>
      <c r="K200" s="3" t="n">
        <v>328</v>
      </c>
      <c r="L200" t="inlineStr">
        <is>
          <t>fade (losing his place)</t>
        </is>
      </c>
      <c r="M200" s="4" t="n">
        <v>1477</v>
      </c>
      <c r="N200" s="4" t="n">
        <v>0.29</v>
      </c>
      <c r="O200" s="3" t="n">
        <v>0.0304</v>
      </c>
      <c r="P200" t="inlineStr">
        <is>
          <t>adjusted xGOT</t>
        </is>
      </c>
      <c r="Q200" s="3" t="n">
        <v>0.924</v>
      </c>
      <c r="R200" s="3" t="n">
        <v>0.8</v>
      </c>
      <c r="S200" s="3" t="n">
        <v>0.0779</v>
      </c>
      <c r="T200" s="3" t="n">
        <v>0.412</v>
      </c>
      <c r="U200" s="3" t="n">
        <v>0.0609</v>
      </c>
      <c r="V200" s="3" t="n">
        <v>2.742</v>
      </c>
      <c r="W200" s="3">
        <f>IF(V200="",IFERROR(VLOOKUP($C200,Assumptions!$A$4:$F$7,6,FALSE),0),V200)</f>
        <v/>
      </c>
      <c r="X200" s="3">
        <f>N(O200)*IFERROR(VLOOKUP($C200,Assumptions!$A$4:$F$7,2,FALSE),0)</f>
        <v/>
      </c>
      <c r="Y200" s="3">
        <f>N(S200)*IFERROR(VLOOKUP($C200,Assumptions!$A$4:$F$7,3,FALSE),0)*Assumptions!$B$11</f>
        <v/>
      </c>
      <c r="Z200" s="3">
        <f>N(N200)*IFERROR(VLOOKUP($C200,Assumptions!$A$4:$F$7,4,FALSE),0)</f>
        <v/>
      </c>
      <c r="AA200" s="3">
        <f>N(T200)*IFERROR(VLOOKUP($C200,Assumptions!$A$4:$F$7,5,FALSE),0)</f>
        <v/>
      </c>
      <c r="AB200" s="3">
        <f>N(U200)</f>
        <v/>
      </c>
      <c r="AC200" s="3">
        <f>SUM(W200:AB200)</f>
        <v/>
      </c>
      <c r="AD200" s="3">
        <f>N(AC200)*N(M200)/90</f>
        <v/>
      </c>
      <c r="AE200" s="3">
        <f>IFERROR(AD200-VLOOKUP($C200,Assumptions!$A$29:$C$32,3,FALSE),"")</f>
        <v/>
      </c>
      <c r="AF200" s="3">
        <f>IFERROR(AE200/F200,"")</f>
        <v/>
      </c>
      <c r="AG200">
        <f>IF(AND($E200=TRUE,$C200="GKP"),AD200,"")</f>
        <v/>
      </c>
      <c r="AH200">
        <f>IF(AND($E200=TRUE,$C200="DEF"),AD200,"")</f>
        <v/>
      </c>
      <c r="AI200">
        <f>IF(AND($E200=TRUE,$C200="MID"),AD200,"")</f>
        <v/>
      </c>
      <c r="AJ200">
        <f>IF(AND($E200=TRUE,$C200="FWD"),AD200,"")</f>
        <v/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b">
        <v>1</v>
      </c>
      <c r="F201" s="2" t="n">
        <v>6</v>
      </c>
      <c r="G201" t="inlineStr">
        <is>
          <t>a</t>
        </is>
      </c>
      <c r="I201" s="2" t="n">
        <v>1857</v>
      </c>
      <c r="J201" t="n">
        <v>68</v>
      </c>
      <c r="K201" s="3" t="n">
        <v>2764</v>
      </c>
      <c r="L201" t="inlineStr">
        <is>
          <t>flat</t>
        </is>
      </c>
      <c r="M201" s="4" t="n">
        <v>1857</v>
      </c>
      <c r="N201" s="4" t="n">
        <v>0.21</v>
      </c>
      <c r="O201" s="3" t="n">
        <v>0.0594</v>
      </c>
      <c r="P201" t="inlineStr">
        <is>
          <t>adjusted xGOT</t>
        </is>
      </c>
      <c r="Q201" s="3" t="n">
        <v>1.075</v>
      </c>
      <c r="R201" s="3" t="n">
        <v>8.199999999999999</v>
      </c>
      <c r="S201" s="3" t="n">
        <v>0.1513</v>
      </c>
      <c r="T201" s="3" t="n">
        <v>0.095</v>
      </c>
      <c r="U201" s="3" t="n">
        <v>0.1454</v>
      </c>
      <c r="V201" s="3" t="n">
        <v>2.181</v>
      </c>
      <c r="W201" s="3">
        <f>IF(V201="",IFERROR(VLOOKUP($C201,Assumptions!$A$4:$F$7,6,FALSE),0),V201)</f>
        <v/>
      </c>
      <c r="X201" s="3">
        <f>N(O201)*IFERROR(VLOOKUP($C201,Assumptions!$A$4:$F$7,2,FALSE),0)</f>
        <v/>
      </c>
      <c r="Y201" s="3">
        <f>N(S201)*IFERROR(VLOOKUP($C201,Assumptions!$A$4:$F$7,3,FALSE),0)*Assumptions!$B$11</f>
        <v/>
      </c>
      <c r="Z201" s="3">
        <f>N(N201)*IFERROR(VLOOKUP($C201,Assumptions!$A$4:$F$7,4,FALSE),0)</f>
        <v/>
      </c>
      <c r="AA201" s="3">
        <f>N(T201)*IFERROR(VLOOKUP($C201,Assumptions!$A$4:$F$7,5,FALSE),0)</f>
        <v/>
      </c>
      <c r="AB201" s="3">
        <f>N(U201)</f>
        <v/>
      </c>
      <c r="AC201" s="3">
        <f>SUM(W201:AB201)</f>
        <v/>
      </c>
      <c r="AD201" s="3">
        <f>N(AC201)*N(M201)/90</f>
        <v/>
      </c>
      <c r="AE201" s="3">
        <f>IFERROR(AD201-VLOOKUP($C201,Assumptions!$A$29:$C$32,3,FALSE),"")</f>
        <v/>
      </c>
      <c r="AF201" s="3">
        <f>IFERROR(AE201/F201,"")</f>
        <v/>
      </c>
      <c r="AG201">
        <f>IF(AND($E201=TRUE,$C201="GKP"),AD201,"")</f>
        <v/>
      </c>
      <c r="AH201">
        <f>IF(AND($E201=TRUE,$C201="DEF"),AD201,"")</f>
        <v/>
      </c>
      <c r="AI201">
        <f>IF(AND($E201=TRUE,$C201="MID"),AD201,"")</f>
        <v/>
      </c>
      <c r="AJ201">
        <f>IF(AND($E201=TRUE,$C201="FWD"),AD201,"")</f>
        <v/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b">
        <v>1</v>
      </c>
      <c r="F202" s="2" t="n">
        <v>5</v>
      </c>
      <c r="G202" t="inlineStr">
        <is>
          <t>a</t>
        </is>
      </c>
      <c r="I202" s="2" t="n">
        <v>1074</v>
      </c>
      <c r="J202" t="n">
        <v>67</v>
      </c>
      <c r="K202" s="3" t="n">
        <v>390</v>
      </c>
      <c r="L202" t="inlineStr">
        <is>
          <t>flat</t>
        </is>
      </c>
      <c r="M202" s="4" t="n">
        <v>1074</v>
      </c>
      <c r="N202" s="4" t="n">
        <v>0.29</v>
      </c>
      <c r="O202" s="3" t="n">
        <v>0.2302</v>
      </c>
      <c r="P202" t="inlineStr">
        <is>
          <t>adjusted xGOT</t>
        </is>
      </c>
      <c r="Q202" s="3" t="n">
        <v>1.057</v>
      </c>
      <c r="R202" s="3" t="n">
        <v>2.6</v>
      </c>
      <c r="S202" s="3" t="n">
        <v>0.1214</v>
      </c>
      <c r="T202" s="3" t="n">
        <v>0.1</v>
      </c>
      <c r="U202" s="3" t="n">
        <v>0.3352</v>
      </c>
      <c r="V202" s="3" t="n">
        <v>3.268</v>
      </c>
      <c r="W202" s="3">
        <f>IF(V202="",IFERROR(VLOOKUP($C202,Assumptions!$A$4:$F$7,6,FALSE),0),V202)</f>
        <v/>
      </c>
      <c r="X202" s="3">
        <f>N(O202)*IFERROR(VLOOKUP($C202,Assumptions!$A$4:$F$7,2,FALSE),0)</f>
        <v/>
      </c>
      <c r="Y202" s="3">
        <f>N(S202)*IFERROR(VLOOKUP($C202,Assumptions!$A$4:$F$7,3,FALSE),0)*Assumptions!$B$11</f>
        <v/>
      </c>
      <c r="Z202" s="3">
        <f>N(N202)*IFERROR(VLOOKUP($C202,Assumptions!$A$4:$F$7,4,FALSE),0)</f>
        <v/>
      </c>
      <c r="AA202" s="3">
        <f>N(T202)*IFERROR(VLOOKUP($C202,Assumptions!$A$4:$F$7,5,FALSE),0)</f>
        <v/>
      </c>
      <c r="AB202" s="3">
        <f>N(U202)</f>
        <v/>
      </c>
      <c r="AC202" s="3">
        <f>SUM(W202:AB202)</f>
        <v/>
      </c>
      <c r="AD202" s="3">
        <f>N(AC202)*N(M202)/90</f>
        <v/>
      </c>
      <c r="AE202" s="3">
        <f>IFERROR(AD202-VLOOKUP($C202,Assumptions!$A$29:$C$32,3,FALSE),"")</f>
        <v/>
      </c>
      <c r="AF202" s="3">
        <f>IFERROR(AE202/F202,"")</f>
        <v/>
      </c>
      <c r="AG202">
        <f>IF(AND($E202=TRUE,$C202="GKP"),AD202,"")</f>
        <v/>
      </c>
      <c r="AH202">
        <f>IF(AND($E202=TRUE,$C202="DEF"),AD202,"")</f>
        <v/>
      </c>
      <c r="AI202">
        <f>IF(AND($E202=TRUE,$C202="MID"),AD202,"")</f>
        <v/>
      </c>
      <c r="AJ202">
        <f>IF(AND($E202=TRUE,$C202="FWD"),AD202,"")</f>
        <v/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b">
        <v>1</v>
      </c>
      <c r="F203" s="2" t="n">
        <v>5.5</v>
      </c>
      <c r="G203" t="inlineStr">
        <is>
          <t>a</t>
        </is>
      </c>
      <c r="I203" s="2" t="n">
        <v>1427</v>
      </c>
      <c r="J203" t="n">
        <v>67</v>
      </c>
      <c r="K203" s="3" t="n">
        <v>690</v>
      </c>
      <c r="L203" t="inlineStr">
        <is>
          <t>flat</t>
        </is>
      </c>
      <c r="M203" s="4" t="n">
        <v>1427</v>
      </c>
      <c r="N203" s="4" t="n">
        <v>0.421</v>
      </c>
      <c r="O203" s="3" t="n">
        <v>0.0378</v>
      </c>
      <c r="P203" t="inlineStr">
        <is>
          <t>adjusted xGOT</t>
        </is>
      </c>
      <c r="Q203" s="3" t="n">
        <v>0.923</v>
      </c>
      <c r="R203" s="3" t="n">
        <v>0.7</v>
      </c>
      <c r="S203" s="3" t="n">
        <v>0.0562</v>
      </c>
      <c r="T203" s="3" t="n">
        <v>0.333</v>
      </c>
      <c r="U203" s="3" t="n">
        <v>0.1892</v>
      </c>
      <c r="V203" s="3" t="n">
        <v>2.207</v>
      </c>
      <c r="W203" s="3">
        <f>IF(V203="",IFERROR(VLOOKUP($C203,Assumptions!$A$4:$F$7,6,FALSE),0),V203)</f>
        <v/>
      </c>
      <c r="X203" s="3">
        <f>N(O203)*IFERROR(VLOOKUP($C203,Assumptions!$A$4:$F$7,2,FALSE),0)</f>
        <v/>
      </c>
      <c r="Y203" s="3">
        <f>N(S203)*IFERROR(VLOOKUP($C203,Assumptions!$A$4:$F$7,3,FALSE),0)*Assumptions!$B$11</f>
        <v/>
      </c>
      <c r="Z203" s="3">
        <f>N(N203)*IFERROR(VLOOKUP($C203,Assumptions!$A$4:$F$7,4,FALSE),0)</f>
        <v/>
      </c>
      <c r="AA203" s="3">
        <f>N(T203)*IFERROR(VLOOKUP($C203,Assumptions!$A$4:$F$7,5,FALSE),0)</f>
        <v/>
      </c>
      <c r="AB203" s="3">
        <f>N(U203)</f>
        <v/>
      </c>
      <c r="AC203" s="3">
        <f>SUM(W203:AB203)</f>
        <v/>
      </c>
      <c r="AD203" s="3">
        <f>N(AC203)*N(M203)/90</f>
        <v/>
      </c>
      <c r="AE203" s="3">
        <f>IFERROR(AD203-VLOOKUP($C203,Assumptions!$A$29:$C$32,3,FALSE),"")</f>
        <v/>
      </c>
      <c r="AF203" s="3">
        <f>IFERROR(AE203/F203,"")</f>
        <v/>
      </c>
      <c r="AG203">
        <f>IF(AND($E203=TRUE,$C203="GKP"),AD203,"")</f>
        <v/>
      </c>
      <c r="AH203">
        <f>IF(AND($E203=TRUE,$C203="DEF"),AD203,"")</f>
        <v/>
      </c>
      <c r="AI203">
        <f>IF(AND($E203=TRUE,$C203="MID"),AD203,"")</f>
        <v/>
      </c>
      <c r="AJ203">
        <f>IF(AND($E203=TRUE,$C203="FWD"),AD203,"")</f>
        <v/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b">
        <v>1</v>
      </c>
      <c r="F204" s="2" t="n">
        <v>5</v>
      </c>
      <c r="G204" t="inlineStr">
        <is>
          <t>a</t>
        </is>
      </c>
      <c r="I204" s="2" t="n">
        <v>1307</v>
      </c>
      <c r="J204" t="n">
        <v>67</v>
      </c>
      <c r="K204" s="3" t="n">
        <v>662</v>
      </c>
      <c r="L204" t="inlineStr">
        <is>
          <t>flat</t>
        </is>
      </c>
      <c r="M204" s="4" t="n">
        <v>1307</v>
      </c>
      <c r="N204" s="4" t="n">
        <v>0.21</v>
      </c>
      <c r="O204" s="3" t="n">
        <v>0.0977</v>
      </c>
      <c r="P204" t="inlineStr">
        <is>
          <t>adjusted xGOT</t>
        </is>
      </c>
      <c r="Q204" s="3" t="n">
        <v>0.985</v>
      </c>
      <c r="R204" s="3" t="n">
        <v>1.4</v>
      </c>
      <c r="S204" s="3" t="n">
        <v>0.0946</v>
      </c>
      <c r="T204" s="3" t="n">
        <v>0.286</v>
      </c>
      <c r="U204" s="3" t="n">
        <v>0.2066</v>
      </c>
      <c r="V204" s="3" t="n">
        <v>2.754</v>
      </c>
      <c r="W204" s="3">
        <f>IF(V204="",IFERROR(VLOOKUP($C204,Assumptions!$A$4:$F$7,6,FALSE),0),V204)</f>
        <v/>
      </c>
      <c r="X204" s="3">
        <f>N(O204)*IFERROR(VLOOKUP($C204,Assumptions!$A$4:$F$7,2,FALSE),0)</f>
        <v/>
      </c>
      <c r="Y204" s="3">
        <f>N(S204)*IFERROR(VLOOKUP($C204,Assumptions!$A$4:$F$7,3,FALSE),0)*Assumptions!$B$11</f>
        <v/>
      </c>
      <c r="Z204" s="3">
        <f>N(N204)*IFERROR(VLOOKUP($C204,Assumptions!$A$4:$F$7,4,FALSE),0)</f>
        <v/>
      </c>
      <c r="AA204" s="3">
        <f>N(T204)*IFERROR(VLOOKUP($C204,Assumptions!$A$4:$F$7,5,FALSE),0)</f>
        <v/>
      </c>
      <c r="AB204" s="3">
        <f>N(U204)</f>
        <v/>
      </c>
      <c r="AC204" s="3">
        <f>SUM(W204:AB204)</f>
        <v/>
      </c>
      <c r="AD204" s="3">
        <f>N(AC204)*N(M204)/90</f>
        <v/>
      </c>
      <c r="AE204" s="3">
        <f>IFERROR(AD204-VLOOKUP($C204,Assumptions!$A$29:$C$32,3,FALSE),"")</f>
        <v/>
      </c>
      <c r="AF204" s="3">
        <f>IFERROR(AE204/F204,"")</f>
        <v/>
      </c>
      <c r="AG204">
        <f>IF(AND($E204=TRUE,$C204="GKP"),AD204,"")</f>
        <v/>
      </c>
      <c r="AH204">
        <f>IF(AND($E204=TRUE,$C204="DEF"),AD204,"")</f>
        <v/>
      </c>
      <c r="AI204">
        <f>IF(AND($E204=TRUE,$C204="MID"),AD204,"")</f>
        <v/>
      </c>
      <c r="AJ204">
        <f>IF(AND($E204=TRUE,$C204="FWD"),AD204,"")</f>
        <v/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b">
        <v>1</v>
      </c>
      <c r="F205" s="2" t="n">
        <v>6.5</v>
      </c>
      <c r="G205" t="inlineStr">
        <is>
          <t>a</t>
        </is>
      </c>
      <c r="I205" s="2" t="n">
        <v>1110</v>
      </c>
      <c r="J205" t="n">
        <v>67</v>
      </c>
      <c r="K205" s="3" t="n">
        <v>2861</v>
      </c>
      <c r="L205" t="inlineStr">
        <is>
          <t>flat</t>
        </is>
      </c>
      <c r="M205" s="4" t="n">
        <v>1110</v>
      </c>
      <c r="N205" s="4" t="n">
        <v>0.29</v>
      </c>
      <c r="O205" s="3" t="n">
        <v>0.2313</v>
      </c>
      <c r="P205" t="inlineStr">
        <is>
          <t>adjusted xGOT</t>
        </is>
      </c>
      <c r="Q205" s="3" t="n">
        <v>1.068</v>
      </c>
      <c r="R205" s="3" t="n">
        <v>2.7</v>
      </c>
      <c r="S205" s="3" t="n">
        <v>0.1873</v>
      </c>
      <c r="T205" s="3" t="n">
        <v>0</v>
      </c>
      <c r="U205" s="3" t="n">
        <v>0.2432</v>
      </c>
      <c r="V205" s="3" t="n">
        <v>2.27</v>
      </c>
      <c r="W205" s="3">
        <f>IF(V205="",IFERROR(VLOOKUP($C205,Assumptions!$A$4:$F$7,6,FALSE),0),V205)</f>
        <v/>
      </c>
      <c r="X205" s="3">
        <f>N(O205)*IFERROR(VLOOKUP($C205,Assumptions!$A$4:$F$7,2,FALSE),0)</f>
        <v/>
      </c>
      <c r="Y205" s="3">
        <f>N(S205)*IFERROR(VLOOKUP($C205,Assumptions!$A$4:$F$7,3,FALSE),0)*Assumptions!$B$11</f>
        <v/>
      </c>
      <c r="Z205" s="3">
        <f>N(N205)*IFERROR(VLOOKUP($C205,Assumptions!$A$4:$F$7,4,FALSE),0)</f>
        <v/>
      </c>
      <c r="AA205" s="3">
        <f>N(T205)*IFERROR(VLOOKUP($C205,Assumptions!$A$4:$F$7,5,FALSE),0)</f>
        <v/>
      </c>
      <c r="AB205" s="3">
        <f>N(U205)</f>
        <v/>
      </c>
      <c r="AC205" s="3">
        <f>SUM(W205:AB205)</f>
        <v/>
      </c>
      <c r="AD205" s="3">
        <f>N(AC205)*N(M205)/90</f>
        <v/>
      </c>
      <c r="AE205" s="3">
        <f>IFERROR(AD205-VLOOKUP($C205,Assumptions!$A$29:$C$32,3,FALSE),"")</f>
        <v/>
      </c>
      <c r="AF205" s="3">
        <f>IFERROR(AE205/F205,"")</f>
        <v/>
      </c>
      <c r="AG205">
        <f>IF(AND($E205=TRUE,$C205="GKP"),AD205,"")</f>
        <v/>
      </c>
      <c r="AH205">
        <f>IF(AND($E205=TRUE,$C205="DEF"),AD205,"")</f>
        <v/>
      </c>
      <c r="AI205">
        <f>IF(AND($E205=TRUE,$C205="MID"),AD205,"")</f>
        <v/>
      </c>
      <c r="AJ205">
        <f>IF(AND($E205=TRUE,$C205="FWD"),AD205,"")</f>
        <v/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b">
        <v>1</v>
      </c>
      <c r="F206" s="2" t="n">
        <v>6</v>
      </c>
      <c r="G206" t="inlineStr">
        <is>
          <t>a</t>
        </is>
      </c>
      <c r="I206" s="2" t="n">
        <v>1024</v>
      </c>
      <c r="J206" t="n">
        <v>67</v>
      </c>
      <c r="K206" s="3" t="n">
        <v>173</v>
      </c>
      <c r="L206" t="inlineStr">
        <is>
          <t>flat</t>
        </is>
      </c>
      <c r="M206" s="4" t="n">
        <v>1024</v>
      </c>
      <c r="N206" s="4" t="n">
        <v>0.5</v>
      </c>
      <c r="O206" s="3" t="n">
        <v>0.3227</v>
      </c>
      <c r="P206" t="inlineStr">
        <is>
          <t>adjusted xGOT</t>
        </is>
      </c>
      <c r="Q206" s="3" t="n">
        <v>1.093</v>
      </c>
      <c r="R206" s="3" t="n">
        <v>9.1</v>
      </c>
      <c r="S206" s="3" t="n">
        <v>0.1644</v>
      </c>
      <c r="T206" s="3" t="n">
        <v>0</v>
      </c>
      <c r="U206" s="3" t="n">
        <v>0.4395</v>
      </c>
      <c r="V206" s="3" t="n">
        <v>2.637</v>
      </c>
      <c r="W206" s="3">
        <f>IF(V206="",IFERROR(VLOOKUP($C206,Assumptions!$A$4:$F$7,6,FALSE),0),V206)</f>
        <v/>
      </c>
      <c r="X206" s="3">
        <f>N(O206)*IFERROR(VLOOKUP($C206,Assumptions!$A$4:$F$7,2,FALSE),0)</f>
        <v/>
      </c>
      <c r="Y206" s="3">
        <f>N(S206)*IFERROR(VLOOKUP($C206,Assumptions!$A$4:$F$7,3,FALSE),0)*Assumptions!$B$11</f>
        <v/>
      </c>
      <c r="Z206" s="3">
        <f>N(N206)*IFERROR(VLOOKUP($C206,Assumptions!$A$4:$F$7,4,FALSE),0)</f>
        <v/>
      </c>
      <c r="AA206" s="3">
        <f>N(T206)*IFERROR(VLOOKUP($C206,Assumptions!$A$4:$F$7,5,FALSE),0)</f>
        <v/>
      </c>
      <c r="AB206" s="3">
        <f>N(U206)</f>
        <v/>
      </c>
      <c r="AC206" s="3">
        <f>SUM(W206:AB206)</f>
        <v/>
      </c>
      <c r="AD206" s="3">
        <f>N(AC206)*N(M206)/90</f>
        <v/>
      </c>
      <c r="AE206" s="3">
        <f>IFERROR(AD206-VLOOKUP($C206,Assumptions!$A$29:$C$32,3,FALSE),"")</f>
        <v/>
      </c>
      <c r="AF206" s="3">
        <f>IFERROR(AE206/F206,"")</f>
        <v/>
      </c>
      <c r="AG206">
        <f>IF(AND($E206=TRUE,$C206="GKP"),AD206,"")</f>
        <v/>
      </c>
      <c r="AH206">
        <f>IF(AND($E206=TRUE,$C206="DEF"),AD206,"")</f>
        <v/>
      </c>
      <c r="AI206">
        <f>IF(AND($E206=TRUE,$C206="MID"),AD206,"")</f>
        <v/>
      </c>
      <c r="AJ206">
        <f>IF(AND($E206=TRUE,$C206="FWD"),AD206,"")</f>
        <v/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b">
        <v>1</v>
      </c>
      <c r="F207" s="2" t="n">
        <v>5</v>
      </c>
      <c r="G207" t="inlineStr">
        <is>
          <t>a</t>
        </is>
      </c>
      <c r="I207" s="2" t="n">
        <v>1899</v>
      </c>
      <c r="J207" t="n">
        <v>67</v>
      </c>
      <c r="K207" s="3" t="n">
        <v>1932</v>
      </c>
      <c r="L207" t="inlineStr">
        <is>
          <t>flat</t>
        </is>
      </c>
      <c r="M207" s="4" t="n">
        <v>1899</v>
      </c>
      <c r="N207" s="4" t="n">
        <v>0.316</v>
      </c>
      <c r="O207" s="3" t="n">
        <v>0.0708</v>
      </c>
      <c r="P207" t="inlineStr">
        <is>
          <t>adjusted xGOT</t>
        </is>
      </c>
      <c r="Q207" s="3" t="n">
        <v>0.911</v>
      </c>
      <c r="R207" s="3" t="n">
        <v>2.8</v>
      </c>
      <c r="S207" s="3" t="n">
        <v>0.1381</v>
      </c>
      <c r="T207" s="3" t="n">
        <v>0.227</v>
      </c>
      <c r="U207" s="3" t="n">
        <v>0</v>
      </c>
      <c r="V207" s="3" t="n">
        <v>2.275</v>
      </c>
      <c r="W207" s="3">
        <f>IF(V207="",IFERROR(VLOOKUP($C207,Assumptions!$A$4:$F$7,6,FALSE),0),V207)</f>
        <v/>
      </c>
      <c r="X207" s="3">
        <f>N(O207)*IFERROR(VLOOKUP($C207,Assumptions!$A$4:$F$7,2,FALSE),0)</f>
        <v/>
      </c>
      <c r="Y207" s="3">
        <f>N(S207)*IFERROR(VLOOKUP($C207,Assumptions!$A$4:$F$7,3,FALSE),0)*Assumptions!$B$11</f>
        <v/>
      </c>
      <c r="Z207" s="3">
        <f>N(N207)*IFERROR(VLOOKUP($C207,Assumptions!$A$4:$F$7,4,FALSE),0)</f>
        <v/>
      </c>
      <c r="AA207" s="3">
        <f>N(T207)*IFERROR(VLOOKUP($C207,Assumptions!$A$4:$F$7,5,FALSE),0)</f>
        <v/>
      </c>
      <c r="AB207" s="3">
        <f>N(U207)</f>
        <v/>
      </c>
      <c r="AC207" s="3">
        <f>SUM(W207:AB207)</f>
        <v/>
      </c>
      <c r="AD207" s="3">
        <f>N(AC207)*N(M207)/90</f>
        <v/>
      </c>
      <c r="AE207" s="3">
        <f>IFERROR(AD207-VLOOKUP($C207,Assumptions!$A$29:$C$32,3,FALSE),"")</f>
        <v/>
      </c>
      <c r="AF207" s="3">
        <f>IFERROR(AE207/F207,"")</f>
        <v/>
      </c>
      <c r="AG207">
        <f>IF(AND($E207=TRUE,$C207="GKP"),AD207,"")</f>
        <v/>
      </c>
      <c r="AH207">
        <f>IF(AND($E207=TRUE,$C207="DEF"),AD207,"")</f>
        <v/>
      </c>
      <c r="AI207">
        <f>IF(AND($E207=TRUE,$C207="MID"),AD207,"")</f>
        <v/>
      </c>
      <c r="AJ207">
        <f>IF(AND($E207=TRUE,$C207="FWD"),AD207,"")</f>
        <v/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b">
        <v>1</v>
      </c>
      <c r="F208" s="2" t="n">
        <v>5</v>
      </c>
      <c r="G208" t="inlineStr">
        <is>
          <t>a</t>
        </is>
      </c>
      <c r="I208" s="2" t="n">
        <v>1730</v>
      </c>
      <c r="J208" t="n">
        <v>67</v>
      </c>
      <c r="K208" s="3" t="n">
        <v>2217</v>
      </c>
      <c r="L208" t="inlineStr">
        <is>
          <t>flat</t>
        </is>
      </c>
      <c r="M208" s="4" t="n">
        <v>1730</v>
      </c>
      <c r="N208" s="4" t="n"/>
      <c r="O208" s="3" t="n">
        <v>0.1034</v>
      </c>
      <c r="P208" t="inlineStr">
        <is>
          <t>adjusted xGOT</t>
        </is>
      </c>
      <c r="Q208" s="3" t="n">
        <v>0.892</v>
      </c>
      <c r="R208" s="3" t="n">
        <v>5</v>
      </c>
      <c r="S208" s="3" t="n">
        <v>0.106</v>
      </c>
      <c r="T208" s="3" t="n">
        <v>0.15</v>
      </c>
      <c r="U208" s="3" t="n">
        <v>0.2081</v>
      </c>
      <c r="V208" s="3" t="n">
        <v>2.237</v>
      </c>
      <c r="W208" s="3">
        <f>IF(V208="",IFERROR(VLOOKUP($C208,Assumptions!$A$4:$F$7,6,FALSE),0),V208)</f>
        <v/>
      </c>
      <c r="X208" s="3">
        <f>N(O208)*IFERROR(VLOOKUP($C208,Assumptions!$A$4:$F$7,2,FALSE),0)</f>
        <v/>
      </c>
      <c r="Y208" s="3">
        <f>N(S208)*IFERROR(VLOOKUP($C208,Assumptions!$A$4:$F$7,3,FALSE),0)*Assumptions!$B$11</f>
        <v/>
      </c>
      <c r="Z208" s="3">
        <f>N(N208)*IFERROR(VLOOKUP($C208,Assumptions!$A$4:$F$7,4,FALSE),0)</f>
        <v/>
      </c>
      <c r="AA208" s="3">
        <f>N(T208)*IFERROR(VLOOKUP($C208,Assumptions!$A$4:$F$7,5,FALSE),0)</f>
        <v/>
      </c>
      <c r="AB208" s="3">
        <f>N(U208)</f>
        <v/>
      </c>
      <c r="AC208" s="3">
        <f>SUM(W208:AB208)</f>
        <v/>
      </c>
      <c r="AD208" s="3">
        <f>N(AC208)*N(M208)/90</f>
        <v/>
      </c>
      <c r="AE208" s="3">
        <f>IFERROR(AD208-VLOOKUP($C208,Assumptions!$A$29:$C$32,3,FALSE),"")</f>
        <v/>
      </c>
      <c r="AF208" s="3">
        <f>IFERROR(AE208/F208,"")</f>
        <v/>
      </c>
      <c r="AG208">
        <f>IF(AND($E208=TRUE,$C208="GKP"),AD208,"")</f>
        <v/>
      </c>
      <c r="AH208">
        <f>IF(AND($E208=TRUE,$C208="DEF"),AD208,"")</f>
        <v/>
      </c>
      <c r="AI208">
        <f>IF(AND($E208=TRUE,$C208="MID"),AD208,"")</f>
        <v/>
      </c>
      <c r="AJ208">
        <f>IF(AND($E208=TRUE,$C208="FWD"),AD208,"")</f>
        <v/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b">
        <v>1</v>
      </c>
      <c r="F209" s="2" t="n">
        <v>4.5</v>
      </c>
      <c r="G209" t="inlineStr">
        <is>
          <t>a</t>
        </is>
      </c>
      <c r="I209" s="2" t="n">
        <v>1587</v>
      </c>
      <c r="J209" t="n">
        <v>67</v>
      </c>
      <c r="K209" s="3" t="n">
        <v>2953</v>
      </c>
      <c r="L209" t="inlineStr">
        <is>
          <t>flat</t>
        </is>
      </c>
      <c r="M209" s="4" t="n">
        <v>1587</v>
      </c>
      <c r="N209" s="4" t="n">
        <v>0.237</v>
      </c>
      <c r="O209" s="3" t="n">
        <v>0.0226</v>
      </c>
      <c r="P209" t="inlineStr">
        <is>
          <t>adjusted xGOT</t>
        </is>
      </c>
      <c r="Q209" s="3" t="n">
        <v>0.97</v>
      </c>
      <c r="R209" s="3" t="n">
        <v>1.4</v>
      </c>
      <c r="S209" s="3" t="n">
        <v>0.0335</v>
      </c>
      <c r="T209" s="3" t="n">
        <v>0.111</v>
      </c>
      <c r="U209" s="3" t="n">
        <v>0.2836</v>
      </c>
      <c r="V209" s="3" t="n">
        <v>2.042</v>
      </c>
      <c r="W209" s="3">
        <f>IF(V209="",IFERROR(VLOOKUP($C209,Assumptions!$A$4:$F$7,6,FALSE),0),V209)</f>
        <v/>
      </c>
      <c r="X209" s="3">
        <f>N(O209)*IFERROR(VLOOKUP($C209,Assumptions!$A$4:$F$7,2,FALSE),0)</f>
        <v/>
      </c>
      <c r="Y209" s="3">
        <f>N(S209)*IFERROR(VLOOKUP($C209,Assumptions!$A$4:$F$7,3,FALSE),0)*Assumptions!$B$11</f>
        <v/>
      </c>
      <c r="Z209" s="3">
        <f>N(N209)*IFERROR(VLOOKUP($C209,Assumptions!$A$4:$F$7,4,FALSE),0)</f>
        <v/>
      </c>
      <c r="AA209" s="3">
        <f>N(T209)*IFERROR(VLOOKUP($C209,Assumptions!$A$4:$F$7,5,FALSE),0)</f>
        <v/>
      </c>
      <c r="AB209" s="3">
        <f>N(U209)</f>
        <v/>
      </c>
      <c r="AC209" s="3">
        <f>SUM(W209:AB209)</f>
        <v/>
      </c>
      <c r="AD209" s="3">
        <f>N(AC209)*N(M209)/90</f>
        <v/>
      </c>
      <c r="AE209" s="3">
        <f>IFERROR(AD209-VLOOKUP($C209,Assumptions!$A$29:$C$32,3,FALSE),"")</f>
        <v/>
      </c>
      <c r="AF209" s="3">
        <f>IFERROR(AE209/F209,"")</f>
        <v/>
      </c>
      <c r="AG209">
        <f>IF(AND($E209=TRUE,$C209="GKP"),AD209,"")</f>
        <v/>
      </c>
      <c r="AH209">
        <f>IF(AND($E209=TRUE,$C209="DEF"),AD209,"")</f>
        <v/>
      </c>
      <c r="AI209">
        <f>IF(AND($E209=TRUE,$C209="MID"),AD209,"")</f>
        <v/>
      </c>
      <c r="AJ209">
        <f>IF(AND($E209=TRUE,$C209="FWD"),AD209,"")</f>
        <v/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b">
        <v>1</v>
      </c>
      <c r="F210" s="2" t="n">
        <v>5.5</v>
      </c>
      <c r="G210" t="inlineStr">
        <is>
          <t>a</t>
        </is>
      </c>
      <c r="I210" s="2" t="n">
        <v>1403</v>
      </c>
      <c r="J210" t="n">
        <v>65</v>
      </c>
      <c r="K210" s="3" t="n">
        <v>1602</v>
      </c>
      <c r="L210" t="inlineStr">
        <is>
          <t>flat</t>
        </is>
      </c>
      <c r="M210" s="4" t="n">
        <v>1403</v>
      </c>
      <c r="N210" s="4" t="n">
        <v>0.29</v>
      </c>
      <c r="O210" s="3" t="n">
        <v>0.1955</v>
      </c>
      <c r="P210" t="inlineStr">
        <is>
          <t>adjusted xGOT</t>
        </is>
      </c>
      <c r="Q210" s="3" t="n">
        <v>0.9320000000000001</v>
      </c>
      <c r="R210" s="3" t="n">
        <v>3.3</v>
      </c>
      <c r="S210" s="3" t="n">
        <v>0.0479</v>
      </c>
      <c r="T210" s="3" t="n">
        <v>0</v>
      </c>
      <c r="U210" s="3" t="n">
        <v>0.2566</v>
      </c>
      <c r="V210" s="3" t="n">
        <v>2.245</v>
      </c>
      <c r="W210" s="3">
        <f>IF(V210="",IFERROR(VLOOKUP($C210,Assumptions!$A$4:$F$7,6,FALSE),0),V210)</f>
        <v/>
      </c>
      <c r="X210" s="3">
        <f>N(O210)*IFERROR(VLOOKUP($C210,Assumptions!$A$4:$F$7,2,FALSE),0)</f>
        <v/>
      </c>
      <c r="Y210" s="3">
        <f>N(S210)*IFERROR(VLOOKUP($C210,Assumptions!$A$4:$F$7,3,FALSE),0)*Assumptions!$B$11</f>
        <v/>
      </c>
      <c r="Z210" s="3">
        <f>N(N210)*IFERROR(VLOOKUP($C210,Assumptions!$A$4:$F$7,4,FALSE),0)</f>
        <v/>
      </c>
      <c r="AA210" s="3">
        <f>N(T210)*IFERROR(VLOOKUP($C210,Assumptions!$A$4:$F$7,5,FALSE),0)</f>
        <v/>
      </c>
      <c r="AB210" s="3">
        <f>N(U210)</f>
        <v/>
      </c>
      <c r="AC210" s="3">
        <f>SUM(W210:AB210)</f>
        <v/>
      </c>
      <c r="AD210" s="3">
        <f>N(AC210)*N(M210)/90</f>
        <v/>
      </c>
      <c r="AE210" s="3">
        <f>IFERROR(AD210-VLOOKUP($C210,Assumptions!$A$29:$C$32,3,FALSE),"")</f>
        <v/>
      </c>
      <c r="AF210" s="3">
        <f>IFERROR(AE210/F210,"")</f>
        <v/>
      </c>
      <c r="AG210">
        <f>IF(AND($E210=TRUE,$C210="GKP"),AD210,"")</f>
        <v/>
      </c>
      <c r="AH210">
        <f>IF(AND($E210=TRUE,$C210="DEF"),AD210,"")</f>
        <v/>
      </c>
      <c r="AI210">
        <f>IF(AND($E210=TRUE,$C210="MID"),AD210,"")</f>
        <v/>
      </c>
      <c r="AJ210">
        <f>IF(AND($E210=TRUE,$C210="FWD"),AD210,"")</f>
        <v/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b">
        <v>1</v>
      </c>
      <c r="F211" s="2" t="n">
        <v>6</v>
      </c>
      <c r="G211" t="inlineStr">
        <is>
          <t>a</t>
        </is>
      </c>
      <c r="I211" s="2" t="n">
        <v>1710</v>
      </c>
      <c r="J211" t="n">
        <v>65</v>
      </c>
      <c r="K211" s="3" t="n">
        <v>1082</v>
      </c>
      <c r="L211" t="inlineStr">
        <is>
          <t>flat</t>
        </is>
      </c>
      <c r="M211" s="4" t="n">
        <v>1710</v>
      </c>
      <c r="N211" s="4" t="n">
        <v>0.29</v>
      </c>
      <c r="O211" s="3" t="n">
        <v>0.1194</v>
      </c>
      <c r="P211" t="inlineStr">
        <is>
          <t>adjusted xGOT</t>
        </is>
      </c>
      <c r="Q211" s="3" t="n">
        <v>0.926</v>
      </c>
      <c r="R211" s="3" t="n">
        <v>32</v>
      </c>
      <c r="S211" s="3" t="n">
        <v>0.0682</v>
      </c>
      <c r="T211" s="3" t="n">
        <v>0</v>
      </c>
      <c r="U211" s="3" t="n">
        <v>0.1053</v>
      </c>
      <c r="V211" s="3" t="n">
        <v>2.632</v>
      </c>
      <c r="W211" s="3">
        <f>IF(V211="",IFERROR(VLOOKUP($C211,Assumptions!$A$4:$F$7,6,FALSE),0),V211)</f>
        <v/>
      </c>
      <c r="X211" s="3">
        <f>N(O211)*IFERROR(VLOOKUP($C211,Assumptions!$A$4:$F$7,2,FALSE),0)</f>
        <v/>
      </c>
      <c r="Y211" s="3">
        <f>N(S211)*IFERROR(VLOOKUP($C211,Assumptions!$A$4:$F$7,3,FALSE),0)*Assumptions!$B$11</f>
        <v/>
      </c>
      <c r="Z211" s="3">
        <f>N(N211)*IFERROR(VLOOKUP($C211,Assumptions!$A$4:$F$7,4,FALSE),0)</f>
        <v/>
      </c>
      <c r="AA211" s="3">
        <f>N(T211)*IFERROR(VLOOKUP($C211,Assumptions!$A$4:$F$7,5,FALSE),0)</f>
        <v/>
      </c>
      <c r="AB211" s="3">
        <f>N(U211)</f>
        <v/>
      </c>
      <c r="AC211" s="3">
        <f>SUM(W211:AB211)</f>
        <v/>
      </c>
      <c r="AD211" s="3">
        <f>N(AC211)*N(M211)/90</f>
        <v/>
      </c>
      <c r="AE211" s="3">
        <f>IFERROR(AD211-VLOOKUP($C211,Assumptions!$A$29:$C$32,3,FALSE),"")</f>
        <v/>
      </c>
      <c r="AF211" s="3">
        <f>IFERROR(AE211/F211,"")</f>
        <v/>
      </c>
      <c r="AG211">
        <f>IF(AND($E211=TRUE,$C211="GKP"),AD211,"")</f>
        <v/>
      </c>
      <c r="AH211">
        <f>IF(AND($E211=TRUE,$C211="DEF"),AD211,"")</f>
        <v/>
      </c>
      <c r="AI211">
        <f>IF(AND($E211=TRUE,$C211="MID"),AD211,"")</f>
        <v/>
      </c>
      <c r="AJ211">
        <f>IF(AND($E211=TRUE,$C211="FWD"),AD211,"")</f>
        <v/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b">
        <v>1</v>
      </c>
      <c r="F212" s="2" t="n">
        <v>5</v>
      </c>
      <c r="G212" t="inlineStr">
        <is>
          <t>s</t>
        </is>
      </c>
      <c r="H212" t="inlineStr">
        <is>
          <t>Suspended until 6 Sep</t>
        </is>
      </c>
      <c r="I212" s="2" t="n">
        <v>1718</v>
      </c>
      <c r="J212" t="n">
        <v>65</v>
      </c>
      <c r="K212" s="3" t="n">
        <v>1693</v>
      </c>
      <c r="L212" t="inlineStr">
        <is>
          <t>flat</t>
        </is>
      </c>
      <c r="M212" s="4" t="n">
        <v>1718</v>
      </c>
      <c r="N212" s="4" t="n">
        <v>0.237</v>
      </c>
      <c r="O212" s="3" t="n">
        <v>0.0335</v>
      </c>
      <c r="P212" t="inlineStr">
        <is>
          <t>adjusted xGOT</t>
        </is>
      </c>
      <c r="Q212" s="3" t="n">
        <v>0.889</v>
      </c>
      <c r="R212" s="3" t="n">
        <v>1.9</v>
      </c>
      <c r="S212" s="3" t="n">
        <v>0.033</v>
      </c>
      <c r="T212" s="3" t="n">
        <v>0.35</v>
      </c>
      <c r="U212" s="3" t="n">
        <v>0.1048</v>
      </c>
      <c r="V212" s="3" t="n">
        <v>2.253</v>
      </c>
      <c r="W212" s="3">
        <f>IF(V212="",IFERROR(VLOOKUP($C212,Assumptions!$A$4:$F$7,6,FALSE),0),V212)</f>
        <v/>
      </c>
      <c r="X212" s="3">
        <f>N(O212)*IFERROR(VLOOKUP($C212,Assumptions!$A$4:$F$7,2,FALSE),0)</f>
        <v/>
      </c>
      <c r="Y212" s="3">
        <f>N(S212)*IFERROR(VLOOKUP($C212,Assumptions!$A$4:$F$7,3,FALSE),0)*Assumptions!$B$11</f>
        <v/>
      </c>
      <c r="Z212" s="3">
        <f>N(N212)*IFERROR(VLOOKUP($C212,Assumptions!$A$4:$F$7,4,FALSE),0)</f>
        <v/>
      </c>
      <c r="AA212" s="3">
        <f>N(T212)*IFERROR(VLOOKUP($C212,Assumptions!$A$4:$F$7,5,FALSE),0)</f>
        <v/>
      </c>
      <c r="AB212" s="3">
        <f>N(U212)</f>
        <v/>
      </c>
      <c r="AC212" s="3">
        <f>SUM(W212:AB212)</f>
        <v/>
      </c>
      <c r="AD212" s="3">
        <f>N(AC212)*N(M212)/90</f>
        <v/>
      </c>
      <c r="AE212" s="3">
        <f>IFERROR(AD212-VLOOKUP($C212,Assumptions!$A$29:$C$32,3,FALSE),"")</f>
        <v/>
      </c>
      <c r="AF212" s="3">
        <f>IFERROR(AE212/F212,"")</f>
        <v/>
      </c>
      <c r="AG212">
        <f>IF(AND($E212=TRUE,$C212="GKP"),AD212,"")</f>
        <v/>
      </c>
      <c r="AH212">
        <f>IF(AND($E212=TRUE,$C212="DEF"),AD212,"")</f>
        <v/>
      </c>
      <c r="AI212">
        <f>IF(AND($E212=TRUE,$C212="MID"),AD212,"")</f>
        <v/>
      </c>
      <c r="AJ212">
        <f>IF(AND($E212=TRUE,$C212="FWD"),AD212,"")</f>
        <v/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b">
        <v>1</v>
      </c>
      <c r="F213" s="2" t="n">
        <v>4.5</v>
      </c>
      <c r="G213" t="inlineStr">
        <is>
          <t>a</t>
        </is>
      </c>
      <c r="I213" s="2" t="n">
        <v>1487</v>
      </c>
      <c r="J213" t="n">
        <v>65</v>
      </c>
      <c r="K213" s="3" t="n">
        <v>1887</v>
      </c>
      <c r="L213" t="inlineStr">
        <is>
          <t>flat</t>
        </is>
      </c>
      <c r="M213" s="4" t="n">
        <v>1487</v>
      </c>
      <c r="N213" s="4" t="n">
        <v>0.237</v>
      </c>
      <c r="O213" s="3" t="n">
        <v>0.06519999999999999</v>
      </c>
      <c r="P213" t="inlineStr">
        <is>
          <t>adjusted xGOT</t>
        </is>
      </c>
      <c r="Q213" s="3" t="n">
        <v>1.008</v>
      </c>
      <c r="R213" s="3" t="n">
        <v>2.5</v>
      </c>
      <c r="S213" s="3" t="n">
        <v>0.0808</v>
      </c>
      <c r="T213" s="3" t="n">
        <v>0.235</v>
      </c>
      <c r="U213" s="3" t="n">
        <v>0.4237</v>
      </c>
      <c r="V213" s="3" t="n">
        <v>2.3</v>
      </c>
      <c r="W213" s="3">
        <f>IF(V213="",IFERROR(VLOOKUP($C213,Assumptions!$A$4:$F$7,6,FALSE),0),V213)</f>
        <v/>
      </c>
      <c r="X213" s="3">
        <f>N(O213)*IFERROR(VLOOKUP($C213,Assumptions!$A$4:$F$7,2,FALSE),0)</f>
        <v/>
      </c>
      <c r="Y213" s="3">
        <f>N(S213)*IFERROR(VLOOKUP($C213,Assumptions!$A$4:$F$7,3,FALSE),0)*Assumptions!$B$11</f>
        <v/>
      </c>
      <c r="Z213" s="3">
        <f>N(N213)*IFERROR(VLOOKUP($C213,Assumptions!$A$4:$F$7,4,FALSE),0)</f>
        <v/>
      </c>
      <c r="AA213" s="3">
        <f>N(T213)*IFERROR(VLOOKUP($C213,Assumptions!$A$4:$F$7,5,FALSE),0)</f>
        <v/>
      </c>
      <c r="AB213" s="3">
        <f>N(U213)</f>
        <v/>
      </c>
      <c r="AC213" s="3">
        <f>SUM(W213:AB213)</f>
        <v/>
      </c>
      <c r="AD213" s="3">
        <f>N(AC213)*N(M213)/90</f>
        <v/>
      </c>
      <c r="AE213" s="3">
        <f>IFERROR(AD213-VLOOKUP($C213,Assumptions!$A$29:$C$32,3,FALSE),"")</f>
        <v/>
      </c>
      <c r="AF213" s="3">
        <f>IFERROR(AE213/F213,"")</f>
        <v/>
      </c>
      <c r="AG213">
        <f>IF(AND($E213=TRUE,$C213="GKP"),AD213,"")</f>
        <v/>
      </c>
      <c r="AH213">
        <f>IF(AND($E213=TRUE,$C213="DEF"),AD213,"")</f>
        <v/>
      </c>
      <c r="AI213">
        <f>IF(AND($E213=TRUE,$C213="MID"),AD213,"")</f>
        <v/>
      </c>
      <c r="AJ213">
        <f>IF(AND($E213=TRUE,$C213="FWD"),AD213,"")</f>
        <v/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b">
        <v>1</v>
      </c>
      <c r="F214" s="2" t="n">
        <v>4.5</v>
      </c>
      <c r="G214" t="inlineStr">
        <is>
          <t>a</t>
        </is>
      </c>
      <c r="I214" s="2" t="n">
        <v>1673</v>
      </c>
      <c r="J214" t="n">
        <v>64</v>
      </c>
      <c r="K214" s="3" t="n">
        <v>1955</v>
      </c>
      <c r="L214" t="inlineStr">
        <is>
          <t>flat</t>
        </is>
      </c>
      <c r="M214" s="4" t="n">
        <v>1673</v>
      </c>
      <c r="N214" s="4" t="n">
        <v>0.237</v>
      </c>
      <c r="O214" s="3" t="n">
        <v>0.0669</v>
      </c>
      <c r="P214" t="inlineStr">
        <is>
          <t>adjusted xGOT</t>
        </is>
      </c>
      <c r="Q214" s="3" t="n">
        <v>0.9350000000000001</v>
      </c>
      <c r="R214" s="3" t="n">
        <v>2.8</v>
      </c>
      <c r="S214" s="3" t="n">
        <v>0.0107</v>
      </c>
      <c r="T214" s="3" t="n">
        <v>0.111</v>
      </c>
      <c r="U214" s="3" t="n">
        <v>0.1076</v>
      </c>
      <c r="V214" s="3" t="n">
        <v>2.098</v>
      </c>
      <c r="W214" s="3">
        <f>IF(V214="",IFERROR(VLOOKUP($C214,Assumptions!$A$4:$F$7,6,FALSE),0),V214)</f>
        <v/>
      </c>
      <c r="X214" s="3">
        <f>N(O214)*IFERROR(VLOOKUP($C214,Assumptions!$A$4:$F$7,2,FALSE),0)</f>
        <v/>
      </c>
      <c r="Y214" s="3">
        <f>N(S214)*IFERROR(VLOOKUP($C214,Assumptions!$A$4:$F$7,3,FALSE),0)*Assumptions!$B$11</f>
        <v/>
      </c>
      <c r="Z214" s="3">
        <f>N(N214)*IFERROR(VLOOKUP($C214,Assumptions!$A$4:$F$7,4,FALSE),0)</f>
        <v/>
      </c>
      <c r="AA214" s="3">
        <f>N(T214)*IFERROR(VLOOKUP($C214,Assumptions!$A$4:$F$7,5,FALSE),0)</f>
        <v/>
      </c>
      <c r="AB214" s="3">
        <f>N(U214)</f>
        <v/>
      </c>
      <c r="AC214" s="3">
        <f>SUM(W214:AB214)</f>
        <v/>
      </c>
      <c r="AD214" s="3">
        <f>N(AC214)*N(M214)/90</f>
        <v/>
      </c>
      <c r="AE214" s="3">
        <f>IFERROR(AD214-VLOOKUP($C214,Assumptions!$A$29:$C$32,3,FALSE),"")</f>
        <v/>
      </c>
      <c r="AF214" s="3">
        <f>IFERROR(AE214/F214,"")</f>
        <v/>
      </c>
      <c r="AG214">
        <f>IF(AND($E214=TRUE,$C214="GKP"),AD214,"")</f>
        <v/>
      </c>
      <c r="AH214">
        <f>IF(AND($E214=TRUE,$C214="DEF"),AD214,"")</f>
        <v/>
      </c>
      <c r="AI214">
        <f>IF(AND($E214=TRUE,$C214="MID"),AD214,"")</f>
        <v/>
      </c>
      <c r="AJ214">
        <f>IF(AND($E214=TRUE,$C214="FWD"),AD214,"")</f>
        <v/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b">
        <v>1</v>
      </c>
      <c r="F215" s="2" t="n">
        <v>5.5</v>
      </c>
      <c r="G215" t="inlineStr">
        <is>
          <t>a</t>
        </is>
      </c>
      <c r="I215" s="2" t="n">
        <v>1561</v>
      </c>
      <c r="J215" t="n">
        <v>63</v>
      </c>
      <c r="K215" s="3" t="n">
        <v>722</v>
      </c>
      <c r="L215" t="inlineStr">
        <is>
          <t>fade (losing his place)</t>
        </is>
      </c>
      <c r="M215" s="4" t="n">
        <v>1561</v>
      </c>
      <c r="N215" s="4" t="n">
        <v>0.421</v>
      </c>
      <c r="O215" s="3" t="n">
        <v>0.0382</v>
      </c>
      <c r="P215" t="inlineStr">
        <is>
          <t>adjusted xGOT</t>
        </is>
      </c>
      <c r="Q215" s="3" t="n">
        <v>0.975</v>
      </c>
      <c r="R215" s="3" t="n">
        <v>1.1</v>
      </c>
      <c r="S215" s="3" t="n">
        <v>0.0579</v>
      </c>
      <c r="T215" s="3" t="n">
        <v>0.412</v>
      </c>
      <c r="U215" s="3" t="n">
        <v>0.0577</v>
      </c>
      <c r="V215" s="3" t="n">
        <v>2.422</v>
      </c>
      <c r="W215" s="3">
        <f>IF(V215="",IFERROR(VLOOKUP($C215,Assumptions!$A$4:$F$7,6,FALSE),0),V215)</f>
        <v/>
      </c>
      <c r="X215" s="3">
        <f>N(O215)*IFERROR(VLOOKUP($C215,Assumptions!$A$4:$F$7,2,FALSE),0)</f>
        <v/>
      </c>
      <c r="Y215" s="3">
        <f>N(S215)*IFERROR(VLOOKUP($C215,Assumptions!$A$4:$F$7,3,FALSE),0)*Assumptions!$B$11</f>
        <v/>
      </c>
      <c r="Z215" s="3">
        <f>N(N215)*IFERROR(VLOOKUP($C215,Assumptions!$A$4:$F$7,4,FALSE),0)</f>
        <v/>
      </c>
      <c r="AA215" s="3">
        <f>N(T215)*IFERROR(VLOOKUP($C215,Assumptions!$A$4:$F$7,5,FALSE),0)</f>
        <v/>
      </c>
      <c r="AB215" s="3">
        <f>N(U215)</f>
        <v/>
      </c>
      <c r="AC215" s="3">
        <f>SUM(W215:AB215)</f>
        <v/>
      </c>
      <c r="AD215" s="3">
        <f>N(AC215)*N(M215)/90</f>
        <v/>
      </c>
      <c r="AE215" s="3">
        <f>IFERROR(AD215-VLOOKUP($C215,Assumptions!$A$29:$C$32,3,FALSE),"")</f>
        <v/>
      </c>
      <c r="AF215" s="3">
        <f>IFERROR(AE215/F215,"")</f>
        <v/>
      </c>
      <c r="AG215">
        <f>IF(AND($E215=TRUE,$C215="GKP"),AD215,"")</f>
        <v/>
      </c>
      <c r="AH215">
        <f>IF(AND($E215=TRUE,$C215="DEF"),AD215,"")</f>
        <v/>
      </c>
      <c r="AI215">
        <f>IF(AND($E215=TRUE,$C215="MID"),AD215,"")</f>
        <v/>
      </c>
      <c r="AJ215">
        <f>IF(AND($E215=TRUE,$C215="FWD"),AD215,"")</f>
        <v/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b">
        <v>1</v>
      </c>
      <c r="F216" s="2" t="n">
        <v>5.5</v>
      </c>
      <c r="G216" t="inlineStr">
        <is>
          <t>a</t>
        </is>
      </c>
      <c r="I216" s="2" t="n">
        <v>1032</v>
      </c>
      <c r="J216" t="n">
        <v>63</v>
      </c>
      <c r="K216" s="3" t="n">
        <v>1699</v>
      </c>
      <c r="L216" t="inlineStr">
        <is>
          <t>flat</t>
        </is>
      </c>
      <c r="M216" s="4" t="n">
        <v>1032</v>
      </c>
      <c r="N216" s="4" t="n">
        <v>0.263</v>
      </c>
      <c r="O216" s="3" t="n">
        <v>0.042</v>
      </c>
      <c r="P216" t="inlineStr">
        <is>
          <t>adjusted xGOT</t>
        </is>
      </c>
      <c r="Q216" s="3" t="n">
        <v>0.965</v>
      </c>
      <c r="R216" s="3" t="n">
        <v>0.5</v>
      </c>
      <c r="S216" s="3" t="n">
        <v>0.1849</v>
      </c>
      <c r="T216" s="3" t="n">
        <v>0</v>
      </c>
      <c r="U216" s="3" t="n">
        <v>0.0872</v>
      </c>
      <c r="V216" s="3" t="n">
        <v>2.703</v>
      </c>
      <c r="W216" s="3">
        <f>IF(V216="",IFERROR(VLOOKUP($C216,Assumptions!$A$4:$F$7,6,FALSE),0),V216)</f>
        <v/>
      </c>
      <c r="X216" s="3">
        <f>N(O216)*IFERROR(VLOOKUP($C216,Assumptions!$A$4:$F$7,2,FALSE),0)</f>
        <v/>
      </c>
      <c r="Y216" s="3">
        <f>N(S216)*IFERROR(VLOOKUP($C216,Assumptions!$A$4:$F$7,3,FALSE),0)*Assumptions!$B$11</f>
        <v/>
      </c>
      <c r="Z216" s="3">
        <f>N(N216)*IFERROR(VLOOKUP($C216,Assumptions!$A$4:$F$7,4,FALSE),0)</f>
        <v/>
      </c>
      <c r="AA216" s="3">
        <f>N(T216)*IFERROR(VLOOKUP($C216,Assumptions!$A$4:$F$7,5,FALSE),0)</f>
        <v/>
      </c>
      <c r="AB216" s="3">
        <f>N(U216)</f>
        <v/>
      </c>
      <c r="AC216" s="3">
        <f>SUM(W216:AB216)</f>
        <v/>
      </c>
      <c r="AD216" s="3">
        <f>N(AC216)*N(M216)/90</f>
        <v/>
      </c>
      <c r="AE216" s="3">
        <f>IFERROR(AD216-VLOOKUP($C216,Assumptions!$A$29:$C$32,3,FALSE),"")</f>
        <v/>
      </c>
      <c r="AF216" s="3">
        <f>IFERROR(AE216/F216,"")</f>
        <v/>
      </c>
      <c r="AG216">
        <f>IF(AND($E216=TRUE,$C216="GKP"),AD216,"")</f>
        <v/>
      </c>
      <c r="AH216">
        <f>IF(AND($E216=TRUE,$C216="DEF"),AD216,"")</f>
        <v/>
      </c>
      <c r="AI216">
        <f>IF(AND($E216=TRUE,$C216="MID"),AD216,"")</f>
        <v/>
      </c>
      <c r="AJ216">
        <f>IF(AND($E216=TRUE,$C216="FWD"),AD216,"")</f>
        <v/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b">
        <v>1</v>
      </c>
      <c r="F217" s="2" t="n">
        <v>5</v>
      </c>
      <c r="G217" t="inlineStr">
        <is>
          <t>a</t>
        </is>
      </c>
      <c r="I217" s="2" t="n">
        <v>1489</v>
      </c>
      <c r="J217" t="n">
        <v>63</v>
      </c>
      <c r="K217" s="3" t="n">
        <v>304</v>
      </c>
      <c r="L217" t="inlineStr">
        <is>
          <t>flat</t>
        </is>
      </c>
      <c r="M217" s="4" t="n">
        <v>1489</v>
      </c>
      <c r="N217" s="4" t="n">
        <v>0.237</v>
      </c>
      <c r="O217" s="3" t="n">
        <v>0.0337</v>
      </c>
      <c r="P217" t="inlineStr">
        <is>
          <t>adjusted xGOT</t>
        </is>
      </c>
      <c r="Q217" s="3" t="n">
        <v>0.898</v>
      </c>
      <c r="R217" s="3" t="n">
        <v>1</v>
      </c>
      <c r="S217" s="3" t="n">
        <v>0.0133</v>
      </c>
      <c r="T217" s="3" t="n">
        <v>0.706</v>
      </c>
      <c r="U217" s="3" t="n">
        <v>0.0604</v>
      </c>
      <c r="V217" s="3" t="n">
        <v>2.357</v>
      </c>
      <c r="W217" s="3">
        <f>IF(V217="",IFERROR(VLOOKUP($C217,Assumptions!$A$4:$F$7,6,FALSE),0),V217)</f>
        <v/>
      </c>
      <c r="X217" s="3">
        <f>N(O217)*IFERROR(VLOOKUP($C217,Assumptions!$A$4:$F$7,2,FALSE),0)</f>
        <v/>
      </c>
      <c r="Y217" s="3">
        <f>N(S217)*IFERROR(VLOOKUP($C217,Assumptions!$A$4:$F$7,3,FALSE),0)*Assumptions!$B$11</f>
        <v/>
      </c>
      <c r="Z217" s="3">
        <f>N(N217)*IFERROR(VLOOKUP($C217,Assumptions!$A$4:$F$7,4,FALSE),0)</f>
        <v/>
      </c>
      <c r="AA217" s="3">
        <f>N(T217)*IFERROR(VLOOKUP($C217,Assumptions!$A$4:$F$7,5,FALSE),0)</f>
        <v/>
      </c>
      <c r="AB217" s="3">
        <f>N(U217)</f>
        <v/>
      </c>
      <c r="AC217" s="3">
        <f>SUM(W217:AB217)</f>
        <v/>
      </c>
      <c r="AD217" s="3">
        <f>N(AC217)*N(M217)/90</f>
        <v/>
      </c>
      <c r="AE217" s="3">
        <f>IFERROR(AD217-VLOOKUP($C217,Assumptions!$A$29:$C$32,3,FALSE),"")</f>
        <v/>
      </c>
      <c r="AF217" s="3">
        <f>IFERROR(AE217/F217,"")</f>
        <v/>
      </c>
      <c r="AG217">
        <f>IF(AND($E217=TRUE,$C217="GKP"),AD217,"")</f>
        <v/>
      </c>
      <c r="AH217">
        <f>IF(AND($E217=TRUE,$C217="DEF"),AD217,"")</f>
        <v/>
      </c>
      <c r="AI217">
        <f>IF(AND($E217=TRUE,$C217="MID"),AD217,"")</f>
        <v/>
      </c>
      <c r="AJ217">
        <f>IF(AND($E217=TRUE,$C217="FWD"),AD217,"")</f>
        <v/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b">
        <v>1</v>
      </c>
      <c r="F218" s="2" t="n">
        <v>5.5</v>
      </c>
      <c r="G218" t="inlineStr">
        <is>
          <t>a</t>
        </is>
      </c>
      <c r="I218" s="2" t="n">
        <v>1290</v>
      </c>
      <c r="J218" t="n">
        <v>63</v>
      </c>
      <c r="K218" s="3" t="n">
        <v>1693</v>
      </c>
      <c r="L218" t="inlineStr">
        <is>
          <t>flat</t>
        </is>
      </c>
      <c r="M218" s="4" t="n">
        <v>1290</v>
      </c>
      <c r="N218" s="4" t="n">
        <v>0.237</v>
      </c>
      <c r="O218" s="3" t="n">
        <v>0.1716</v>
      </c>
      <c r="P218" t="inlineStr">
        <is>
          <t>adjusted xGOT</t>
        </is>
      </c>
      <c r="Q218" s="3" t="n">
        <v>0.995</v>
      </c>
      <c r="R218" s="3" t="n">
        <v>2.8</v>
      </c>
      <c r="S218" s="3" t="n">
        <v>0.0593</v>
      </c>
      <c r="T218" s="3" t="n">
        <v>0</v>
      </c>
      <c r="U218" s="3" t="n">
        <v>0.2093</v>
      </c>
      <c r="V218" s="3" t="n">
        <v>3.14</v>
      </c>
      <c r="W218" s="3">
        <f>IF(V218="",IFERROR(VLOOKUP($C218,Assumptions!$A$4:$F$7,6,FALSE),0),V218)</f>
        <v/>
      </c>
      <c r="X218" s="3">
        <f>N(O218)*IFERROR(VLOOKUP($C218,Assumptions!$A$4:$F$7,2,FALSE),0)</f>
        <v/>
      </c>
      <c r="Y218" s="3">
        <f>N(S218)*IFERROR(VLOOKUP($C218,Assumptions!$A$4:$F$7,3,FALSE),0)*Assumptions!$B$11</f>
        <v/>
      </c>
      <c r="Z218" s="3">
        <f>N(N218)*IFERROR(VLOOKUP($C218,Assumptions!$A$4:$F$7,4,FALSE),0)</f>
        <v/>
      </c>
      <c r="AA218" s="3">
        <f>N(T218)*IFERROR(VLOOKUP($C218,Assumptions!$A$4:$F$7,5,FALSE),0)</f>
        <v/>
      </c>
      <c r="AB218" s="3">
        <f>N(U218)</f>
        <v/>
      </c>
      <c r="AC218" s="3">
        <f>SUM(W218:AB218)</f>
        <v/>
      </c>
      <c r="AD218" s="3">
        <f>N(AC218)*N(M218)/90</f>
        <v/>
      </c>
      <c r="AE218" s="3">
        <f>IFERROR(AD218-VLOOKUP($C218,Assumptions!$A$29:$C$32,3,FALSE),"")</f>
        <v/>
      </c>
      <c r="AF218" s="3">
        <f>IFERROR(AE218/F218,"")</f>
        <v/>
      </c>
      <c r="AG218">
        <f>IF(AND($E218=TRUE,$C218="GKP"),AD218,"")</f>
        <v/>
      </c>
      <c r="AH218">
        <f>IF(AND($E218=TRUE,$C218="DEF"),AD218,"")</f>
        <v/>
      </c>
      <c r="AI218">
        <f>IF(AND($E218=TRUE,$C218="MID"),AD218,"")</f>
        <v/>
      </c>
      <c r="AJ218">
        <f>IF(AND($E218=TRUE,$C218="FWD"),AD218,"")</f>
        <v/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b">
        <v>1</v>
      </c>
      <c r="F219" s="2" t="n">
        <v>6</v>
      </c>
      <c r="G219" t="inlineStr">
        <is>
          <t>i</t>
        </is>
      </c>
      <c r="H219" t="inlineStr">
        <is>
          <t>Hamstring injury - Unknown return date</t>
        </is>
      </c>
      <c r="I219" s="2" t="n">
        <v>1714</v>
      </c>
      <c r="J219" t="n">
        <v>62</v>
      </c>
      <c r="K219" s="3" t="n">
        <v>1353</v>
      </c>
      <c r="L219" t="inlineStr">
        <is>
          <t>fade (losing his place)</t>
        </is>
      </c>
      <c r="M219" s="4" t="n">
        <v>1714</v>
      </c>
      <c r="N219" s="4" t="n">
        <v>0.263</v>
      </c>
      <c r="O219" s="3" t="n">
        <v>0.2198</v>
      </c>
      <c r="P219" t="inlineStr">
        <is>
          <t>adjusted xGOT</t>
        </is>
      </c>
      <c r="Q219" s="3" t="n">
        <v>1.036</v>
      </c>
      <c r="R219" s="3" t="n">
        <v>25</v>
      </c>
      <c r="S219" s="3" t="n">
        <v>0.165</v>
      </c>
      <c r="T219" s="3" t="n">
        <v>0</v>
      </c>
      <c r="U219" s="3" t="n">
        <v>0.105</v>
      </c>
      <c r="V219" s="3" t="n">
        <v>2.205</v>
      </c>
      <c r="W219" s="3">
        <f>IF(V219="",IFERROR(VLOOKUP($C219,Assumptions!$A$4:$F$7,6,FALSE),0),V219)</f>
        <v/>
      </c>
      <c r="X219" s="3">
        <f>N(O219)*IFERROR(VLOOKUP($C219,Assumptions!$A$4:$F$7,2,FALSE),0)</f>
        <v/>
      </c>
      <c r="Y219" s="3">
        <f>N(S219)*IFERROR(VLOOKUP($C219,Assumptions!$A$4:$F$7,3,FALSE),0)*Assumptions!$B$11</f>
        <v/>
      </c>
      <c r="Z219" s="3">
        <f>N(N219)*IFERROR(VLOOKUP($C219,Assumptions!$A$4:$F$7,4,FALSE),0)</f>
        <v/>
      </c>
      <c r="AA219" s="3">
        <f>N(T219)*IFERROR(VLOOKUP($C219,Assumptions!$A$4:$F$7,5,FALSE),0)</f>
        <v/>
      </c>
      <c r="AB219" s="3">
        <f>N(U219)</f>
        <v/>
      </c>
      <c r="AC219" s="3">
        <f>SUM(W219:AB219)</f>
        <v/>
      </c>
      <c r="AD219" s="3">
        <f>N(AC219)*N(M219)/90</f>
        <v/>
      </c>
      <c r="AE219" s="3">
        <f>IFERROR(AD219-VLOOKUP($C219,Assumptions!$A$29:$C$32,3,FALSE),"")</f>
        <v/>
      </c>
      <c r="AF219" s="3">
        <f>IFERROR(AE219/F219,"")</f>
        <v/>
      </c>
      <c r="AG219">
        <f>IF(AND($E219=TRUE,$C219="GKP"),AD219,"")</f>
        <v/>
      </c>
      <c r="AH219">
        <f>IF(AND($E219=TRUE,$C219="DEF"),AD219,"")</f>
        <v/>
      </c>
      <c r="AI219">
        <f>IF(AND($E219=TRUE,$C219="MID"),AD219,"")</f>
        <v/>
      </c>
      <c r="AJ219">
        <f>IF(AND($E219=TRUE,$C219="FWD"),AD219,"")</f>
        <v/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b">
        <v>1</v>
      </c>
      <c r="F220" s="2" t="n">
        <v>5</v>
      </c>
      <c r="G220" t="inlineStr">
        <is>
          <t>a</t>
        </is>
      </c>
      <c r="I220" s="2" t="n">
        <v>1441</v>
      </c>
      <c r="J220" t="n">
        <v>62</v>
      </c>
      <c r="K220" s="3" t="n">
        <v>889</v>
      </c>
      <c r="L220" t="inlineStr">
        <is>
          <t>flat</t>
        </is>
      </c>
      <c r="M220" s="4" t="n">
        <v>1441</v>
      </c>
      <c r="N220" s="4" t="n">
        <v>0.21</v>
      </c>
      <c r="O220" s="3" t="n">
        <v>0.06510000000000001</v>
      </c>
      <c r="P220" t="inlineStr">
        <is>
          <t>adjusted xGOT</t>
        </is>
      </c>
      <c r="Q220" s="3" t="n">
        <v>0.869</v>
      </c>
      <c r="R220" s="3" t="n">
        <v>10</v>
      </c>
      <c r="S220" s="3" t="n">
        <v>0.09420000000000001</v>
      </c>
      <c r="T220" s="3" t="n">
        <v>0.133</v>
      </c>
      <c r="U220" s="3" t="n">
        <v>0.1874</v>
      </c>
      <c r="V220" s="3" t="n">
        <v>2.561</v>
      </c>
      <c r="W220" s="3">
        <f>IF(V220="",IFERROR(VLOOKUP($C220,Assumptions!$A$4:$F$7,6,FALSE),0),V220)</f>
        <v/>
      </c>
      <c r="X220" s="3">
        <f>N(O220)*IFERROR(VLOOKUP($C220,Assumptions!$A$4:$F$7,2,FALSE),0)</f>
        <v/>
      </c>
      <c r="Y220" s="3">
        <f>N(S220)*IFERROR(VLOOKUP($C220,Assumptions!$A$4:$F$7,3,FALSE),0)*Assumptions!$B$11</f>
        <v/>
      </c>
      <c r="Z220" s="3">
        <f>N(N220)*IFERROR(VLOOKUP($C220,Assumptions!$A$4:$F$7,4,FALSE),0)</f>
        <v/>
      </c>
      <c r="AA220" s="3">
        <f>N(T220)*IFERROR(VLOOKUP($C220,Assumptions!$A$4:$F$7,5,FALSE),0)</f>
        <v/>
      </c>
      <c r="AB220" s="3">
        <f>N(U220)</f>
        <v/>
      </c>
      <c r="AC220" s="3">
        <f>SUM(W220:AB220)</f>
        <v/>
      </c>
      <c r="AD220" s="3">
        <f>N(AC220)*N(M220)/90</f>
        <v/>
      </c>
      <c r="AE220" s="3">
        <f>IFERROR(AD220-VLOOKUP($C220,Assumptions!$A$29:$C$32,3,FALSE),"")</f>
        <v/>
      </c>
      <c r="AF220" s="3">
        <f>IFERROR(AE220/F220,"")</f>
        <v/>
      </c>
      <c r="AG220">
        <f>IF(AND($E220=TRUE,$C220="GKP"),AD220,"")</f>
        <v/>
      </c>
      <c r="AH220">
        <f>IF(AND($E220=TRUE,$C220="DEF"),AD220,"")</f>
        <v/>
      </c>
      <c r="AI220">
        <f>IF(AND($E220=TRUE,$C220="MID"),AD220,"")</f>
        <v/>
      </c>
      <c r="AJ220">
        <f>IF(AND($E220=TRUE,$C220="FWD"),AD220,"")</f>
        <v/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b">
        <v>1</v>
      </c>
      <c r="F221" s="2" t="n">
        <v>5</v>
      </c>
      <c r="G221" t="inlineStr">
        <is>
          <t>a</t>
        </is>
      </c>
      <c r="I221" s="2" t="n">
        <v>1410</v>
      </c>
      <c r="J221" t="n">
        <v>61</v>
      </c>
      <c r="K221" s="3" t="n">
        <v>1761</v>
      </c>
      <c r="L221" t="inlineStr">
        <is>
          <t>fade (losing his place)</t>
        </is>
      </c>
      <c r="M221" s="4" t="n">
        <v>1410</v>
      </c>
      <c r="N221" s="4" t="n">
        <v>0.237</v>
      </c>
      <c r="O221" s="3" t="n">
        <v>0.0327</v>
      </c>
      <c r="P221" t="inlineStr">
        <is>
          <t>adjusted xGOT</t>
        </is>
      </c>
      <c r="Q221" s="3" t="n">
        <v>0.966</v>
      </c>
      <c r="R221" s="3" t="n">
        <v>1.6</v>
      </c>
      <c r="S221" s="3" t="n">
        <v>0.0501</v>
      </c>
      <c r="T221" s="3" t="n">
        <v>0.176</v>
      </c>
      <c r="U221" s="3" t="n">
        <v>0.4468</v>
      </c>
      <c r="V221" s="3" t="n">
        <v>2.17</v>
      </c>
      <c r="W221" s="3">
        <f>IF(V221="",IFERROR(VLOOKUP($C221,Assumptions!$A$4:$F$7,6,FALSE),0),V221)</f>
        <v/>
      </c>
      <c r="X221" s="3">
        <f>N(O221)*IFERROR(VLOOKUP($C221,Assumptions!$A$4:$F$7,2,FALSE),0)</f>
        <v/>
      </c>
      <c r="Y221" s="3">
        <f>N(S221)*IFERROR(VLOOKUP($C221,Assumptions!$A$4:$F$7,3,FALSE),0)*Assumptions!$B$11</f>
        <v/>
      </c>
      <c r="Z221" s="3">
        <f>N(N221)*IFERROR(VLOOKUP($C221,Assumptions!$A$4:$F$7,4,FALSE),0)</f>
        <v/>
      </c>
      <c r="AA221" s="3">
        <f>N(T221)*IFERROR(VLOOKUP($C221,Assumptions!$A$4:$F$7,5,FALSE),0)</f>
        <v/>
      </c>
      <c r="AB221" s="3">
        <f>N(U221)</f>
        <v/>
      </c>
      <c r="AC221" s="3">
        <f>SUM(W221:AB221)</f>
        <v/>
      </c>
      <c r="AD221" s="3">
        <f>N(AC221)*N(M221)/90</f>
        <v/>
      </c>
      <c r="AE221" s="3">
        <f>IFERROR(AD221-VLOOKUP($C221,Assumptions!$A$29:$C$32,3,FALSE),"")</f>
        <v/>
      </c>
      <c r="AF221" s="3">
        <f>IFERROR(AE221/F221,"")</f>
        <v/>
      </c>
      <c r="AG221">
        <f>IF(AND($E221=TRUE,$C221="GKP"),AD221,"")</f>
        <v/>
      </c>
      <c r="AH221">
        <f>IF(AND($E221=TRUE,$C221="DEF"),AD221,"")</f>
        <v/>
      </c>
      <c r="AI221">
        <f>IF(AND($E221=TRUE,$C221="MID"),AD221,"")</f>
        <v/>
      </c>
      <c r="AJ221">
        <f>IF(AND($E221=TRUE,$C221="FWD"),AD221,"")</f>
        <v/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b">
        <v>1</v>
      </c>
      <c r="F222" s="2" t="n">
        <v>4.5</v>
      </c>
      <c r="G222" t="inlineStr">
        <is>
          <t>a</t>
        </is>
      </c>
      <c r="I222" s="2" t="n">
        <v>1838</v>
      </c>
      <c r="J222" t="n">
        <v>61</v>
      </c>
      <c r="K222" s="3" t="n">
        <v>2035</v>
      </c>
      <c r="L222" t="inlineStr">
        <is>
          <t>flat</t>
        </is>
      </c>
      <c r="M222" s="4" t="n">
        <v>1838</v>
      </c>
      <c r="N222" s="4" t="n">
        <v>0.237</v>
      </c>
      <c r="O222" s="3" t="n">
        <v>0.0595</v>
      </c>
      <c r="P222" t="inlineStr">
        <is>
          <t>adjusted xGOT</t>
        </is>
      </c>
      <c r="Q222" s="3" t="n">
        <v>0.8100000000000001</v>
      </c>
      <c r="R222" s="3" t="n">
        <v>5.3</v>
      </c>
      <c r="S222" s="3" t="n">
        <v>0.07870000000000001</v>
      </c>
      <c r="T222" s="3" t="n">
        <v>0.1</v>
      </c>
      <c r="U222" s="3" t="n">
        <v>0.1959</v>
      </c>
      <c r="V222" s="3" t="n">
        <v>2.399</v>
      </c>
      <c r="W222" s="3">
        <f>IF(V222="",IFERROR(VLOOKUP($C222,Assumptions!$A$4:$F$7,6,FALSE),0),V222)</f>
        <v/>
      </c>
      <c r="X222" s="3">
        <f>N(O222)*IFERROR(VLOOKUP($C222,Assumptions!$A$4:$F$7,2,FALSE),0)</f>
        <v/>
      </c>
      <c r="Y222" s="3">
        <f>N(S222)*IFERROR(VLOOKUP($C222,Assumptions!$A$4:$F$7,3,FALSE),0)*Assumptions!$B$11</f>
        <v/>
      </c>
      <c r="Z222" s="3">
        <f>N(N222)*IFERROR(VLOOKUP($C222,Assumptions!$A$4:$F$7,4,FALSE),0)</f>
        <v/>
      </c>
      <c r="AA222" s="3">
        <f>N(T222)*IFERROR(VLOOKUP($C222,Assumptions!$A$4:$F$7,5,FALSE),0)</f>
        <v/>
      </c>
      <c r="AB222" s="3">
        <f>N(U222)</f>
        <v/>
      </c>
      <c r="AC222" s="3">
        <f>SUM(W222:AB222)</f>
        <v/>
      </c>
      <c r="AD222" s="3">
        <f>N(AC222)*N(M222)/90</f>
        <v/>
      </c>
      <c r="AE222" s="3">
        <f>IFERROR(AD222-VLOOKUP($C222,Assumptions!$A$29:$C$32,3,FALSE),"")</f>
        <v/>
      </c>
      <c r="AF222" s="3">
        <f>IFERROR(AE222/F222,"")</f>
        <v/>
      </c>
      <c r="AG222">
        <f>IF(AND($E222=TRUE,$C222="GKP"),AD222,"")</f>
        <v/>
      </c>
      <c r="AH222">
        <f>IF(AND($E222=TRUE,$C222="DEF"),AD222,"")</f>
        <v/>
      </c>
      <c r="AI222">
        <f>IF(AND($E222=TRUE,$C222="MID"),AD222,"")</f>
        <v/>
      </c>
      <c r="AJ222">
        <f>IF(AND($E222=TRUE,$C222="FWD"),AD222,"")</f>
        <v/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b">
        <v>1</v>
      </c>
      <c r="F223" s="2" t="n">
        <v>5</v>
      </c>
      <c r="G223" t="inlineStr">
        <is>
          <t>a</t>
        </is>
      </c>
      <c r="I223" s="2" t="n">
        <v>1471</v>
      </c>
      <c r="J223" t="n">
        <v>61</v>
      </c>
      <c r="K223" s="3" t="n">
        <v>285</v>
      </c>
      <c r="L223" t="inlineStr">
        <is>
          <t>flat</t>
        </is>
      </c>
      <c r="M223" s="4" t="n">
        <v>1471</v>
      </c>
      <c r="N223" s="4" t="n">
        <v>0.237</v>
      </c>
      <c r="O223" s="3" t="n">
        <v>0.0982</v>
      </c>
      <c r="P223" t="inlineStr">
        <is>
          <t>adjusted xGOT</t>
        </is>
      </c>
      <c r="Q223" s="3" t="n">
        <v>1.07</v>
      </c>
      <c r="R223" s="3" t="n">
        <v>1.5</v>
      </c>
      <c r="S223" s="3" t="n">
        <v>0.0902</v>
      </c>
      <c r="T223" s="3" t="n">
        <v>0</v>
      </c>
      <c r="U223" s="3" t="n">
        <v>0.3671</v>
      </c>
      <c r="V223" s="3" t="n">
        <v>2.386</v>
      </c>
      <c r="W223" s="3">
        <f>IF(V223="",IFERROR(VLOOKUP($C223,Assumptions!$A$4:$F$7,6,FALSE),0),V223)</f>
        <v/>
      </c>
      <c r="X223" s="3">
        <f>N(O223)*IFERROR(VLOOKUP($C223,Assumptions!$A$4:$F$7,2,FALSE),0)</f>
        <v/>
      </c>
      <c r="Y223" s="3">
        <f>N(S223)*IFERROR(VLOOKUP($C223,Assumptions!$A$4:$F$7,3,FALSE),0)*Assumptions!$B$11</f>
        <v/>
      </c>
      <c r="Z223" s="3">
        <f>N(N223)*IFERROR(VLOOKUP($C223,Assumptions!$A$4:$F$7,4,FALSE),0)</f>
        <v/>
      </c>
      <c r="AA223" s="3">
        <f>N(T223)*IFERROR(VLOOKUP($C223,Assumptions!$A$4:$F$7,5,FALSE),0)</f>
        <v/>
      </c>
      <c r="AB223" s="3">
        <f>N(U223)</f>
        <v/>
      </c>
      <c r="AC223" s="3">
        <f>SUM(W223:AB223)</f>
        <v/>
      </c>
      <c r="AD223" s="3">
        <f>N(AC223)*N(M223)/90</f>
        <v/>
      </c>
      <c r="AE223" s="3">
        <f>IFERROR(AD223-VLOOKUP($C223,Assumptions!$A$29:$C$32,3,FALSE),"")</f>
        <v/>
      </c>
      <c r="AF223" s="3">
        <f>IFERROR(AE223/F223,"")</f>
        <v/>
      </c>
      <c r="AG223">
        <f>IF(AND($E223=TRUE,$C223="GKP"),AD223,"")</f>
        <v/>
      </c>
      <c r="AH223">
        <f>IF(AND($E223=TRUE,$C223="DEF"),AD223,"")</f>
        <v/>
      </c>
      <c r="AI223">
        <f>IF(AND($E223=TRUE,$C223="MID"),AD223,"")</f>
        <v/>
      </c>
      <c r="AJ223">
        <f>IF(AND($E223=TRUE,$C223="FWD"),AD223,"")</f>
        <v/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b">
        <v>1</v>
      </c>
      <c r="F224" s="2" t="n">
        <v>5.5</v>
      </c>
      <c r="G224" t="inlineStr">
        <is>
          <t>a</t>
        </is>
      </c>
      <c r="I224" s="2" t="n">
        <v>971</v>
      </c>
      <c r="J224" t="n">
        <v>60</v>
      </c>
      <c r="K224" s="3" t="n">
        <v>975</v>
      </c>
      <c r="L224" t="inlineStr">
        <is>
          <t>flat</t>
        </is>
      </c>
      <c r="M224" s="4" t="n">
        <v>971</v>
      </c>
      <c r="N224" s="4" t="n">
        <v>0.421</v>
      </c>
      <c r="O224" s="3" t="n">
        <v>0.0466</v>
      </c>
      <c r="P224" t="inlineStr">
        <is>
          <t>adjusted xGOT</t>
        </is>
      </c>
      <c r="Q224" s="3" t="n">
        <v>0.949</v>
      </c>
      <c r="R224" s="3" t="n">
        <v>7.6</v>
      </c>
      <c r="S224" s="3" t="n">
        <v>0.1735</v>
      </c>
      <c r="T224" s="3" t="n">
        <v>0.083</v>
      </c>
      <c r="U224" s="3" t="n">
        <v>0.9268999999999999</v>
      </c>
      <c r="V224" s="3" t="n">
        <v>2.503</v>
      </c>
      <c r="W224" s="3">
        <f>IF(V224="",IFERROR(VLOOKUP($C224,Assumptions!$A$4:$F$7,6,FALSE),0),V224)</f>
        <v/>
      </c>
      <c r="X224" s="3">
        <f>N(O224)*IFERROR(VLOOKUP($C224,Assumptions!$A$4:$F$7,2,FALSE),0)</f>
        <v/>
      </c>
      <c r="Y224" s="3">
        <f>N(S224)*IFERROR(VLOOKUP($C224,Assumptions!$A$4:$F$7,3,FALSE),0)*Assumptions!$B$11</f>
        <v/>
      </c>
      <c r="Z224" s="3">
        <f>N(N224)*IFERROR(VLOOKUP($C224,Assumptions!$A$4:$F$7,4,FALSE),0)</f>
        <v/>
      </c>
      <c r="AA224" s="3">
        <f>N(T224)*IFERROR(VLOOKUP($C224,Assumptions!$A$4:$F$7,5,FALSE),0)</f>
        <v/>
      </c>
      <c r="AB224" s="3">
        <f>N(U224)</f>
        <v/>
      </c>
      <c r="AC224" s="3">
        <f>SUM(W224:AB224)</f>
        <v/>
      </c>
      <c r="AD224" s="3">
        <f>N(AC224)*N(M224)/90</f>
        <v/>
      </c>
      <c r="AE224" s="3">
        <f>IFERROR(AD224-VLOOKUP($C224,Assumptions!$A$29:$C$32,3,FALSE),"")</f>
        <v/>
      </c>
      <c r="AF224" s="3">
        <f>IFERROR(AE224/F224,"")</f>
        <v/>
      </c>
      <c r="AG224">
        <f>IF(AND($E224=TRUE,$C224="GKP"),AD224,"")</f>
        <v/>
      </c>
      <c r="AH224">
        <f>IF(AND($E224=TRUE,$C224="DEF"),AD224,"")</f>
        <v/>
      </c>
      <c r="AI224">
        <f>IF(AND($E224=TRUE,$C224="MID"),AD224,"")</f>
        <v/>
      </c>
      <c r="AJ224">
        <f>IF(AND($E224=TRUE,$C224="FWD"),AD224,"")</f>
        <v/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b">
        <v>1</v>
      </c>
      <c r="F225" s="2" t="n">
        <v>5.5</v>
      </c>
      <c r="G225" t="inlineStr">
        <is>
          <t>a</t>
        </is>
      </c>
      <c r="I225" s="2" t="n">
        <v>1259</v>
      </c>
      <c r="J225" t="n">
        <v>59</v>
      </c>
      <c r="K225" s="3" t="n">
        <v>2212</v>
      </c>
      <c r="L225" t="inlineStr">
        <is>
          <t>flat</t>
        </is>
      </c>
      <c r="M225" s="4" t="n">
        <v>1259</v>
      </c>
      <c r="N225" s="4" t="n"/>
      <c r="O225" s="3" t="n">
        <v>0.0891</v>
      </c>
      <c r="P225" t="inlineStr">
        <is>
          <t>adjusted xGOT</t>
        </is>
      </c>
      <c r="Q225" s="3" t="n">
        <v>0.982</v>
      </c>
      <c r="R225" s="3" t="n">
        <v>1.3</v>
      </c>
      <c r="S225" s="3" t="n">
        <v>0.07539999999999999</v>
      </c>
      <c r="T225" s="3" t="n">
        <v>0.07099999999999999</v>
      </c>
      <c r="U225" s="3" t="n">
        <v>0</v>
      </c>
      <c r="V225" s="3" t="n">
        <v>2.931</v>
      </c>
      <c r="W225" s="3">
        <f>IF(V225="",IFERROR(VLOOKUP($C225,Assumptions!$A$4:$F$7,6,FALSE),0),V225)</f>
        <v/>
      </c>
      <c r="X225" s="3">
        <f>N(O225)*IFERROR(VLOOKUP($C225,Assumptions!$A$4:$F$7,2,FALSE),0)</f>
        <v/>
      </c>
      <c r="Y225" s="3">
        <f>N(S225)*IFERROR(VLOOKUP($C225,Assumptions!$A$4:$F$7,3,FALSE),0)*Assumptions!$B$11</f>
        <v/>
      </c>
      <c r="Z225" s="3">
        <f>N(N225)*IFERROR(VLOOKUP($C225,Assumptions!$A$4:$F$7,4,FALSE),0)</f>
        <v/>
      </c>
      <c r="AA225" s="3">
        <f>N(T225)*IFERROR(VLOOKUP($C225,Assumptions!$A$4:$F$7,5,FALSE),0)</f>
        <v/>
      </c>
      <c r="AB225" s="3">
        <f>N(U225)</f>
        <v/>
      </c>
      <c r="AC225" s="3">
        <f>SUM(W225:AB225)</f>
        <v/>
      </c>
      <c r="AD225" s="3">
        <f>N(AC225)*N(M225)/90</f>
        <v/>
      </c>
      <c r="AE225" s="3">
        <f>IFERROR(AD225-VLOOKUP($C225,Assumptions!$A$29:$C$32,3,FALSE),"")</f>
        <v/>
      </c>
      <c r="AF225" s="3">
        <f>IFERROR(AE225/F225,"")</f>
        <v/>
      </c>
      <c r="AG225">
        <f>IF(AND($E225=TRUE,$C225="GKP"),AD225,"")</f>
        <v/>
      </c>
      <c r="AH225">
        <f>IF(AND($E225=TRUE,$C225="DEF"),AD225,"")</f>
        <v/>
      </c>
      <c r="AI225">
        <f>IF(AND($E225=TRUE,$C225="MID"),AD225,"")</f>
        <v/>
      </c>
      <c r="AJ225">
        <f>IF(AND($E225=TRUE,$C225="FWD"),AD225,"")</f>
        <v/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b">
        <v>1</v>
      </c>
      <c r="F226" s="2" t="n">
        <v>5</v>
      </c>
      <c r="G226" t="inlineStr">
        <is>
          <t>d</t>
        </is>
      </c>
      <c r="H226" t="inlineStr">
        <is>
          <t>Calf injury - 75% chance of playing</t>
        </is>
      </c>
      <c r="I226" s="2" t="n">
        <v>1326</v>
      </c>
      <c r="J226" t="n">
        <v>59</v>
      </c>
      <c r="K226" s="3" t="n">
        <v>3215</v>
      </c>
      <c r="L226" t="inlineStr">
        <is>
          <t>flat</t>
        </is>
      </c>
      <c r="M226" s="4" t="n">
        <v>1326</v>
      </c>
      <c r="N226" s="4" t="n">
        <v>0.21</v>
      </c>
      <c r="O226" s="3" t="n">
        <v>0.009299999999999999</v>
      </c>
      <c r="P226" t="inlineStr">
        <is>
          <t>adjusted xGOT</t>
        </is>
      </c>
      <c r="Q226" s="3" t="n">
        <v>1.052</v>
      </c>
      <c r="R226" s="3" t="n">
        <v>0.8</v>
      </c>
      <c r="S226" s="3" t="n">
        <v>0.0511</v>
      </c>
      <c r="T226" s="3" t="n">
        <v>0.07099999999999999</v>
      </c>
      <c r="U226" s="3" t="n">
        <v>0.2036</v>
      </c>
      <c r="V226" s="3" t="n">
        <v>2.104</v>
      </c>
      <c r="W226" s="3">
        <f>IF(V226="",IFERROR(VLOOKUP($C226,Assumptions!$A$4:$F$7,6,FALSE),0),V226)</f>
        <v/>
      </c>
      <c r="X226" s="3">
        <f>N(O226)*IFERROR(VLOOKUP($C226,Assumptions!$A$4:$F$7,2,FALSE),0)</f>
        <v/>
      </c>
      <c r="Y226" s="3">
        <f>N(S226)*IFERROR(VLOOKUP($C226,Assumptions!$A$4:$F$7,3,FALSE),0)*Assumptions!$B$11</f>
        <v/>
      </c>
      <c r="Z226" s="3">
        <f>N(N226)*IFERROR(VLOOKUP($C226,Assumptions!$A$4:$F$7,4,FALSE),0)</f>
        <v/>
      </c>
      <c r="AA226" s="3">
        <f>N(T226)*IFERROR(VLOOKUP($C226,Assumptions!$A$4:$F$7,5,FALSE),0)</f>
        <v/>
      </c>
      <c r="AB226" s="3">
        <f>N(U226)</f>
        <v/>
      </c>
      <c r="AC226" s="3">
        <f>SUM(W226:AB226)</f>
        <v/>
      </c>
      <c r="AD226" s="3">
        <f>N(AC226)*N(M226)/90</f>
        <v/>
      </c>
      <c r="AE226" s="3">
        <f>IFERROR(AD226-VLOOKUP($C226,Assumptions!$A$29:$C$32,3,FALSE),"")</f>
        <v/>
      </c>
      <c r="AF226" s="3">
        <f>IFERROR(AE226/F226,"")</f>
        <v/>
      </c>
      <c r="AG226">
        <f>IF(AND($E226=TRUE,$C226="GKP"),AD226,"")</f>
        <v/>
      </c>
      <c r="AH226">
        <f>IF(AND($E226=TRUE,$C226="DEF"),AD226,"")</f>
        <v/>
      </c>
      <c r="AI226">
        <f>IF(AND($E226=TRUE,$C226="MID"),AD226,"")</f>
        <v/>
      </c>
      <c r="AJ226">
        <f>IF(AND($E226=TRUE,$C226="FWD"),AD226,"")</f>
        <v/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b">
        <v>1</v>
      </c>
      <c r="F227" s="2" t="n">
        <v>5</v>
      </c>
      <c r="G227" t="inlineStr">
        <is>
          <t>a</t>
        </is>
      </c>
      <c r="I227" s="2" t="n">
        <v>1188</v>
      </c>
      <c r="J227" t="n">
        <v>59</v>
      </c>
      <c r="K227" s="3" t="n">
        <v>484</v>
      </c>
      <c r="L227" t="inlineStr">
        <is>
          <t>flat</t>
        </is>
      </c>
      <c r="M227" s="4" t="n">
        <v>1188</v>
      </c>
      <c r="N227" s="4" t="n">
        <v>0.29</v>
      </c>
      <c r="O227" s="3" t="n">
        <v>0.3903</v>
      </c>
      <c r="P227" t="inlineStr">
        <is>
          <t>adjusted xGOT</t>
        </is>
      </c>
      <c r="Q227" s="3" t="n">
        <v>0.887</v>
      </c>
      <c r="R227" s="3" t="n">
        <v>11.2</v>
      </c>
      <c r="S227" s="3" t="n">
        <v>0.2878</v>
      </c>
      <c r="T227" s="3" t="n">
        <v>0</v>
      </c>
      <c r="U227" s="3" t="n">
        <v>0.303</v>
      </c>
      <c r="V227" s="3" t="n">
        <v>3.258</v>
      </c>
      <c r="W227" s="3">
        <f>IF(V227="",IFERROR(VLOOKUP($C227,Assumptions!$A$4:$F$7,6,FALSE),0),V227)</f>
        <v/>
      </c>
      <c r="X227" s="3">
        <f>N(O227)*IFERROR(VLOOKUP($C227,Assumptions!$A$4:$F$7,2,FALSE),0)</f>
        <v/>
      </c>
      <c r="Y227" s="3">
        <f>N(S227)*IFERROR(VLOOKUP($C227,Assumptions!$A$4:$F$7,3,FALSE),0)*Assumptions!$B$11</f>
        <v/>
      </c>
      <c r="Z227" s="3">
        <f>N(N227)*IFERROR(VLOOKUP($C227,Assumptions!$A$4:$F$7,4,FALSE),0)</f>
        <v/>
      </c>
      <c r="AA227" s="3">
        <f>N(T227)*IFERROR(VLOOKUP($C227,Assumptions!$A$4:$F$7,5,FALSE),0)</f>
        <v/>
      </c>
      <c r="AB227" s="3">
        <f>N(U227)</f>
        <v/>
      </c>
      <c r="AC227" s="3">
        <f>SUM(W227:AB227)</f>
        <v/>
      </c>
      <c r="AD227" s="3">
        <f>N(AC227)*N(M227)/90</f>
        <v/>
      </c>
      <c r="AE227" s="3">
        <f>IFERROR(AD227-VLOOKUP($C227,Assumptions!$A$29:$C$32,3,FALSE),"")</f>
        <v/>
      </c>
      <c r="AF227" s="3">
        <f>IFERROR(AE227/F227,"")</f>
        <v/>
      </c>
      <c r="AG227">
        <f>IF(AND($E227=TRUE,$C227="GKP"),AD227,"")</f>
        <v/>
      </c>
      <c r="AH227">
        <f>IF(AND($E227=TRUE,$C227="DEF"),AD227,"")</f>
        <v/>
      </c>
      <c r="AI227">
        <f>IF(AND($E227=TRUE,$C227="MID"),AD227,"")</f>
        <v/>
      </c>
      <c r="AJ227">
        <f>IF(AND($E227=TRUE,$C227="FWD"),AD227,"")</f>
        <v/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b">
        <v>1</v>
      </c>
      <c r="F228" s="2" t="n">
        <v>4.5</v>
      </c>
      <c r="G228" t="inlineStr">
        <is>
          <t>a</t>
        </is>
      </c>
      <c r="I228" s="2" t="n">
        <v>1073</v>
      </c>
      <c r="J228" t="n">
        <v>58</v>
      </c>
      <c r="K228" s="3" t="n">
        <v>379</v>
      </c>
      <c r="L228" t="inlineStr">
        <is>
          <t>flat</t>
        </is>
      </c>
      <c r="M228" s="4" t="n">
        <v>1073</v>
      </c>
      <c r="N228" s="4" t="n">
        <v>0.29</v>
      </c>
      <c r="O228" s="3" t="n">
        <v>0</v>
      </c>
      <c r="P228" t="inlineStr">
        <is>
          <t>adjusted xGOT</t>
        </is>
      </c>
      <c r="Q228" s="3" t="n">
        <v>0.9350000000000001</v>
      </c>
      <c r="R228" s="3" t="n">
        <v>1.2</v>
      </c>
      <c r="S228" s="3" t="n">
        <v>0.0306</v>
      </c>
      <c r="T228" s="3" t="n">
        <v>0</v>
      </c>
      <c r="U228" s="3" t="n">
        <v>0.3355</v>
      </c>
      <c r="V228" s="3" t="n">
        <v>2.768</v>
      </c>
      <c r="W228" s="3">
        <f>IF(V228="",IFERROR(VLOOKUP($C228,Assumptions!$A$4:$F$7,6,FALSE),0),V228)</f>
        <v/>
      </c>
      <c r="X228" s="3">
        <f>N(O228)*IFERROR(VLOOKUP($C228,Assumptions!$A$4:$F$7,2,FALSE),0)</f>
        <v/>
      </c>
      <c r="Y228" s="3">
        <f>N(S228)*IFERROR(VLOOKUP($C228,Assumptions!$A$4:$F$7,3,FALSE),0)*Assumptions!$B$11</f>
        <v/>
      </c>
      <c r="Z228" s="3">
        <f>N(N228)*IFERROR(VLOOKUP($C228,Assumptions!$A$4:$F$7,4,FALSE),0)</f>
        <v/>
      </c>
      <c r="AA228" s="3">
        <f>N(T228)*IFERROR(VLOOKUP($C228,Assumptions!$A$4:$F$7,5,FALSE),0)</f>
        <v/>
      </c>
      <c r="AB228" s="3">
        <f>N(U228)</f>
        <v/>
      </c>
      <c r="AC228" s="3">
        <f>SUM(W228:AB228)</f>
        <v/>
      </c>
      <c r="AD228" s="3">
        <f>N(AC228)*N(M228)/90</f>
        <v/>
      </c>
      <c r="AE228" s="3">
        <f>IFERROR(AD228-VLOOKUP($C228,Assumptions!$A$29:$C$32,3,FALSE),"")</f>
        <v/>
      </c>
      <c r="AF228" s="3">
        <f>IFERROR(AE228/F228,"")</f>
        <v/>
      </c>
      <c r="AG228">
        <f>IF(AND($E228=TRUE,$C228="GKP"),AD228,"")</f>
        <v/>
      </c>
      <c r="AH228">
        <f>IF(AND($E228=TRUE,$C228="DEF"),AD228,"")</f>
        <v/>
      </c>
      <c r="AI228">
        <f>IF(AND($E228=TRUE,$C228="MID"),AD228,"")</f>
        <v/>
      </c>
      <c r="AJ228">
        <f>IF(AND($E228=TRUE,$C228="FWD"),AD228,"")</f>
        <v/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b">
        <v>1</v>
      </c>
      <c r="F229" s="2" t="n">
        <v>5.5</v>
      </c>
      <c r="G229" t="inlineStr">
        <is>
          <t>a</t>
        </is>
      </c>
      <c r="I229" s="2" t="n">
        <v>1010</v>
      </c>
      <c r="J229" t="n">
        <v>58</v>
      </c>
      <c r="K229" s="3" t="n">
        <v>412</v>
      </c>
      <c r="L229" t="inlineStr">
        <is>
          <t>flat</t>
        </is>
      </c>
      <c r="M229" s="4" t="n">
        <v>1010</v>
      </c>
      <c r="N229" s="4" t="n">
        <v>0.21</v>
      </c>
      <c r="O229" s="3" t="n">
        <v>0.122</v>
      </c>
      <c r="P229" t="inlineStr">
        <is>
          <t>adjusted xGOT</t>
        </is>
      </c>
      <c r="Q229" s="3" t="n">
        <v>0.878</v>
      </c>
      <c r="R229" s="3" t="n">
        <v>7.3</v>
      </c>
      <c r="S229" s="3" t="n">
        <v>0.1335</v>
      </c>
      <c r="T229" s="3" t="n">
        <v>0.167</v>
      </c>
      <c r="U229" s="3" t="n">
        <v>0.2673</v>
      </c>
      <c r="V229" s="3" t="n">
        <v>2.941</v>
      </c>
      <c r="W229" s="3">
        <f>IF(V229="",IFERROR(VLOOKUP($C229,Assumptions!$A$4:$F$7,6,FALSE),0),V229)</f>
        <v/>
      </c>
      <c r="X229" s="3">
        <f>N(O229)*IFERROR(VLOOKUP($C229,Assumptions!$A$4:$F$7,2,FALSE),0)</f>
        <v/>
      </c>
      <c r="Y229" s="3">
        <f>N(S229)*IFERROR(VLOOKUP($C229,Assumptions!$A$4:$F$7,3,FALSE),0)*Assumptions!$B$11</f>
        <v/>
      </c>
      <c r="Z229" s="3">
        <f>N(N229)*IFERROR(VLOOKUP($C229,Assumptions!$A$4:$F$7,4,FALSE),0)</f>
        <v/>
      </c>
      <c r="AA229" s="3">
        <f>N(T229)*IFERROR(VLOOKUP($C229,Assumptions!$A$4:$F$7,5,FALSE),0)</f>
        <v/>
      </c>
      <c r="AB229" s="3">
        <f>N(U229)</f>
        <v/>
      </c>
      <c r="AC229" s="3">
        <f>SUM(W229:AB229)</f>
        <v/>
      </c>
      <c r="AD229" s="3">
        <f>N(AC229)*N(M229)/90</f>
        <v/>
      </c>
      <c r="AE229" s="3">
        <f>IFERROR(AD229-VLOOKUP($C229,Assumptions!$A$29:$C$32,3,FALSE),"")</f>
        <v/>
      </c>
      <c r="AF229" s="3">
        <f>IFERROR(AE229/F229,"")</f>
        <v/>
      </c>
      <c r="AG229">
        <f>IF(AND($E229=TRUE,$C229="GKP"),AD229,"")</f>
        <v/>
      </c>
      <c r="AH229">
        <f>IF(AND($E229=TRUE,$C229="DEF"),AD229,"")</f>
        <v/>
      </c>
      <c r="AI229">
        <f>IF(AND($E229=TRUE,$C229="MID"),AD229,"")</f>
        <v/>
      </c>
      <c r="AJ229">
        <f>IF(AND($E229=TRUE,$C229="FWD"),AD229,"")</f>
        <v/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b">
        <v>1</v>
      </c>
      <c r="F230" s="2" t="n">
        <v>6.5</v>
      </c>
      <c r="G230" t="inlineStr">
        <is>
          <t>a</t>
        </is>
      </c>
      <c r="I230" s="2" t="n">
        <v>839</v>
      </c>
      <c r="J230" t="n">
        <v>58</v>
      </c>
      <c r="K230" s="3" t="n">
        <v>684</v>
      </c>
      <c r="L230" t="inlineStr">
        <is>
          <t>flat</t>
        </is>
      </c>
      <c r="M230" s="4" t="n">
        <v>839</v>
      </c>
      <c r="N230" s="4" t="n">
        <v>0.237</v>
      </c>
      <c r="O230" s="3" t="n">
        <v>0.3376</v>
      </c>
      <c r="P230" t="inlineStr">
        <is>
          <t>adjusted xGOT</t>
        </is>
      </c>
      <c r="Q230" s="3" t="n">
        <v>1.082</v>
      </c>
      <c r="R230" s="3" t="n">
        <v>2.9</v>
      </c>
      <c r="S230" s="3" t="n">
        <v>0.2658</v>
      </c>
      <c r="T230" s="3" t="n">
        <v>0</v>
      </c>
      <c r="U230" s="3" t="n">
        <v>0.4291</v>
      </c>
      <c r="V230" s="3" t="n">
        <v>3.111</v>
      </c>
      <c r="W230" s="3">
        <f>IF(V230="",IFERROR(VLOOKUP($C230,Assumptions!$A$4:$F$7,6,FALSE),0),V230)</f>
        <v/>
      </c>
      <c r="X230" s="3">
        <f>N(O230)*IFERROR(VLOOKUP($C230,Assumptions!$A$4:$F$7,2,FALSE),0)</f>
        <v/>
      </c>
      <c r="Y230" s="3">
        <f>N(S230)*IFERROR(VLOOKUP($C230,Assumptions!$A$4:$F$7,3,FALSE),0)*Assumptions!$B$11</f>
        <v/>
      </c>
      <c r="Z230" s="3">
        <f>N(N230)*IFERROR(VLOOKUP($C230,Assumptions!$A$4:$F$7,4,FALSE),0)</f>
        <v/>
      </c>
      <c r="AA230" s="3">
        <f>N(T230)*IFERROR(VLOOKUP($C230,Assumptions!$A$4:$F$7,5,FALSE),0)</f>
        <v/>
      </c>
      <c r="AB230" s="3">
        <f>N(U230)</f>
        <v/>
      </c>
      <c r="AC230" s="3">
        <f>SUM(W230:AB230)</f>
        <v/>
      </c>
      <c r="AD230" s="3">
        <f>N(AC230)*N(M230)/90</f>
        <v/>
      </c>
      <c r="AE230" s="3">
        <f>IFERROR(AD230-VLOOKUP($C230,Assumptions!$A$29:$C$32,3,FALSE),"")</f>
        <v/>
      </c>
      <c r="AF230" s="3">
        <f>IFERROR(AE230/F230,"")</f>
        <v/>
      </c>
      <c r="AG230">
        <f>IF(AND($E230=TRUE,$C230="GKP"),AD230,"")</f>
        <v/>
      </c>
      <c r="AH230">
        <f>IF(AND($E230=TRUE,$C230="DEF"),AD230,"")</f>
        <v/>
      </c>
      <c r="AI230">
        <f>IF(AND($E230=TRUE,$C230="MID"),AD230,"")</f>
        <v/>
      </c>
      <c r="AJ230">
        <f>IF(AND($E230=TRUE,$C230="FWD"),AD230,"")</f>
        <v/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b">
        <v>1</v>
      </c>
      <c r="F231" s="2" t="n">
        <v>6.5</v>
      </c>
      <c r="G231" t="inlineStr">
        <is>
          <t>a</t>
        </is>
      </c>
      <c r="I231" s="2" t="n">
        <v>1065</v>
      </c>
      <c r="J231" t="n">
        <v>57</v>
      </c>
      <c r="K231" s="3" t="n">
        <v>507</v>
      </c>
      <c r="L231" t="inlineStr">
        <is>
          <t>flat</t>
        </is>
      </c>
      <c r="M231" s="4" t="n">
        <v>1065</v>
      </c>
      <c r="N231" s="4" t="n">
        <v>0.5</v>
      </c>
      <c r="O231" s="3" t="n">
        <v>0.3586</v>
      </c>
      <c r="P231" t="inlineStr">
        <is>
          <t>adjusted xGOT</t>
        </is>
      </c>
      <c r="Q231" s="3" t="n">
        <v>1.03</v>
      </c>
      <c r="R231" s="3" t="n">
        <v>26.8</v>
      </c>
      <c r="S231" s="3" t="n">
        <v>0.1622</v>
      </c>
      <c r="T231" s="3" t="n">
        <v>0</v>
      </c>
      <c r="U231" s="3" t="n">
        <v>0.2535</v>
      </c>
      <c r="V231" s="3" t="n">
        <v>2.958</v>
      </c>
      <c r="W231" s="3">
        <f>IF(V231="",IFERROR(VLOOKUP($C231,Assumptions!$A$4:$F$7,6,FALSE),0),V231)</f>
        <v/>
      </c>
      <c r="X231" s="3">
        <f>N(O231)*IFERROR(VLOOKUP($C231,Assumptions!$A$4:$F$7,2,FALSE),0)</f>
        <v/>
      </c>
      <c r="Y231" s="3">
        <f>N(S231)*IFERROR(VLOOKUP($C231,Assumptions!$A$4:$F$7,3,FALSE),0)*Assumptions!$B$11</f>
        <v/>
      </c>
      <c r="Z231" s="3">
        <f>N(N231)*IFERROR(VLOOKUP($C231,Assumptions!$A$4:$F$7,4,FALSE),0)</f>
        <v/>
      </c>
      <c r="AA231" s="3">
        <f>N(T231)*IFERROR(VLOOKUP($C231,Assumptions!$A$4:$F$7,5,FALSE),0)</f>
        <v/>
      </c>
      <c r="AB231" s="3">
        <f>N(U231)</f>
        <v/>
      </c>
      <c r="AC231" s="3">
        <f>SUM(W231:AB231)</f>
        <v/>
      </c>
      <c r="AD231" s="3">
        <f>N(AC231)*N(M231)/90</f>
        <v/>
      </c>
      <c r="AE231" s="3">
        <f>IFERROR(AD231-VLOOKUP($C231,Assumptions!$A$29:$C$32,3,FALSE),"")</f>
        <v/>
      </c>
      <c r="AF231" s="3">
        <f>IFERROR(AE231/F231,"")</f>
        <v/>
      </c>
      <c r="AG231">
        <f>IF(AND($E231=TRUE,$C231="GKP"),AD231,"")</f>
        <v/>
      </c>
      <c r="AH231">
        <f>IF(AND($E231=TRUE,$C231="DEF"),AD231,"")</f>
        <v/>
      </c>
      <c r="AI231">
        <f>IF(AND($E231=TRUE,$C231="MID"),AD231,"")</f>
        <v/>
      </c>
      <c r="AJ231">
        <f>IF(AND($E231=TRUE,$C231="FWD"),AD231,"")</f>
        <v/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b">
        <v>1</v>
      </c>
      <c r="F232" s="2" t="n">
        <v>5</v>
      </c>
      <c r="G232" t="inlineStr">
        <is>
          <t>a</t>
        </is>
      </c>
      <c r="I232" s="2" t="n">
        <v>1730</v>
      </c>
      <c r="J232" t="n">
        <v>56</v>
      </c>
      <c r="K232" s="3" t="n">
        <v>807</v>
      </c>
      <c r="L232" t="inlineStr">
        <is>
          <t>fade (losing his place)</t>
        </is>
      </c>
      <c r="M232" s="4" t="n">
        <v>1730</v>
      </c>
      <c r="N232" s="4" t="n">
        <v>0.21</v>
      </c>
      <c r="O232" s="3" t="n">
        <v>0.0674</v>
      </c>
      <c r="P232" t="inlineStr">
        <is>
          <t>adjusted xGOT</t>
        </is>
      </c>
      <c r="Q232" s="3" t="n">
        <v>0.966</v>
      </c>
      <c r="R232" s="3" t="n">
        <v>2</v>
      </c>
      <c r="S232" s="3" t="n">
        <v>0.0211</v>
      </c>
      <c r="T232" s="3" t="n">
        <v>0.167</v>
      </c>
      <c r="U232" s="3" t="n">
        <v>0.052</v>
      </c>
      <c r="V232" s="3" t="n">
        <v>2.549</v>
      </c>
      <c r="W232" s="3">
        <f>IF(V232="",IFERROR(VLOOKUP($C232,Assumptions!$A$4:$F$7,6,FALSE),0),V232)</f>
        <v/>
      </c>
      <c r="X232" s="3">
        <f>N(O232)*IFERROR(VLOOKUP($C232,Assumptions!$A$4:$F$7,2,FALSE),0)</f>
        <v/>
      </c>
      <c r="Y232" s="3">
        <f>N(S232)*IFERROR(VLOOKUP($C232,Assumptions!$A$4:$F$7,3,FALSE),0)*Assumptions!$B$11</f>
        <v/>
      </c>
      <c r="Z232" s="3">
        <f>N(N232)*IFERROR(VLOOKUP($C232,Assumptions!$A$4:$F$7,4,FALSE),0)</f>
        <v/>
      </c>
      <c r="AA232" s="3">
        <f>N(T232)*IFERROR(VLOOKUP($C232,Assumptions!$A$4:$F$7,5,FALSE),0)</f>
        <v/>
      </c>
      <c r="AB232" s="3">
        <f>N(U232)</f>
        <v/>
      </c>
      <c r="AC232" s="3">
        <f>SUM(W232:AB232)</f>
        <v/>
      </c>
      <c r="AD232" s="3">
        <f>N(AC232)*N(M232)/90</f>
        <v/>
      </c>
      <c r="AE232" s="3">
        <f>IFERROR(AD232-VLOOKUP($C232,Assumptions!$A$29:$C$32,3,FALSE),"")</f>
        <v/>
      </c>
      <c r="AF232" s="3">
        <f>IFERROR(AE232/F232,"")</f>
        <v/>
      </c>
      <c r="AG232">
        <f>IF(AND($E232=TRUE,$C232="GKP"),AD232,"")</f>
        <v/>
      </c>
      <c r="AH232">
        <f>IF(AND($E232=TRUE,$C232="DEF"),AD232,"")</f>
        <v/>
      </c>
      <c r="AI232">
        <f>IF(AND($E232=TRUE,$C232="MID"),AD232,"")</f>
        <v/>
      </c>
      <c r="AJ232">
        <f>IF(AND($E232=TRUE,$C232="FWD"),AD232,"")</f>
        <v/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b">
        <v>1</v>
      </c>
      <c r="F233" s="2" t="n">
        <v>5</v>
      </c>
      <c r="G233" t="inlineStr">
        <is>
          <t>i</t>
        </is>
      </c>
      <c r="H233" t="inlineStr">
        <is>
          <t>Ankle injury - Expected back 23 Aug</t>
        </is>
      </c>
      <c r="I233" s="2" t="n">
        <v>1646</v>
      </c>
      <c r="J233" t="n">
        <v>56</v>
      </c>
      <c r="K233" s="3" t="n">
        <v>1989</v>
      </c>
      <c r="L233" t="inlineStr">
        <is>
          <t>flat</t>
        </is>
      </c>
      <c r="M233" s="4" t="n">
        <v>1646</v>
      </c>
      <c r="N233" s="4" t="n">
        <v>0.263</v>
      </c>
      <c r="O233" s="3" t="n">
        <v>0.0429</v>
      </c>
      <c r="P233" t="inlineStr">
        <is>
          <t>adjusted xGOT</t>
        </is>
      </c>
      <c r="Q233" s="3" t="n">
        <v>1.006</v>
      </c>
      <c r="R233" s="3" t="n">
        <v>4.7</v>
      </c>
      <c r="S233" s="3" t="n">
        <v>0.0419</v>
      </c>
      <c r="T233" s="3" t="n">
        <v>0.174</v>
      </c>
      <c r="U233" s="3" t="n">
        <v>0</v>
      </c>
      <c r="V233" s="3" t="n">
        <v>2.515</v>
      </c>
      <c r="W233" s="3">
        <f>IF(V233="",IFERROR(VLOOKUP($C233,Assumptions!$A$4:$F$7,6,FALSE),0),V233)</f>
        <v/>
      </c>
      <c r="X233" s="3">
        <f>N(O233)*IFERROR(VLOOKUP($C233,Assumptions!$A$4:$F$7,2,FALSE),0)</f>
        <v/>
      </c>
      <c r="Y233" s="3">
        <f>N(S233)*IFERROR(VLOOKUP($C233,Assumptions!$A$4:$F$7,3,FALSE),0)*Assumptions!$B$11</f>
        <v/>
      </c>
      <c r="Z233" s="3">
        <f>N(N233)*IFERROR(VLOOKUP($C233,Assumptions!$A$4:$F$7,4,FALSE),0)</f>
        <v/>
      </c>
      <c r="AA233" s="3">
        <f>N(T233)*IFERROR(VLOOKUP($C233,Assumptions!$A$4:$F$7,5,FALSE),0)</f>
        <v/>
      </c>
      <c r="AB233" s="3">
        <f>N(U233)</f>
        <v/>
      </c>
      <c r="AC233" s="3">
        <f>SUM(W233:AB233)</f>
        <v/>
      </c>
      <c r="AD233" s="3">
        <f>N(AC233)*N(M233)/90</f>
        <v/>
      </c>
      <c r="AE233" s="3">
        <f>IFERROR(AD233-VLOOKUP($C233,Assumptions!$A$29:$C$32,3,FALSE),"")</f>
        <v/>
      </c>
      <c r="AF233" s="3">
        <f>IFERROR(AE233/F233,"")</f>
        <v/>
      </c>
      <c r="AG233">
        <f>IF(AND($E233=TRUE,$C233="GKP"),AD233,"")</f>
        <v/>
      </c>
      <c r="AH233">
        <f>IF(AND($E233=TRUE,$C233="DEF"),AD233,"")</f>
        <v/>
      </c>
      <c r="AI233">
        <f>IF(AND($E233=TRUE,$C233="MID"),AD233,"")</f>
        <v/>
      </c>
      <c r="AJ233">
        <f>IF(AND($E233=TRUE,$C233="FWD"),AD233,"")</f>
        <v/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b">
        <v>1</v>
      </c>
      <c r="F234" s="2" t="n">
        <v>5</v>
      </c>
      <c r="G234" t="inlineStr">
        <is>
          <t>a</t>
        </is>
      </c>
      <c r="I234" s="2" t="n">
        <v>1003</v>
      </c>
      <c r="J234" t="n">
        <v>56</v>
      </c>
      <c r="K234" s="3" t="n">
        <v>452</v>
      </c>
      <c r="L234" t="inlineStr">
        <is>
          <t>flat</t>
        </is>
      </c>
      <c r="M234" s="4" t="n">
        <v>1003</v>
      </c>
      <c r="N234" s="4" t="n">
        <v>0.21</v>
      </c>
      <c r="O234" s="3" t="n">
        <v>0.1032</v>
      </c>
      <c r="P234" t="inlineStr">
        <is>
          <t>adjusted xGOT</t>
        </is>
      </c>
      <c r="Q234" s="3" t="n">
        <v>0.9350000000000001</v>
      </c>
      <c r="R234" s="3" t="n">
        <v>11.9</v>
      </c>
      <c r="S234" s="3" t="n">
        <v>0.2081</v>
      </c>
      <c r="T234" s="3" t="n">
        <v>0.2</v>
      </c>
      <c r="U234" s="3" t="n">
        <v>0.4487</v>
      </c>
      <c r="V234" s="3" t="n">
        <v>2.871</v>
      </c>
      <c r="W234" s="3">
        <f>IF(V234="",IFERROR(VLOOKUP($C234,Assumptions!$A$4:$F$7,6,FALSE),0),V234)</f>
        <v/>
      </c>
      <c r="X234" s="3">
        <f>N(O234)*IFERROR(VLOOKUP($C234,Assumptions!$A$4:$F$7,2,FALSE),0)</f>
        <v/>
      </c>
      <c r="Y234" s="3">
        <f>N(S234)*IFERROR(VLOOKUP($C234,Assumptions!$A$4:$F$7,3,FALSE),0)*Assumptions!$B$11</f>
        <v/>
      </c>
      <c r="Z234" s="3">
        <f>N(N234)*IFERROR(VLOOKUP($C234,Assumptions!$A$4:$F$7,4,FALSE),0)</f>
        <v/>
      </c>
      <c r="AA234" s="3">
        <f>N(T234)*IFERROR(VLOOKUP($C234,Assumptions!$A$4:$F$7,5,FALSE),0)</f>
        <v/>
      </c>
      <c r="AB234" s="3">
        <f>N(U234)</f>
        <v/>
      </c>
      <c r="AC234" s="3">
        <f>SUM(W234:AB234)</f>
        <v/>
      </c>
      <c r="AD234" s="3">
        <f>N(AC234)*N(M234)/90</f>
        <v/>
      </c>
      <c r="AE234" s="3">
        <f>IFERROR(AD234-VLOOKUP($C234,Assumptions!$A$29:$C$32,3,FALSE),"")</f>
        <v/>
      </c>
      <c r="AF234" s="3">
        <f>IFERROR(AE234/F234,"")</f>
        <v/>
      </c>
      <c r="AG234">
        <f>IF(AND($E234=TRUE,$C234="GKP"),AD234,"")</f>
        <v/>
      </c>
      <c r="AH234">
        <f>IF(AND($E234=TRUE,$C234="DEF"),AD234,"")</f>
        <v/>
      </c>
      <c r="AI234">
        <f>IF(AND($E234=TRUE,$C234="MID"),AD234,"")</f>
        <v/>
      </c>
      <c r="AJ234">
        <f>IF(AND($E234=TRUE,$C234="FWD"),AD234,"")</f>
        <v/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b">
        <v>1</v>
      </c>
      <c r="F235" s="2" t="n">
        <v>7</v>
      </c>
      <c r="G235" t="inlineStr">
        <is>
          <t>a</t>
        </is>
      </c>
      <c r="I235" s="2" t="n">
        <v>691</v>
      </c>
      <c r="J235" t="n">
        <v>56</v>
      </c>
      <c r="K235" s="3" t="n">
        <v>349</v>
      </c>
      <c r="L235" t="inlineStr">
        <is>
          <t>flat</t>
        </is>
      </c>
      <c r="M235" s="4" t="n">
        <v>691</v>
      </c>
      <c r="N235" s="4" t="n">
        <v>0.421</v>
      </c>
      <c r="O235" s="3" t="n">
        <v>0.3489</v>
      </c>
      <c r="P235" t="inlineStr">
        <is>
          <t>adjusted xGOT</t>
        </is>
      </c>
      <c r="Q235" s="3" t="n">
        <v>0.964</v>
      </c>
      <c r="R235" s="3" t="n">
        <v>8.199999999999999</v>
      </c>
      <c r="S235" s="3" t="n">
        <v>0.1887</v>
      </c>
      <c r="T235" s="3" t="n">
        <v>0</v>
      </c>
      <c r="U235" s="3" t="n">
        <v>0.6512</v>
      </c>
      <c r="V235" s="3" t="n">
        <v>3.386</v>
      </c>
      <c r="W235" s="3">
        <f>IF(V235="",IFERROR(VLOOKUP($C235,Assumptions!$A$4:$F$7,6,FALSE),0),V235)</f>
        <v/>
      </c>
      <c r="X235" s="3">
        <f>N(O235)*IFERROR(VLOOKUP($C235,Assumptions!$A$4:$F$7,2,FALSE),0)</f>
        <v/>
      </c>
      <c r="Y235" s="3">
        <f>N(S235)*IFERROR(VLOOKUP($C235,Assumptions!$A$4:$F$7,3,FALSE),0)*Assumptions!$B$11</f>
        <v/>
      </c>
      <c r="Z235" s="3">
        <f>N(N235)*IFERROR(VLOOKUP($C235,Assumptions!$A$4:$F$7,4,FALSE),0)</f>
        <v/>
      </c>
      <c r="AA235" s="3">
        <f>N(T235)*IFERROR(VLOOKUP($C235,Assumptions!$A$4:$F$7,5,FALSE),0)</f>
        <v/>
      </c>
      <c r="AB235" s="3">
        <f>N(U235)</f>
        <v/>
      </c>
      <c r="AC235" s="3">
        <f>SUM(W235:AB235)</f>
        <v/>
      </c>
      <c r="AD235" s="3">
        <f>N(AC235)*N(M235)/90</f>
        <v/>
      </c>
      <c r="AE235" s="3">
        <f>IFERROR(AD235-VLOOKUP($C235,Assumptions!$A$29:$C$32,3,FALSE),"")</f>
        <v/>
      </c>
      <c r="AF235" s="3">
        <f>IFERROR(AE235/F235,"")</f>
        <v/>
      </c>
      <c r="AG235">
        <f>IF(AND($E235=TRUE,$C235="GKP"),AD235,"")</f>
        <v/>
      </c>
      <c r="AH235">
        <f>IF(AND($E235=TRUE,$C235="DEF"),AD235,"")</f>
        <v/>
      </c>
      <c r="AI235">
        <f>IF(AND($E235=TRUE,$C235="MID"),AD235,"")</f>
        <v/>
      </c>
      <c r="AJ235">
        <f>IF(AND($E235=TRUE,$C235="FWD"),AD235,"")</f>
        <v/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b">
        <v>1</v>
      </c>
      <c r="F236" s="2" t="n">
        <v>6</v>
      </c>
      <c r="G236" t="inlineStr">
        <is>
          <t>a</t>
        </is>
      </c>
      <c r="I236" s="2" t="n">
        <v>1261</v>
      </c>
      <c r="J236" t="n">
        <v>56</v>
      </c>
      <c r="K236" s="3" t="n">
        <v>1949</v>
      </c>
      <c r="L236" t="inlineStr">
        <is>
          <t>flat</t>
        </is>
      </c>
      <c r="M236" s="4" t="n">
        <v>1261</v>
      </c>
      <c r="N236" s="4" t="n">
        <v>0.237</v>
      </c>
      <c r="O236" s="3" t="n">
        <v>0.2183</v>
      </c>
      <c r="P236" t="inlineStr">
        <is>
          <t>adjusted xGOT</t>
        </is>
      </c>
      <c r="Q236" s="3" t="n">
        <v>0.889</v>
      </c>
      <c r="R236" s="3" t="n">
        <v>22</v>
      </c>
      <c r="S236" s="3" t="n">
        <v>0.2819</v>
      </c>
      <c r="T236" s="3" t="n">
        <v>0</v>
      </c>
      <c r="U236" s="3" t="n">
        <v>0.2141</v>
      </c>
      <c r="V236" s="3" t="n">
        <v>2.427</v>
      </c>
      <c r="W236" s="3">
        <f>IF(V236="",IFERROR(VLOOKUP($C236,Assumptions!$A$4:$F$7,6,FALSE),0),V236)</f>
        <v/>
      </c>
      <c r="X236" s="3">
        <f>N(O236)*IFERROR(VLOOKUP($C236,Assumptions!$A$4:$F$7,2,FALSE),0)</f>
        <v/>
      </c>
      <c r="Y236" s="3">
        <f>N(S236)*IFERROR(VLOOKUP($C236,Assumptions!$A$4:$F$7,3,FALSE),0)*Assumptions!$B$11</f>
        <v/>
      </c>
      <c r="Z236" s="3">
        <f>N(N236)*IFERROR(VLOOKUP($C236,Assumptions!$A$4:$F$7,4,FALSE),0)</f>
        <v/>
      </c>
      <c r="AA236" s="3">
        <f>N(T236)*IFERROR(VLOOKUP($C236,Assumptions!$A$4:$F$7,5,FALSE),0)</f>
        <v/>
      </c>
      <c r="AB236" s="3">
        <f>N(U236)</f>
        <v/>
      </c>
      <c r="AC236" s="3">
        <f>SUM(W236:AB236)</f>
        <v/>
      </c>
      <c r="AD236" s="3">
        <f>N(AC236)*N(M236)/90</f>
        <v/>
      </c>
      <c r="AE236" s="3">
        <f>IFERROR(AD236-VLOOKUP($C236,Assumptions!$A$29:$C$32,3,FALSE),"")</f>
        <v/>
      </c>
      <c r="AF236" s="3">
        <f>IFERROR(AE236/F236,"")</f>
        <v/>
      </c>
      <c r="AG236">
        <f>IF(AND($E236=TRUE,$C236="GKP"),AD236,"")</f>
        <v/>
      </c>
      <c r="AH236">
        <f>IF(AND($E236=TRUE,$C236="DEF"),AD236,"")</f>
        <v/>
      </c>
      <c r="AI236">
        <f>IF(AND($E236=TRUE,$C236="MID"),AD236,"")</f>
        <v/>
      </c>
      <c r="AJ236">
        <f>IF(AND($E236=TRUE,$C236="FWD"),AD236,"")</f>
        <v/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b">
        <v>1</v>
      </c>
      <c r="F237" s="2" t="n">
        <v>5</v>
      </c>
      <c r="G237" t="inlineStr">
        <is>
          <t>a</t>
        </is>
      </c>
      <c r="I237" s="2" t="n">
        <v>844</v>
      </c>
      <c r="J237" t="n">
        <v>56</v>
      </c>
      <c r="K237" s="3" t="n">
        <v>670</v>
      </c>
      <c r="L237" t="inlineStr">
        <is>
          <t>fade (losing his place)</t>
        </is>
      </c>
      <c r="M237" s="4" t="n">
        <v>844</v>
      </c>
      <c r="N237" s="4" t="n">
        <v>0.237</v>
      </c>
      <c r="O237" s="3" t="n">
        <v>0.183</v>
      </c>
      <c r="P237" t="inlineStr">
        <is>
          <t>adjusted xGOT</t>
        </is>
      </c>
      <c r="Q237" s="3" t="n">
        <v>1.086</v>
      </c>
      <c r="R237" s="3" t="n">
        <v>7.3</v>
      </c>
      <c r="S237" s="3" t="n">
        <v>0.1755</v>
      </c>
      <c r="T237" s="3" t="n">
        <v>0.143</v>
      </c>
      <c r="U237" s="3" t="n">
        <v>0.5332</v>
      </c>
      <c r="V237" s="3" t="n">
        <v>2.986</v>
      </c>
      <c r="W237" s="3">
        <f>IF(V237="",IFERROR(VLOOKUP($C237,Assumptions!$A$4:$F$7,6,FALSE),0),V237)</f>
        <v/>
      </c>
      <c r="X237" s="3">
        <f>N(O237)*IFERROR(VLOOKUP($C237,Assumptions!$A$4:$F$7,2,FALSE),0)</f>
        <v/>
      </c>
      <c r="Y237" s="3">
        <f>N(S237)*IFERROR(VLOOKUP($C237,Assumptions!$A$4:$F$7,3,FALSE),0)*Assumptions!$B$11</f>
        <v/>
      </c>
      <c r="Z237" s="3">
        <f>N(N237)*IFERROR(VLOOKUP($C237,Assumptions!$A$4:$F$7,4,FALSE),0)</f>
        <v/>
      </c>
      <c r="AA237" s="3">
        <f>N(T237)*IFERROR(VLOOKUP($C237,Assumptions!$A$4:$F$7,5,FALSE),0)</f>
        <v/>
      </c>
      <c r="AB237" s="3">
        <f>N(U237)</f>
        <v/>
      </c>
      <c r="AC237" s="3">
        <f>SUM(W237:AB237)</f>
        <v/>
      </c>
      <c r="AD237" s="3">
        <f>N(AC237)*N(M237)/90</f>
        <v/>
      </c>
      <c r="AE237" s="3">
        <f>IFERROR(AD237-VLOOKUP($C237,Assumptions!$A$29:$C$32,3,FALSE),"")</f>
        <v/>
      </c>
      <c r="AF237" s="3">
        <f>IFERROR(AE237/F237,"")</f>
        <v/>
      </c>
      <c r="AG237">
        <f>IF(AND($E237=TRUE,$C237="GKP"),AD237,"")</f>
        <v/>
      </c>
      <c r="AH237">
        <f>IF(AND($E237=TRUE,$C237="DEF"),AD237,"")</f>
        <v/>
      </c>
      <c r="AI237">
        <f>IF(AND($E237=TRUE,$C237="MID"),AD237,"")</f>
        <v/>
      </c>
      <c r="AJ237">
        <f>IF(AND($E237=TRUE,$C237="FWD"),AD237,"")</f>
        <v/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b">
        <v>1</v>
      </c>
      <c r="F238" s="2" t="n">
        <v>5</v>
      </c>
      <c r="G238" t="inlineStr">
        <is>
          <t>a</t>
        </is>
      </c>
      <c r="I238" s="2" t="n">
        <v>1318</v>
      </c>
      <c r="J238" t="n">
        <v>56</v>
      </c>
      <c r="K238" s="3" t="n">
        <v>502</v>
      </c>
      <c r="L238" t="inlineStr">
        <is>
          <t>flat</t>
        </is>
      </c>
      <c r="M238" s="4" t="n">
        <v>1318</v>
      </c>
      <c r="N238" s="4" t="n">
        <v>0.21</v>
      </c>
      <c r="O238" s="3" t="n">
        <v>0.0323</v>
      </c>
      <c r="P238" t="inlineStr">
        <is>
          <t>adjusted xGOT</t>
        </is>
      </c>
      <c r="Q238" s="3" t="n">
        <v>0.966</v>
      </c>
      <c r="R238" s="3" t="n">
        <v>0.5</v>
      </c>
      <c r="S238" s="3" t="n">
        <v>0.0804</v>
      </c>
      <c r="T238" s="3" t="n">
        <v>0.067</v>
      </c>
      <c r="U238" s="3" t="n">
        <v>0.2049</v>
      </c>
      <c r="V238" s="3" t="n">
        <v>2.527</v>
      </c>
      <c r="W238" s="3">
        <f>IF(V238="",IFERROR(VLOOKUP($C238,Assumptions!$A$4:$F$7,6,FALSE),0),V238)</f>
        <v/>
      </c>
      <c r="X238" s="3">
        <f>N(O238)*IFERROR(VLOOKUP($C238,Assumptions!$A$4:$F$7,2,FALSE),0)</f>
        <v/>
      </c>
      <c r="Y238" s="3">
        <f>N(S238)*IFERROR(VLOOKUP($C238,Assumptions!$A$4:$F$7,3,FALSE),0)*Assumptions!$B$11</f>
        <v/>
      </c>
      <c r="Z238" s="3">
        <f>N(N238)*IFERROR(VLOOKUP($C238,Assumptions!$A$4:$F$7,4,FALSE),0)</f>
        <v/>
      </c>
      <c r="AA238" s="3">
        <f>N(T238)*IFERROR(VLOOKUP($C238,Assumptions!$A$4:$F$7,5,FALSE),0)</f>
        <v/>
      </c>
      <c r="AB238" s="3">
        <f>N(U238)</f>
        <v/>
      </c>
      <c r="AC238" s="3">
        <f>SUM(W238:AB238)</f>
        <v/>
      </c>
      <c r="AD238" s="3">
        <f>N(AC238)*N(M238)/90</f>
        <v/>
      </c>
      <c r="AE238" s="3">
        <f>IFERROR(AD238-VLOOKUP($C238,Assumptions!$A$29:$C$32,3,FALSE),"")</f>
        <v/>
      </c>
      <c r="AF238" s="3">
        <f>IFERROR(AE238/F238,"")</f>
        <v/>
      </c>
      <c r="AG238">
        <f>IF(AND($E238=TRUE,$C238="GKP"),AD238,"")</f>
        <v/>
      </c>
      <c r="AH238">
        <f>IF(AND($E238=TRUE,$C238="DEF"),AD238,"")</f>
        <v/>
      </c>
      <c r="AI238">
        <f>IF(AND($E238=TRUE,$C238="MID"),AD238,"")</f>
        <v/>
      </c>
      <c r="AJ238">
        <f>IF(AND($E238=TRUE,$C238="FWD"),AD238,"")</f>
        <v/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b">
        <v>1</v>
      </c>
      <c r="F239" s="2" t="n">
        <v>4.5</v>
      </c>
      <c r="G239" t="inlineStr">
        <is>
          <t>a</t>
        </is>
      </c>
      <c r="I239" s="2" t="n">
        <v>1165</v>
      </c>
      <c r="J239" t="n">
        <v>55</v>
      </c>
      <c r="K239" s="3" t="n">
        <v>718</v>
      </c>
      <c r="L239" t="inlineStr">
        <is>
          <t>flat</t>
        </is>
      </c>
      <c r="M239" s="4" t="n">
        <v>1165</v>
      </c>
      <c r="N239" s="4" t="n">
        <v>0.237</v>
      </c>
      <c r="O239" s="3" t="n">
        <v>0.0814</v>
      </c>
      <c r="P239" t="inlineStr">
        <is>
          <t>adjusted xGOT</t>
        </is>
      </c>
      <c r="Q239" s="3" t="n">
        <v>0.958</v>
      </c>
      <c r="R239" s="3" t="n">
        <v>5.4</v>
      </c>
      <c r="S239" s="3" t="n">
        <v>0.1124</v>
      </c>
      <c r="T239" s="3" t="n">
        <v>0</v>
      </c>
      <c r="U239" s="3" t="n">
        <v>0.309</v>
      </c>
      <c r="V239" s="3" t="n">
        <v>2.549</v>
      </c>
      <c r="W239" s="3">
        <f>IF(V239="",IFERROR(VLOOKUP($C239,Assumptions!$A$4:$F$7,6,FALSE),0),V239)</f>
        <v/>
      </c>
      <c r="X239" s="3">
        <f>N(O239)*IFERROR(VLOOKUP($C239,Assumptions!$A$4:$F$7,2,FALSE),0)</f>
        <v/>
      </c>
      <c r="Y239" s="3">
        <f>N(S239)*IFERROR(VLOOKUP($C239,Assumptions!$A$4:$F$7,3,FALSE),0)*Assumptions!$B$11</f>
        <v/>
      </c>
      <c r="Z239" s="3">
        <f>N(N239)*IFERROR(VLOOKUP($C239,Assumptions!$A$4:$F$7,4,FALSE),0)</f>
        <v/>
      </c>
      <c r="AA239" s="3">
        <f>N(T239)*IFERROR(VLOOKUP($C239,Assumptions!$A$4:$F$7,5,FALSE),0)</f>
        <v/>
      </c>
      <c r="AB239" s="3">
        <f>N(U239)</f>
        <v/>
      </c>
      <c r="AC239" s="3">
        <f>SUM(W239:AB239)</f>
        <v/>
      </c>
      <c r="AD239" s="3">
        <f>N(AC239)*N(M239)/90</f>
        <v/>
      </c>
      <c r="AE239" s="3">
        <f>IFERROR(AD239-VLOOKUP($C239,Assumptions!$A$29:$C$32,3,FALSE),"")</f>
        <v/>
      </c>
      <c r="AF239" s="3">
        <f>IFERROR(AE239/F239,"")</f>
        <v/>
      </c>
      <c r="AG239">
        <f>IF(AND($E239=TRUE,$C239="GKP"),AD239,"")</f>
        <v/>
      </c>
      <c r="AH239">
        <f>IF(AND($E239=TRUE,$C239="DEF"),AD239,"")</f>
        <v/>
      </c>
      <c r="AI239">
        <f>IF(AND($E239=TRUE,$C239="MID"),AD239,"")</f>
        <v/>
      </c>
      <c r="AJ239">
        <f>IF(AND($E239=TRUE,$C239="FWD"),AD239,"")</f>
        <v/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b">
        <v>1</v>
      </c>
      <c r="F240" s="2" t="n">
        <v>4.5</v>
      </c>
      <c r="G240" t="inlineStr">
        <is>
          <t>a</t>
        </is>
      </c>
      <c r="I240" s="2" t="n">
        <v>1590</v>
      </c>
      <c r="J240" t="n">
        <v>54</v>
      </c>
      <c r="K240" s="3" t="n">
        <v>3004</v>
      </c>
      <c r="L240" t="inlineStr">
        <is>
          <t>flat</t>
        </is>
      </c>
      <c r="M240" s="4" t="n">
        <v>1590</v>
      </c>
      <c r="N240" s="4" t="n">
        <v>0.237</v>
      </c>
      <c r="O240" s="3" t="n">
        <v>0.0643</v>
      </c>
      <c r="P240" t="inlineStr">
        <is>
          <t>adjusted xGOT</t>
        </is>
      </c>
      <c r="Q240" s="3" t="n">
        <v>0.902</v>
      </c>
      <c r="R240" s="3" t="n">
        <v>2.9</v>
      </c>
      <c r="S240" s="3" t="n">
        <v>0.1516</v>
      </c>
      <c r="T240" s="3" t="n">
        <v>0.118</v>
      </c>
      <c r="U240" s="3" t="n">
        <v>0.0566</v>
      </c>
      <c r="V240" s="3" t="n">
        <v>2.66</v>
      </c>
      <c r="W240" s="3">
        <f>IF(V240="",IFERROR(VLOOKUP($C240,Assumptions!$A$4:$F$7,6,FALSE),0),V240)</f>
        <v/>
      </c>
      <c r="X240" s="3">
        <f>N(O240)*IFERROR(VLOOKUP($C240,Assumptions!$A$4:$F$7,2,FALSE),0)</f>
        <v/>
      </c>
      <c r="Y240" s="3">
        <f>N(S240)*IFERROR(VLOOKUP($C240,Assumptions!$A$4:$F$7,3,FALSE),0)*Assumptions!$B$11</f>
        <v/>
      </c>
      <c r="Z240" s="3">
        <f>N(N240)*IFERROR(VLOOKUP($C240,Assumptions!$A$4:$F$7,4,FALSE),0)</f>
        <v/>
      </c>
      <c r="AA240" s="3">
        <f>N(T240)*IFERROR(VLOOKUP($C240,Assumptions!$A$4:$F$7,5,FALSE),0)</f>
        <v/>
      </c>
      <c r="AB240" s="3">
        <f>N(U240)</f>
        <v/>
      </c>
      <c r="AC240" s="3">
        <f>SUM(W240:AB240)</f>
        <v/>
      </c>
      <c r="AD240" s="3">
        <f>N(AC240)*N(M240)/90</f>
        <v/>
      </c>
      <c r="AE240" s="3">
        <f>IFERROR(AD240-VLOOKUP($C240,Assumptions!$A$29:$C$32,3,FALSE),"")</f>
        <v/>
      </c>
      <c r="AF240" s="3">
        <f>IFERROR(AE240/F240,"")</f>
        <v/>
      </c>
      <c r="AG240">
        <f>IF(AND($E240=TRUE,$C240="GKP"),AD240,"")</f>
        <v/>
      </c>
      <c r="AH240">
        <f>IF(AND($E240=TRUE,$C240="DEF"),AD240,"")</f>
        <v/>
      </c>
      <c r="AI240">
        <f>IF(AND($E240=TRUE,$C240="MID"),AD240,"")</f>
        <v/>
      </c>
      <c r="AJ240">
        <f>IF(AND($E240=TRUE,$C240="FWD"),AD240,"")</f>
        <v/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b">
        <v>1</v>
      </c>
      <c r="F241" s="2" t="n">
        <v>5.5</v>
      </c>
      <c r="G241" t="inlineStr">
        <is>
          <t>a</t>
        </is>
      </c>
      <c r="I241" s="2" t="n">
        <v>1161</v>
      </c>
      <c r="J241" t="n">
        <v>53</v>
      </c>
      <c r="K241" s="3" t="n">
        <v>445</v>
      </c>
      <c r="L241" t="inlineStr">
        <is>
          <t>flat</t>
        </is>
      </c>
      <c r="M241" s="4" t="n">
        <v>1161</v>
      </c>
      <c r="N241" s="4" t="n">
        <v>0.316</v>
      </c>
      <c r="O241" s="3" t="n">
        <v>0.1112</v>
      </c>
      <c r="P241" t="inlineStr">
        <is>
          <t>adjusted xGOT</t>
        </is>
      </c>
      <c r="Q241" s="3" t="n">
        <v>1.047</v>
      </c>
      <c r="R241" s="3" t="n">
        <v>9.199999999999999</v>
      </c>
      <c r="S241" s="3" t="n">
        <v>0.1414</v>
      </c>
      <c r="T241" s="3" t="n">
        <v>0.143</v>
      </c>
      <c r="U241" s="3" t="n">
        <v>0.0775</v>
      </c>
      <c r="V241" s="3" t="n">
        <v>2.636</v>
      </c>
      <c r="W241" s="3">
        <f>IF(V241="",IFERROR(VLOOKUP($C241,Assumptions!$A$4:$F$7,6,FALSE),0),V241)</f>
        <v/>
      </c>
      <c r="X241" s="3">
        <f>N(O241)*IFERROR(VLOOKUP($C241,Assumptions!$A$4:$F$7,2,FALSE),0)</f>
        <v/>
      </c>
      <c r="Y241" s="3">
        <f>N(S241)*IFERROR(VLOOKUP($C241,Assumptions!$A$4:$F$7,3,FALSE),0)*Assumptions!$B$11</f>
        <v/>
      </c>
      <c r="Z241" s="3">
        <f>N(N241)*IFERROR(VLOOKUP($C241,Assumptions!$A$4:$F$7,4,FALSE),0)</f>
        <v/>
      </c>
      <c r="AA241" s="3">
        <f>N(T241)*IFERROR(VLOOKUP($C241,Assumptions!$A$4:$F$7,5,FALSE),0)</f>
        <v/>
      </c>
      <c r="AB241" s="3">
        <f>N(U241)</f>
        <v/>
      </c>
      <c r="AC241" s="3">
        <f>SUM(W241:AB241)</f>
        <v/>
      </c>
      <c r="AD241" s="3">
        <f>N(AC241)*N(M241)/90</f>
        <v/>
      </c>
      <c r="AE241" s="3">
        <f>IFERROR(AD241-VLOOKUP($C241,Assumptions!$A$29:$C$32,3,FALSE),"")</f>
        <v/>
      </c>
      <c r="AF241" s="3">
        <f>IFERROR(AE241/F241,"")</f>
        <v/>
      </c>
      <c r="AG241">
        <f>IF(AND($E241=TRUE,$C241="GKP"),AD241,"")</f>
        <v/>
      </c>
      <c r="AH241">
        <f>IF(AND($E241=TRUE,$C241="DEF"),AD241,"")</f>
        <v/>
      </c>
      <c r="AI241">
        <f>IF(AND($E241=TRUE,$C241="MID"),AD241,"")</f>
        <v/>
      </c>
      <c r="AJ241">
        <f>IF(AND($E241=TRUE,$C241="FWD"),AD241,"")</f>
        <v/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b">
        <v>1</v>
      </c>
      <c r="F242" s="2" t="n">
        <v>5</v>
      </c>
      <c r="G242" t="inlineStr">
        <is>
          <t>a</t>
        </is>
      </c>
      <c r="I242" s="2" t="n">
        <v>1340</v>
      </c>
      <c r="J242" t="n">
        <v>53</v>
      </c>
      <c r="K242" s="3" t="n">
        <v>386</v>
      </c>
      <c r="L242" t="inlineStr">
        <is>
          <t>flat</t>
        </is>
      </c>
      <c r="M242" s="4" t="n">
        <v>1340</v>
      </c>
      <c r="N242" s="4" t="n">
        <v>0.237</v>
      </c>
      <c r="O242" s="3" t="n">
        <v>0.0905</v>
      </c>
      <c r="P242" t="inlineStr">
        <is>
          <t>adjusted xGOT</t>
        </is>
      </c>
      <c r="Q242" s="3" t="n">
        <v>1.021</v>
      </c>
      <c r="R242" s="3" t="n">
        <v>1.5</v>
      </c>
      <c r="S242" s="3" t="n">
        <v>0.008200000000000001</v>
      </c>
      <c r="T242" s="3" t="n">
        <v>0.5</v>
      </c>
      <c r="U242" s="3" t="n">
        <v>0.0672</v>
      </c>
      <c r="V242" s="3" t="n">
        <v>2.351</v>
      </c>
      <c r="W242" s="3">
        <f>IF(V242="",IFERROR(VLOOKUP($C242,Assumptions!$A$4:$F$7,6,FALSE),0),V242)</f>
        <v/>
      </c>
      <c r="X242" s="3">
        <f>N(O242)*IFERROR(VLOOKUP($C242,Assumptions!$A$4:$F$7,2,FALSE),0)</f>
        <v/>
      </c>
      <c r="Y242" s="3">
        <f>N(S242)*IFERROR(VLOOKUP($C242,Assumptions!$A$4:$F$7,3,FALSE),0)*Assumptions!$B$11</f>
        <v/>
      </c>
      <c r="Z242" s="3">
        <f>N(N242)*IFERROR(VLOOKUP($C242,Assumptions!$A$4:$F$7,4,FALSE),0)</f>
        <v/>
      </c>
      <c r="AA242" s="3">
        <f>N(T242)*IFERROR(VLOOKUP($C242,Assumptions!$A$4:$F$7,5,FALSE),0)</f>
        <v/>
      </c>
      <c r="AB242" s="3">
        <f>N(U242)</f>
        <v/>
      </c>
      <c r="AC242" s="3">
        <f>SUM(W242:AB242)</f>
        <v/>
      </c>
      <c r="AD242" s="3">
        <f>N(AC242)*N(M242)/90</f>
        <v/>
      </c>
      <c r="AE242" s="3">
        <f>IFERROR(AD242-VLOOKUP($C242,Assumptions!$A$29:$C$32,3,FALSE),"")</f>
        <v/>
      </c>
      <c r="AF242" s="3">
        <f>IFERROR(AE242/F242,"")</f>
        <v/>
      </c>
      <c r="AG242">
        <f>IF(AND($E242=TRUE,$C242="GKP"),AD242,"")</f>
        <v/>
      </c>
      <c r="AH242">
        <f>IF(AND($E242=TRUE,$C242="DEF"),AD242,"")</f>
        <v/>
      </c>
      <c r="AI242">
        <f>IF(AND($E242=TRUE,$C242="MID"),AD242,"")</f>
        <v/>
      </c>
      <c r="AJ242">
        <f>IF(AND($E242=TRUE,$C242="FWD"),AD242,"")</f>
        <v/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b">
        <v>1</v>
      </c>
      <c r="F243" s="2" t="n">
        <v>4.5</v>
      </c>
      <c r="G243" t="inlineStr">
        <is>
          <t>a</t>
        </is>
      </c>
      <c r="I243" s="2" t="n">
        <v>977</v>
      </c>
      <c r="J243" t="n">
        <v>53</v>
      </c>
      <c r="K243" s="3" t="n">
        <v>808</v>
      </c>
      <c r="L243" t="inlineStr">
        <is>
          <t>flat</t>
        </is>
      </c>
      <c r="M243" s="4" t="n">
        <v>977</v>
      </c>
      <c r="N243" s="4" t="n">
        <v>0.21</v>
      </c>
      <c r="O243" s="3" t="n">
        <v>0.0164</v>
      </c>
      <c r="P243" t="inlineStr">
        <is>
          <t>adjusted xGOT</t>
        </is>
      </c>
      <c r="Q243" s="3" t="n">
        <v>0.9350000000000001</v>
      </c>
      <c r="R243" s="3" t="n">
        <v>0.9</v>
      </c>
      <c r="S243" s="3" t="n">
        <v>0.0258</v>
      </c>
      <c r="T243" s="3" t="n">
        <v>0.091</v>
      </c>
      <c r="U243" s="3" t="n">
        <v>0.5527</v>
      </c>
      <c r="V243" s="3" t="n">
        <v>2.764</v>
      </c>
      <c r="W243" s="3">
        <f>IF(V243="",IFERROR(VLOOKUP($C243,Assumptions!$A$4:$F$7,6,FALSE),0),V243)</f>
        <v/>
      </c>
      <c r="X243" s="3">
        <f>N(O243)*IFERROR(VLOOKUP($C243,Assumptions!$A$4:$F$7,2,FALSE),0)</f>
        <v/>
      </c>
      <c r="Y243" s="3">
        <f>N(S243)*IFERROR(VLOOKUP($C243,Assumptions!$A$4:$F$7,3,FALSE),0)*Assumptions!$B$11</f>
        <v/>
      </c>
      <c r="Z243" s="3">
        <f>N(N243)*IFERROR(VLOOKUP($C243,Assumptions!$A$4:$F$7,4,FALSE),0)</f>
        <v/>
      </c>
      <c r="AA243" s="3">
        <f>N(T243)*IFERROR(VLOOKUP($C243,Assumptions!$A$4:$F$7,5,FALSE),0)</f>
        <v/>
      </c>
      <c r="AB243" s="3">
        <f>N(U243)</f>
        <v/>
      </c>
      <c r="AC243" s="3">
        <f>SUM(W243:AB243)</f>
        <v/>
      </c>
      <c r="AD243" s="3">
        <f>N(AC243)*N(M243)/90</f>
        <v/>
      </c>
      <c r="AE243" s="3">
        <f>IFERROR(AD243-VLOOKUP($C243,Assumptions!$A$29:$C$32,3,FALSE),"")</f>
        <v/>
      </c>
      <c r="AF243" s="3">
        <f>IFERROR(AE243/F243,"")</f>
        <v/>
      </c>
      <c r="AG243">
        <f>IF(AND($E243=TRUE,$C243="GKP"),AD243,"")</f>
        <v/>
      </c>
      <c r="AH243">
        <f>IF(AND($E243=TRUE,$C243="DEF"),AD243,"")</f>
        <v/>
      </c>
      <c r="AI243">
        <f>IF(AND($E243=TRUE,$C243="MID"),AD243,"")</f>
        <v/>
      </c>
      <c r="AJ243">
        <f>IF(AND($E243=TRUE,$C243="FWD"),AD243,"")</f>
        <v/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b">
        <v>1</v>
      </c>
      <c r="F244" s="2" t="n">
        <v>4.5</v>
      </c>
      <c r="G244" t="inlineStr">
        <is>
          <t>a</t>
        </is>
      </c>
      <c r="I244" s="2" t="n">
        <v>1322</v>
      </c>
      <c r="J244" t="n">
        <v>52</v>
      </c>
      <c r="K244" s="3" t="n">
        <v>1236</v>
      </c>
      <c r="L244" t="inlineStr">
        <is>
          <t>flat</t>
        </is>
      </c>
      <c r="M244" s="4" t="n">
        <v>1322</v>
      </c>
      <c r="N244" s="4" t="n">
        <v>0.263</v>
      </c>
      <c r="O244" s="3" t="n">
        <v>0.011</v>
      </c>
      <c r="P244" t="inlineStr">
        <is>
          <t>adjusted xGOT</t>
        </is>
      </c>
      <c r="Q244" s="3" t="n">
        <v>0.896</v>
      </c>
      <c r="R244" s="3" t="n">
        <v>2</v>
      </c>
      <c r="S244" s="3" t="n">
        <v>0.0291</v>
      </c>
      <c r="T244" s="3" t="n">
        <v>0</v>
      </c>
      <c r="U244" s="3" t="n">
        <v>0</v>
      </c>
      <c r="V244" s="3" t="n">
        <v>2.587</v>
      </c>
      <c r="W244" s="3">
        <f>IF(V244="",IFERROR(VLOOKUP($C244,Assumptions!$A$4:$F$7,6,FALSE),0),V244)</f>
        <v/>
      </c>
      <c r="X244" s="3">
        <f>N(O244)*IFERROR(VLOOKUP($C244,Assumptions!$A$4:$F$7,2,FALSE),0)</f>
        <v/>
      </c>
      <c r="Y244" s="3">
        <f>N(S244)*IFERROR(VLOOKUP($C244,Assumptions!$A$4:$F$7,3,FALSE),0)*Assumptions!$B$11</f>
        <v/>
      </c>
      <c r="Z244" s="3">
        <f>N(N244)*IFERROR(VLOOKUP($C244,Assumptions!$A$4:$F$7,4,FALSE),0)</f>
        <v/>
      </c>
      <c r="AA244" s="3">
        <f>N(T244)*IFERROR(VLOOKUP($C244,Assumptions!$A$4:$F$7,5,FALSE),0)</f>
        <v/>
      </c>
      <c r="AB244" s="3">
        <f>N(U244)</f>
        <v/>
      </c>
      <c r="AC244" s="3">
        <f>SUM(W244:AB244)</f>
        <v/>
      </c>
      <c r="AD244" s="3">
        <f>N(AC244)*N(M244)/90</f>
        <v/>
      </c>
      <c r="AE244" s="3">
        <f>IFERROR(AD244-VLOOKUP($C244,Assumptions!$A$29:$C$32,3,FALSE),"")</f>
        <v/>
      </c>
      <c r="AF244" s="3">
        <f>IFERROR(AE244/F244,"")</f>
        <v/>
      </c>
      <c r="AG244">
        <f>IF(AND($E244=TRUE,$C244="GKP"),AD244,"")</f>
        <v/>
      </c>
      <c r="AH244">
        <f>IF(AND($E244=TRUE,$C244="DEF"),AD244,"")</f>
        <v/>
      </c>
      <c r="AI244">
        <f>IF(AND($E244=TRUE,$C244="MID"),AD244,"")</f>
        <v/>
      </c>
      <c r="AJ244">
        <f>IF(AND($E244=TRUE,$C244="FWD"),AD244,"")</f>
        <v/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b">
        <v>1</v>
      </c>
      <c r="F245" s="2" t="n">
        <v>5</v>
      </c>
      <c r="G245" t="inlineStr">
        <is>
          <t>d</t>
        </is>
      </c>
      <c r="H245" t="inlineStr">
        <is>
          <t>Thigh injury - 75% chance of playing</t>
        </is>
      </c>
      <c r="I245" s="2" t="n">
        <v>1229</v>
      </c>
      <c r="J245" t="n">
        <v>51</v>
      </c>
      <c r="K245" s="3" t="n">
        <v>3089</v>
      </c>
      <c r="L245" t="inlineStr">
        <is>
          <t>flat</t>
        </is>
      </c>
      <c r="M245" s="4" t="n">
        <v>1229</v>
      </c>
      <c r="N245" s="4" t="n">
        <v>0.21</v>
      </c>
      <c r="O245" s="3" t="n">
        <v>0.01</v>
      </c>
      <c r="P245" t="inlineStr">
        <is>
          <t>adjusted xGOT</t>
        </is>
      </c>
      <c r="Q245" s="3" t="n">
        <v>0.916</v>
      </c>
      <c r="R245" s="3" t="n">
        <v>1.9</v>
      </c>
      <c r="S245" s="3" t="n">
        <v>0.039</v>
      </c>
      <c r="T245" s="3" t="n">
        <v>0.308</v>
      </c>
      <c r="U245" s="3" t="n">
        <v>0.1465</v>
      </c>
      <c r="V245" s="3" t="n">
        <v>2.197</v>
      </c>
      <c r="W245" s="3">
        <f>IF(V245="",IFERROR(VLOOKUP($C245,Assumptions!$A$4:$F$7,6,FALSE),0),V245)</f>
        <v/>
      </c>
      <c r="X245" s="3">
        <f>N(O245)*IFERROR(VLOOKUP($C245,Assumptions!$A$4:$F$7,2,FALSE),0)</f>
        <v/>
      </c>
      <c r="Y245" s="3">
        <f>N(S245)*IFERROR(VLOOKUP($C245,Assumptions!$A$4:$F$7,3,FALSE),0)*Assumptions!$B$11</f>
        <v/>
      </c>
      <c r="Z245" s="3">
        <f>N(N245)*IFERROR(VLOOKUP($C245,Assumptions!$A$4:$F$7,4,FALSE),0)</f>
        <v/>
      </c>
      <c r="AA245" s="3">
        <f>N(T245)*IFERROR(VLOOKUP($C245,Assumptions!$A$4:$F$7,5,FALSE),0)</f>
        <v/>
      </c>
      <c r="AB245" s="3">
        <f>N(U245)</f>
        <v/>
      </c>
      <c r="AC245" s="3">
        <f>SUM(W245:AB245)</f>
        <v/>
      </c>
      <c r="AD245" s="3">
        <f>N(AC245)*N(M245)/90</f>
        <v/>
      </c>
      <c r="AE245" s="3">
        <f>IFERROR(AD245-VLOOKUP($C245,Assumptions!$A$29:$C$32,3,FALSE),"")</f>
        <v/>
      </c>
      <c r="AF245" s="3">
        <f>IFERROR(AE245/F245,"")</f>
        <v/>
      </c>
      <c r="AG245">
        <f>IF(AND($E245=TRUE,$C245="GKP"),AD245,"")</f>
        <v/>
      </c>
      <c r="AH245">
        <f>IF(AND($E245=TRUE,$C245="DEF"),AD245,"")</f>
        <v/>
      </c>
      <c r="AI245">
        <f>IF(AND($E245=TRUE,$C245="MID"),AD245,"")</f>
        <v/>
      </c>
      <c r="AJ245">
        <f>IF(AND($E245=TRUE,$C245="FWD"),AD245,"")</f>
        <v/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b">
        <v>1</v>
      </c>
      <c r="F246" s="2" t="n">
        <v>5</v>
      </c>
      <c r="G246" t="inlineStr">
        <is>
          <t>a</t>
        </is>
      </c>
      <c r="I246" s="2" t="n">
        <v>1089</v>
      </c>
      <c r="J246" t="n">
        <v>51</v>
      </c>
      <c r="K246" s="3" t="n">
        <v>317</v>
      </c>
      <c r="L246" t="inlineStr">
        <is>
          <t>flat</t>
        </is>
      </c>
      <c r="M246" s="4" t="n">
        <v>1089</v>
      </c>
      <c r="N246" s="4" t="n">
        <v>0.21</v>
      </c>
      <c r="O246" s="3" t="n">
        <v>0.0693</v>
      </c>
      <c r="P246" t="inlineStr">
        <is>
          <t>adjusted xGOT</t>
        </is>
      </c>
      <c r="Q246" s="3" t="n">
        <v>0.865</v>
      </c>
      <c r="R246" s="3" t="n">
        <v>12</v>
      </c>
      <c r="S246" s="3" t="n">
        <v>0.0315</v>
      </c>
      <c r="T246" s="3" t="n">
        <v>0.545</v>
      </c>
      <c r="U246" s="3" t="n">
        <v>0</v>
      </c>
      <c r="V246" s="3" t="n">
        <v>2.231</v>
      </c>
      <c r="W246" s="3">
        <f>IF(V246="",IFERROR(VLOOKUP($C246,Assumptions!$A$4:$F$7,6,FALSE),0),V246)</f>
        <v/>
      </c>
      <c r="X246" s="3">
        <f>N(O246)*IFERROR(VLOOKUP($C246,Assumptions!$A$4:$F$7,2,FALSE),0)</f>
        <v/>
      </c>
      <c r="Y246" s="3">
        <f>N(S246)*IFERROR(VLOOKUP($C246,Assumptions!$A$4:$F$7,3,FALSE),0)*Assumptions!$B$11</f>
        <v/>
      </c>
      <c r="Z246" s="3">
        <f>N(N246)*IFERROR(VLOOKUP($C246,Assumptions!$A$4:$F$7,4,FALSE),0)</f>
        <v/>
      </c>
      <c r="AA246" s="3">
        <f>N(T246)*IFERROR(VLOOKUP($C246,Assumptions!$A$4:$F$7,5,FALSE),0)</f>
        <v/>
      </c>
      <c r="AB246" s="3">
        <f>N(U246)</f>
        <v/>
      </c>
      <c r="AC246" s="3">
        <f>SUM(W246:AB246)</f>
        <v/>
      </c>
      <c r="AD246" s="3">
        <f>N(AC246)*N(M246)/90</f>
        <v/>
      </c>
      <c r="AE246" s="3">
        <f>IFERROR(AD246-VLOOKUP($C246,Assumptions!$A$29:$C$32,3,FALSE),"")</f>
        <v/>
      </c>
      <c r="AF246" s="3">
        <f>IFERROR(AE246/F246,"")</f>
        <v/>
      </c>
      <c r="AG246">
        <f>IF(AND($E246=TRUE,$C246="GKP"),AD246,"")</f>
        <v/>
      </c>
      <c r="AH246">
        <f>IF(AND($E246=TRUE,$C246="DEF"),AD246,"")</f>
        <v/>
      </c>
      <c r="AI246">
        <f>IF(AND($E246=TRUE,$C246="MID"),AD246,"")</f>
        <v/>
      </c>
      <c r="AJ246">
        <f>IF(AND($E246=TRUE,$C246="FWD"),AD246,"")</f>
        <v/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b">
        <v>1</v>
      </c>
      <c r="F247" s="2" t="n">
        <v>4.5</v>
      </c>
      <c r="G247" t="inlineStr">
        <is>
          <t>a</t>
        </is>
      </c>
      <c r="I247" s="2" t="n">
        <v>1322</v>
      </c>
      <c r="J247" t="n">
        <v>50</v>
      </c>
      <c r="K247" s="3" t="n">
        <v>1493</v>
      </c>
      <c r="L247" t="inlineStr">
        <is>
          <t>flat</t>
        </is>
      </c>
      <c r="M247" s="4" t="n">
        <v>1322</v>
      </c>
      <c r="N247" s="4" t="n">
        <v>0.237</v>
      </c>
      <c r="O247" s="3" t="n">
        <v>0.073</v>
      </c>
      <c r="P247" t="inlineStr">
        <is>
          <t>adjusted xGOT</t>
        </is>
      </c>
      <c r="Q247" s="3" t="n">
        <v>0.825</v>
      </c>
      <c r="R247" s="3" t="n">
        <v>3.2</v>
      </c>
      <c r="S247" s="3" t="n">
        <v>0.0384</v>
      </c>
      <c r="T247" s="3" t="n">
        <v>0.267</v>
      </c>
      <c r="U247" s="3" t="n">
        <v>0.2723</v>
      </c>
      <c r="V247" s="3" t="n">
        <v>2.11</v>
      </c>
      <c r="W247" s="3">
        <f>IF(V247="",IFERROR(VLOOKUP($C247,Assumptions!$A$4:$F$7,6,FALSE),0),V247)</f>
        <v/>
      </c>
      <c r="X247" s="3">
        <f>N(O247)*IFERROR(VLOOKUP($C247,Assumptions!$A$4:$F$7,2,FALSE),0)</f>
        <v/>
      </c>
      <c r="Y247" s="3">
        <f>N(S247)*IFERROR(VLOOKUP($C247,Assumptions!$A$4:$F$7,3,FALSE),0)*Assumptions!$B$11</f>
        <v/>
      </c>
      <c r="Z247" s="3">
        <f>N(N247)*IFERROR(VLOOKUP($C247,Assumptions!$A$4:$F$7,4,FALSE),0)</f>
        <v/>
      </c>
      <c r="AA247" s="3">
        <f>N(T247)*IFERROR(VLOOKUP($C247,Assumptions!$A$4:$F$7,5,FALSE),0)</f>
        <v/>
      </c>
      <c r="AB247" s="3">
        <f>N(U247)</f>
        <v/>
      </c>
      <c r="AC247" s="3">
        <f>SUM(W247:AB247)</f>
        <v/>
      </c>
      <c r="AD247" s="3">
        <f>N(AC247)*N(M247)/90</f>
        <v/>
      </c>
      <c r="AE247" s="3">
        <f>IFERROR(AD247-VLOOKUP($C247,Assumptions!$A$29:$C$32,3,FALSE),"")</f>
        <v/>
      </c>
      <c r="AF247" s="3">
        <f>IFERROR(AE247/F247,"")</f>
        <v/>
      </c>
      <c r="AG247">
        <f>IF(AND($E247=TRUE,$C247="GKP"),AD247,"")</f>
        <v/>
      </c>
      <c r="AH247">
        <f>IF(AND($E247=TRUE,$C247="DEF"),AD247,"")</f>
        <v/>
      </c>
      <c r="AI247">
        <f>IF(AND($E247=TRUE,$C247="MID"),AD247,"")</f>
        <v/>
      </c>
      <c r="AJ247">
        <f>IF(AND($E247=TRUE,$C247="FWD"),AD247,"")</f>
        <v/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b">
        <v>1</v>
      </c>
      <c r="F248" s="2" t="n">
        <v>5.5</v>
      </c>
      <c r="G248" t="inlineStr">
        <is>
          <t>a</t>
        </is>
      </c>
      <c r="I248" s="2" t="n">
        <v>1167</v>
      </c>
      <c r="J248" t="n">
        <v>50</v>
      </c>
      <c r="K248" s="3" t="n">
        <v>2417</v>
      </c>
      <c r="L248" t="inlineStr">
        <is>
          <t>flat</t>
        </is>
      </c>
      <c r="M248" s="4" t="n">
        <v>1167</v>
      </c>
      <c r="N248" s="4" t="n">
        <v>0.237</v>
      </c>
      <c r="O248" s="3" t="n">
        <v>0.07969999999999999</v>
      </c>
      <c r="P248" t="inlineStr">
        <is>
          <t>adjusted xGOT</t>
        </is>
      </c>
      <c r="Q248" s="3" t="n">
        <v>0.983</v>
      </c>
      <c r="R248" s="3" t="n">
        <v>1</v>
      </c>
      <c r="S248" s="3" t="n">
        <v>0.1181</v>
      </c>
      <c r="T248" s="3" t="n">
        <v>0</v>
      </c>
      <c r="U248" s="3" t="n">
        <v>0.3085</v>
      </c>
      <c r="V248" s="3" t="n">
        <v>2.622</v>
      </c>
      <c r="W248" s="3">
        <f>IF(V248="",IFERROR(VLOOKUP($C248,Assumptions!$A$4:$F$7,6,FALSE),0),V248)</f>
        <v/>
      </c>
      <c r="X248" s="3">
        <f>N(O248)*IFERROR(VLOOKUP($C248,Assumptions!$A$4:$F$7,2,FALSE),0)</f>
        <v/>
      </c>
      <c r="Y248" s="3">
        <f>N(S248)*IFERROR(VLOOKUP($C248,Assumptions!$A$4:$F$7,3,FALSE),0)*Assumptions!$B$11</f>
        <v/>
      </c>
      <c r="Z248" s="3">
        <f>N(N248)*IFERROR(VLOOKUP($C248,Assumptions!$A$4:$F$7,4,FALSE),0)</f>
        <v/>
      </c>
      <c r="AA248" s="3">
        <f>N(T248)*IFERROR(VLOOKUP($C248,Assumptions!$A$4:$F$7,5,FALSE),0)</f>
        <v/>
      </c>
      <c r="AB248" s="3">
        <f>N(U248)</f>
        <v/>
      </c>
      <c r="AC248" s="3">
        <f>SUM(W248:AB248)</f>
        <v/>
      </c>
      <c r="AD248" s="3">
        <f>N(AC248)*N(M248)/90</f>
        <v/>
      </c>
      <c r="AE248" s="3">
        <f>IFERROR(AD248-VLOOKUP($C248,Assumptions!$A$29:$C$32,3,FALSE),"")</f>
        <v/>
      </c>
      <c r="AF248" s="3">
        <f>IFERROR(AE248/F248,"")</f>
        <v/>
      </c>
      <c r="AG248">
        <f>IF(AND($E248=TRUE,$C248="GKP"),AD248,"")</f>
        <v/>
      </c>
      <c r="AH248">
        <f>IF(AND($E248=TRUE,$C248="DEF"),AD248,"")</f>
        <v/>
      </c>
      <c r="AI248">
        <f>IF(AND($E248=TRUE,$C248="MID"),AD248,"")</f>
        <v/>
      </c>
      <c r="AJ248">
        <f>IF(AND($E248=TRUE,$C248="FWD"),AD248,"")</f>
        <v/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b">
        <v>1</v>
      </c>
      <c r="F249" s="2" t="n">
        <v>4.5</v>
      </c>
      <c r="G249" t="inlineStr">
        <is>
          <t>a</t>
        </is>
      </c>
      <c r="I249" s="2" t="n">
        <v>1254</v>
      </c>
      <c r="J249" t="n">
        <v>49</v>
      </c>
      <c r="K249" s="3" t="n">
        <v>0</v>
      </c>
      <c r="L249" t="inlineStr">
        <is>
          <t>flat</t>
        </is>
      </c>
      <c r="M249" s="4" t="n">
        <v>1254</v>
      </c>
      <c r="N249" s="4" t="n">
        <v>0.237</v>
      </c>
      <c r="O249" s="3" t="n">
        <v>0.08019999999999999</v>
      </c>
      <c r="P249" t="inlineStr">
        <is>
          <t>adjusted xGOT</t>
        </is>
      </c>
      <c r="Q249" s="3" t="n">
        <v>1.015</v>
      </c>
      <c r="R249" s="3" t="n">
        <v>3.8</v>
      </c>
      <c r="S249" s="3" t="n">
        <v>0.0019</v>
      </c>
      <c r="T249" s="3" t="n">
        <v>0.143</v>
      </c>
      <c r="U249" s="3" t="n">
        <v>0</v>
      </c>
      <c r="V249" s="3" t="n">
        <v>2.01</v>
      </c>
      <c r="W249" s="3">
        <f>IF(V249="",IFERROR(VLOOKUP($C249,Assumptions!$A$4:$F$7,6,FALSE),0),V249)</f>
        <v/>
      </c>
      <c r="X249" s="3">
        <f>N(O249)*IFERROR(VLOOKUP($C249,Assumptions!$A$4:$F$7,2,FALSE),0)</f>
        <v/>
      </c>
      <c r="Y249" s="3">
        <f>N(S249)*IFERROR(VLOOKUP($C249,Assumptions!$A$4:$F$7,3,FALSE),0)*Assumptions!$B$11</f>
        <v/>
      </c>
      <c r="Z249" s="3">
        <f>N(N249)*IFERROR(VLOOKUP($C249,Assumptions!$A$4:$F$7,4,FALSE),0)</f>
        <v/>
      </c>
      <c r="AA249" s="3">
        <f>N(T249)*IFERROR(VLOOKUP($C249,Assumptions!$A$4:$F$7,5,FALSE),0)</f>
        <v/>
      </c>
      <c r="AB249" s="3">
        <f>N(U249)</f>
        <v/>
      </c>
      <c r="AC249" s="3">
        <f>SUM(W249:AB249)</f>
        <v/>
      </c>
      <c r="AD249" s="3">
        <f>N(AC249)*N(M249)/90</f>
        <v/>
      </c>
      <c r="AE249" s="3">
        <f>IFERROR(AD249-VLOOKUP($C249,Assumptions!$A$29:$C$32,3,FALSE),"")</f>
        <v/>
      </c>
      <c r="AF249" s="3">
        <f>IFERROR(AE249/F249,"")</f>
        <v/>
      </c>
      <c r="AG249">
        <f>IF(AND($E249=TRUE,$C249="GKP"),AD249,"")</f>
        <v/>
      </c>
      <c r="AH249">
        <f>IF(AND($E249=TRUE,$C249="DEF"),AD249,"")</f>
        <v/>
      </c>
      <c r="AI249">
        <f>IF(AND($E249=TRUE,$C249="MID"),AD249,"")</f>
        <v/>
      </c>
      <c r="AJ249">
        <f>IF(AND($E249=TRUE,$C249="FWD"),AD249,"")</f>
        <v/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b">
        <v>1</v>
      </c>
      <c r="F250" s="2" t="n">
        <v>5.5</v>
      </c>
      <c r="G250" t="inlineStr">
        <is>
          <t>a</t>
        </is>
      </c>
      <c r="I250" s="2" t="n">
        <v>955</v>
      </c>
      <c r="J250" t="n">
        <v>49</v>
      </c>
      <c r="K250" s="3" t="n">
        <v>277</v>
      </c>
      <c r="L250" t="inlineStr">
        <is>
          <t>flat</t>
        </is>
      </c>
      <c r="M250" s="4" t="n">
        <v>955</v>
      </c>
      <c r="N250" s="4" t="n">
        <v>0.237</v>
      </c>
      <c r="O250" s="3" t="n">
        <v>0.1038</v>
      </c>
      <c r="P250" t="inlineStr">
        <is>
          <t>adjusted xGOT</t>
        </is>
      </c>
      <c r="Q250" s="3" t="n">
        <v>0.895</v>
      </c>
      <c r="R250" s="3" t="n">
        <v>1.9</v>
      </c>
      <c r="S250" s="3" t="n">
        <v>0.034</v>
      </c>
      <c r="T250" s="3" t="n">
        <v>0.091</v>
      </c>
      <c r="U250" s="3" t="n">
        <v>0.09420000000000001</v>
      </c>
      <c r="V250" s="3" t="n">
        <v>3.016</v>
      </c>
      <c r="W250" s="3">
        <f>IF(V250="",IFERROR(VLOOKUP($C250,Assumptions!$A$4:$F$7,6,FALSE),0),V250)</f>
        <v/>
      </c>
      <c r="X250" s="3">
        <f>N(O250)*IFERROR(VLOOKUP($C250,Assumptions!$A$4:$F$7,2,FALSE),0)</f>
        <v/>
      </c>
      <c r="Y250" s="3">
        <f>N(S250)*IFERROR(VLOOKUP($C250,Assumptions!$A$4:$F$7,3,FALSE),0)*Assumptions!$B$11</f>
        <v/>
      </c>
      <c r="Z250" s="3">
        <f>N(N250)*IFERROR(VLOOKUP($C250,Assumptions!$A$4:$F$7,4,FALSE),0)</f>
        <v/>
      </c>
      <c r="AA250" s="3">
        <f>N(T250)*IFERROR(VLOOKUP($C250,Assumptions!$A$4:$F$7,5,FALSE),0)</f>
        <v/>
      </c>
      <c r="AB250" s="3">
        <f>N(U250)</f>
        <v/>
      </c>
      <c r="AC250" s="3">
        <f>SUM(W250:AB250)</f>
        <v/>
      </c>
      <c r="AD250" s="3">
        <f>N(AC250)*N(M250)/90</f>
        <v/>
      </c>
      <c r="AE250" s="3">
        <f>IFERROR(AD250-VLOOKUP($C250,Assumptions!$A$29:$C$32,3,FALSE),"")</f>
        <v/>
      </c>
      <c r="AF250" s="3">
        <f>IFERROR(AE250/F250,"")</f>
        <v/>
      </c>
      <c r="AG250">
        <f>IF(AND($E250=TRUE,$C250="GKP"),AD250,"")</f>
        <v/>
      </c>
      <c r="AH250">
        <f>IF(AND($E250=TRUE,$C250="DEF"),AD250,"")</f>
        <v/>
      </c>
      <c r="AI250">
        <f>IF(AND($E250=TRUE,$C250="MID"),AD250,"")</f>
        <v/>
      </c>
      <c r="AJ250">
        <f>IF(AND($E250=TRUE,$C250="FWD"),AD250,"")</f>
        <v/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b">
        <v>1</v>
      </c>
      <c r="F251" s="2" t="n">
        <v>5.5</v>
      </c>
      <c r="G251" t="inlineStr">
        <is>
          <t>a</t>
        </is>
      </c>
      <c r="I251" s="2" t="n">
        <v>1030</v>
      </c>
      <c r="J251" t="n">
        <v>49</v>
      </c>
      <c r="K251" s="3" t="n">
        <v>2519</v>
      </c>
      <c r="L251" t="inlineStr">
        <is>
          <t>flat</t>
        </is>
      </c>
      <c r="M251" s="4" t="n">
        <v>1030</v>
      </c>
      <c r="N251" s="4" t="n">
        <v>0.237</v>
      </c>
      <c r="O251" s="3" t="n">
        <v>0.1148</v>
      </c>
      <c r="P251" t="inlineStr">
        <is>
          <t>adjusted xGOT</t>
        </is>
      </c>
      <c r="Q251" s="3" t="n">
        <v>1.086</v>
      </c>
      <c r="R251" s="3" t="n">
        <v>1.2</v>
      </c>
      <c r="S251" s="3" t="n">
        <v>0.1184</v>
      </c>
      <c r="T251" s="3" t="n">
        <v>0</v>
      </c>
      <c r="U251" s="3" t="n">
        <v>0</v>
      </c>
      <c r="V251" s="3" t="n">
        <v>2.796</v>
      </c>
      <c r="W251" s="3">
        <f>IF(V251="",IFERROR(VLOOKUP($C251,Assumptions!$A$4:$F$7,6,FALSE),0),V251)</f>
        <v/>
      </c>
      <c r="X251" s="3">
        <f>N(O251)*IFERROR(VLOOKUP($C251,Assumptions!$A$4:$F$7,2,FALSE),0)</f>
        <v/>
      </c>
      <c r="Y251" s="3">
        <f>N(S251)*IFERROR(VLOOKUP($C251,Assumptions!$A$4:$F$7,3,FALSE),0)*Assumptions!$B$11</f>
        <v/>
      </c>
      <c r="Z251" s="3">
        <f>N(N251)*IFERROR(VLOOKUP($C251,Assumptions!$A$4:$F$7,4,FALSE),0)</f>
        <v/>
      </c>
      <c r="AA251" s="3">
        <f>N(T251)*IFERROR(VLOOKUP($C251,Assumptions!$A$4:$F$7,5,FALSE),0)</f>
        <v/>
      </c>
      <c r="AB251" s="3">
        <f>N(U251)</f>
        <v/>
      </c>
      <c r="AC251" s="3">
        <f>SUM(W251:AB251)</f>
        <v/>
      </c>
      <c r="AD251" s="3">
        <f>N(AC251)*N(M251)/90</f>
        <v/>
      </c>
      <c r="AE251" s="3">
        <f>IFERROR(AD251-VLOOKUP($C251,Assumptions!$A$29:$C$32,3,FALSE),"")</f>
        <v/>
      </c>
      <c r="AF251" s="3">
        <f>IFERROR(AE251/F251,"")</f>
        <v/>
      </c>
      <c r="AG251">
        <f>IF(AND($E251=TRUE,$C251="GKP"),AD251,"")</f>
        <v/>
      </c>
      <c r="AH251">
        <f>IF(AND($E251=TRUE,$C251="DEF"),AD251,"")</f>
        <v/>
      </c>
      <c r="AI251">
        <f>IF(AND($E251=TRUE,$C251="MID"),AD251,"")</f>
        <v/>
      </c>
      <c r="AJ251">
        <f>IF(AND($E251=TRUE,$C251="FWD"),AD251,"")</f>
        <v/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b">
        <v>1</v>
      </c>
      <c r="F252" s="2" t="n">
        <v>5</v>
      </c>
      <c r="G252" t="inlineStr">
        <is>
          <t>a</t>
        </is>
      </c>
      <c r="I252" s="2" t="n">
        <v>1168</v>
      </c>
      <c r="J252" t="n">
        <v>48</v>
      </c>
      <c r="K252" s="3" t="n">
        <v>752</v>
      </c>
      <c r="L252" t="inlineStr">
        <is>
          <t>flat</t>
        </is>
      </c>
      <c r="M252" s="4" t="n">
        <v>1168</v>
      </c>
      <c r="N252" s="4" t="n">
        <v>0.237</v>
      </c>
      <c r="O252" s="3" t="n">
        <v>0.1147</v>
      </c>
      <c r="P252" t="inlineStr">
        <is>
          <t>adjusted xGOT</t>
        </is>
      </c>
      <c r="Q252" s="3" t="n">
        <v>1.012</v>
      </c>
      <c r="R252" s="3" t="n">
        <v>4.4</v>
      </c>
      <c r="S252" s="3" t="n">
        <v>0.079</v>
      </c>
      <c r="T252" s="3" t="n">
        <v>0.059</v>
      </c>
      <c r="U252" s="3" t="n">
        <v>0.2312</v>
      </c>
      <c r="V252" s="3" t="n">
        <v>2.697</v>
      </c>
      <c r="W252" s="3">
        <f>IF(V252="",IFERROR(VLOOKUP($C252,Assumptions!$A$4:$F$7,6,FALSE),0),V252)</f>
        <v/>
      </c>
      <c r="X252" s="3">
        <f>N(O252)*IFERROR(VLOOKUP($C252,Assumptions!$A$4:$F$7,2,FALSE),0)</f>
        <v/>
      </c>
      <c r="Y252" s="3">
        <f>N(S252)*IFERROR(VLOOKUP($C252,Assumptions!$A$4:$F$7,3,FALSE),0)*Assumptions!$B$11</f>
        <v/>
      </c>
      <c r="Z252" s="3">
        <f>N(N252)*IFERROR(VLOOKUP($C252,Assumptions!$A$4:$F$7,4,FALSE),0)</f>
        <v/>
      </c>
      <c r="AA252" s="3">
        <f>N(T252)*IFERROR(VLOOKUP($C252,Assumptions!$A$4:$F$7,5,FALSE),0)</f>
        <v/>
      </c>
      <c r="AB252" s="3">
        <f>N(U252)</f>
        <v/>
      </c>
      <c r="AC252" s="3">
        <f>SUM(W252:AB252)</f>
        <v/>
      </c>
      <c r="AD252" s="3">
        <f>N(AC252)*N(M252)/90</f>
        <v/>
      </c>
      <c r="AE252" s="3">
        <f>IFERROR(AD252-VLOOKUP($C252,Assumptions!$A$29:$C$32,3,FALSE),"")</f>
        <v/>
      </c>
      <c r="AF252" s="3">
        <f>IFERROR(AE252/F252,"")</f>
        <v/>
      </c>
      <c r="AG252">
        <f>IF(AND($E252=TRUE,$C252="GKP"),AD252,"")</f>
        <v/>
      </c>
      <c r="AH252">
        <f>IF(AND($E252=TRUE,$C252="DEF"),AD252,"")</f>
        <v/>
      </c>
      <c r="AI252">
        <f>IF(AND($E252=TRUE,$C252="MID"),AD252,"")</f>
        <v/>
      </c>
      <c r="AJ252">
        <f>IF(AND($E252=TRUE,$C252="FWD"),AD252,"")</f>
        <v/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b">
        <v>1</v>
      </c>
      <c r="F253" s="2" t="n">
        <v>6</v>
      </c>
      <c r="G253" t="inlineStr">
        <is>
          <t>a</t>
        </is>
      </c>
      <c r="I253" s="2" t="n">
        <v>1302</v>
      </c>
      <c r="J253" t="n">
        <v>48</v>
      </c>
      <c r="K253" s="3" t="n">
        <v>1345</v>
      </c>
      <c r="L253" t="inlineStr">
        <is>
          <t>flat</t>
        </is>
      </c>
      <c r="M253" s="4" t="n">
        <v>1302</v>
      </c>
      <c r="N253" s="4" t="n">
        <v>0.21</v>
      </c>
      <c r="O253" s="3" t="n">
        <v>0.1268</v>
      </c>
      <c r="P253" t="inlineStr">
        <is>
          <t>adjusted xGOT</t>
        </is>
      </c>
      <c r="Q253" s="3" t="n">
        <v>1.112</v>
      </c>
      <c r="R253" s="3" t="n">
        <v>13.3</v>
      </c>
      <c r="S253" s="3" t="n">
        <v>0.1206</v>
      </c>
      <c r="T253" s="3" t="n">
        <v>0</v>
      </c>
      <c r="U253" s="3" t="n">
        <v>0</v>
      </c>
      <c r="V253" s="3" t="n">
        <v>2.972</v>
      </c>
      <c r="W253" s="3">
        <f>IF(V253="",IFERROR(VLOOKUP($C253,Assumptions!$A$4:$F$7,6,FALSE),0),V253)</f>
        <v/>
      </c>
      <c r="X253" s="3">
        <f>N(O253)*IFERROR(VLOOKUP($C253,Assumptions!$A$4:$F$7,2,FALSE),0)</f>
        <v/>
      </c>
      <c r="Y253" s="3">
        <f>N(S253)*IFERROR(VLOOKUP($C253,Assumptions!$A$4:$F$7,3,FALSE),0)*Assumptions!$B$11</f>
        <v/>
      </c>
      <c r="Z253" s="3">
        <f>N(N253)*IFERROR(VLOOKUP($C253,Assumptions!$A$4:$F$7,4,FALSE),0)</f>
        <v/>
      </c>
      <c r="AA253" s="3">
        <f>N(T253)*IFERROR(VLOOKUP($C253,Assumptions!$A$4:$F$7,5,FALSE),0)</f>
        <v/>
      </c>
      <c r="AB253" s="3">
        <f>N(U253)</f>
        <v/>
      </c>
      <c r="AC253" s="3">
        <f>SUM(W253:AB253)</f>
        <v/>
      </c>
      <c r="AD253" s="3">
        <f>N(AC253)*N(M253)/90</f>
        <v/>
      </c>
      <c r="AE253" s="3">
        <f>IFERROR(AD253-VLOOKUP($C253,Assumptions!$A$29:$C$32,3,FALSE),"")</f>
        <v/>
      </c>
      <c r="AF253" s="3">
        <f>IFERROR(AE253/F253,"")</f>
        <v/>
      </c>
      <c r="AG253">
        <f>IF(AND($E253=TRUE,$C253="GKP"),AD253,"")</f>
        <v/>
      </c>
      <c r="AH253">
        <f>IF(AND($E253=TRUE,$C253="DEF"),AD253,"")</f>
        <v/>
      </c>
      <c r="AI253">
        <f>IF(AND($E253=TRUE,$C253="MID"),AD253,"")</f>
        <v/>
      </c>
      <c r="AJ253">
        <f>IF(AND($E253=TRUE,$C253="FWD"),AD253,"")</f>
        <v/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b">
        <v>1</v>
      </c>
      <c r="F254" s="2" t="n">
        <v>5</v>
      </c>
      <c r="G254" t="inlineStr">
        <is>
          <t>s</t>
        </is>
      </c>
      <c r="H254" t="inlineStr">
        <is>
          <t>Suspended until 29 Aug</t>
        </is>
      </c>
      <c r="I254" s="2" t="n">
        <v>978</v>
      </c>
      <c r="J254" t="n">
        <v>47</v>
      </c>
      <c r="K254" s="3" t="n">
        <v>406</v>
      </c>
      <c r="L254" t="inlineStr">
        <is>
          <t>flat</t>
        </is>
      </c>
      <c r="M254" s="4" t="n">
        <v>978</v>
      </c>
      <c r="N254" s="4" t="n">
        <v>0.29</v>
      </c>
      <c r="O254" s="3" t="n">
        <v>0.1653</v>
      </c>
      <c r="P254" t="inlineStr">
        <is>
          <t>adjusted xGOT</t>
        </is>
      </c>
      <c r="Q254" s="3" t="n">
        <v>0.992</v>
      </c>
      <c r="R254" s="3" t="n">
        <v>9.300000000000001</v>
      </c>
      <c r="S254" s="3" t="n">
        <v>0.1109</v>
      </c>
      <c r="T254" s="3" t="n">
        <v>0.111</v>
      </c>
      <c r="U254" s="3" t="n">
        <v>0.184</v>
      </c>
      <c r="V254" s="3" t="n">
        <v>3.037</v>
      </c>
      <c r="W254" s="3">
        <f>IF(V254="",IFERROR(VLOOKUP($C254,Assumptions!$A$4:$F$7,6,FALSE),0),V254)</f>
        <v/>
      </c>
      <c r="X254" s="3">
        <f>N(O254)*IFERROR(VLOOKUP($C254,Assumptions!$A$4:$F$7,2,FALSE),0)</f>
        <v/>
      </c>
      <c r="Y254" s="3">
        <f>N(S254)*IFERROR(VLOOKUP($C254,Assumptions!$A$4:$F$7,3,FALSE),0)*Assumptions!$B$11</f>
        <v/>
      </c>
      <c r="Z254" s="3">
        <f>N(N254)*IFERROR(VLOOKUP($C254,Assumptions!$A$4:$F$7,4,FALSE),0)</f>
        <v/>
      </c>
      <c r="AA254" s="3">
        <f>N(T254)*IFERROR(VLOOKUP($C254,Assumptions!$A$4:$F$7,5,FALSE),0)</f>
        <v/>
      </c>
      <c r="AB254" s="3">
        <f>N(U254)</f>
        <v/>
      </c>
      <c r="AC254" s="3">
        <f>SUM(W254:AB254)</f>
        <v/>
      </c>
      <c r="AD254" s="3">
        <f>N(AC254)*N(M254)/90</f>
        <v/>
      </c>
      <c r="AE254" s="3">
        <f>IFERROR(AD254-VLOOKUP($C254,Assumptions!$A$29:$C$32,3,FALSE),"")</f>
        <v/>
      </c>
      <c r="AF254" s="3">
        <f>IFERROR(AE254/F254,"")</f>
        <v/>
      </c>
      <c r="AG254">
        <f>IF(AND($E254=TRUE,$C254="GKP"),AD254,"")</f>
        <v/>
      </c>
      <c r="AH254">
        <f>IF(AND($E254=TRUE,$C254="DEF"),AD254,"")</f>
        <v/>
      </c>
      <c r="AI254">
        <f>IF(AND($E254=TRUE,$C254="MID"),AD254,"")</f>
        <v/>
      </c>
      <c r="AJ254">
        <f>IF(AND($E254=TRUE,$C254="FWD"),AD254,"")</f>
        <v/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b">
        <v>1</v>
      </c>
      <c r="F255" s="2" t="n">
        <v>5</v>
      </c>
      <c r="G255" t="inlineStr">
        <is>
          <t>a</t>
        </is>
      </c>
      <c r="I255" s="2" t="n">
        <v>1247</v>
      </c>
      <c r="J255" t="n">
        <v>47</v>
      </c>
      <c r="K255" s="3" t="n">
        <v>2861</v>
      </c>
      <c r="L255" t="inlineStr">
        <is>
          <t>flat</t>
        </is>
      </c>
      <c r="M255" s="4" t="n">
        <v>1247</v>
      </c>
      <c r="N255" s="4" t="n">
        <v>0.21</v>
      </c>
      <c r="O255" s="3" t="n">
        <v>0.1349</v>
      </c>
      <c r="P255" t="inlineStr">
        <is>
          <t>adjusted xGOT</t>
        </is>
      </c>
      <c r="Q255" s="3" t="n">
        <v>0.9340000000000001</v>
      </c>
      <c r="R255" s="3" t="n">
        <v>2.1</v>
      </c>
      <c r="S255" s="3" t="n">
        <v>0.0566</v>
      </c>
      <c r="T255" s="3" t="n">
        <v>0.154</v>
      </c>
      <c r="U255" s="3" t="n">
        <v>0.2165</v>
      </c>
      <c r="V255" s="3" t="n">
        <v>2.743</v>
      </c>
      <c r="W255" s="3">
        <f>IF(V255="",IFERROR(VLOOKUP($C255,Assumptions!$A$4:$F$7,6,FALSE),0),V255)</f>
        <v/>
      </c>
      <c r="X255" s="3">
        <f>N(O255)*IFERROR(VLOOKUP($C255,Assumptions!$A$4:$F$7,2,FALSE),0)</f>
        <v/>
      </c>
      <c r="Y255" s="3">
        <f>N(S255)*IFERROR(VLOOKUP($C255,Assumptions!$A$4:$F$7,3,FALSE),0)*Assumptions!$B$11</f>
        <v/>
      </c>
      <c r="Z255" s="3">
        <f>N(N255)*IFERROR(VLOOKUP($C255,Assumptions!$A$4:$F$7,4,FALSE),0)</f>
        <v/>
      </c>
      <c r="AA255" s="3">
        <f>N(T255)*IFERROR(VLOOKUP($C255,Assumptions!$A$4:$F$7,5,FALSE),0)</f>
        <v/>
      </c>
      <c r="AB255" s="3">
        <f>N(U255)</f>
        <v/>
      </c>
      <c r="AC255" s="3">
        <f>SUM(W255:AB255)</f>
        <v/>
      </c>
      <c r="AD255" s="3">
        <f>N(AC255)*N(M255)/90</f>
        <v/>
      </c>
      <c r="AE255" s="3">
        <f>IFERROR(AD255-VLOOKUP($C255,Assumptions!$A$29:$C$32,3,FALSE),"")</f>
        <v/>
      </c>
      <c r="AF255" s="3">
        <f>IFERROR(AE255/F255,"")</f>
        <v/>
      </c>
      <c r="AG255">
        <f>IF(AND($E255=TRUE,$C255="GKP"),AD255,"")</f>
        <v/>
      </c>
      <c r="AH255">
        <f>IF(AND($E255=TRUE,$C255="DEF"),AD255,"")</f>
        <v/>
      </c>
      <c r="AI255">
        <f>IF(AND($E255=TRUE,$C255="MID"),AD255,"")</f>
        <v/>
      </c>
      <c r="AJ255">
        <f>IF(AND($E255=TRUE,$C255="FWD"),AD255,"")</f>
        <v/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b">
        <v>1</v>
      </c>
      <c r="F256" s="2" t="n">
        <v>5</v>
      </c>
      <c r="G256" t="inlineStr">
        <is>
          <t>a</t>
        </is>
      </c>
      <c r="I256" s="2" t="n">
        <v>1275</v>
      </c>
      <c r="J256" t="n">
        <v>46</v>
      </c>
      <c r="K256" s="3" t="n">
        <v>130</v>
      </c>
      <c r="L256" t="inlineStr">
        <is>
          <t>flat</t>
        </is>
      </c>
      <c r="M256" s="4" t="n">
        <v>1275</v>
      </c>
      <c r="N256" s="4" t="n">
        <v>0.29</v>
      </c>
      <c r="O256" s="3" t="n">
        <v>0.0014</v>
      </c>
      <c r="P256" t="inlineStr">
        <is>
          <t>adjusted xGOT</t>
        </is>
      </c>
      <c r="Q256" s="3" t="n">
        <v>0.998</v>
      </c>
      <c r="R256" s="3" t="n">
        <v>0</v>
      </c>
      <c r="S256" s="3" t="n">
        <v>0.0097</v>
      </c>
      <c r="T256" s="3" t="n">
        <v>0.267</v>
      </c>
      <c r="U256" s="3" t="n">
        <v>0.1412</v>
      </c>
      <c r="V256" s="3" t="n">
        <v>2.188</v>
      </c>
      <c r="W256" s="3">
        <f>IF(V256="",IFERROR(VLOOKUP($C256,Assumptions!$A$4:$F$7,6,FALSE),0),V256)</f>
        <v/>
      </c>
      <c r="X256" s="3">
        <f>N(O256)*IFERROR(VLOOKUP($C256,Assumptions!$A$4:$F$7,2,FALSE),0)</f>
        <v/>
      </c>
      <c r="Y256" s="3">
        <f>N(S256)*IFERROR(VLOOKUP($C256,Assumptions!$A$4:$F$7,3,FALSE),0)*Assumptions!$B$11</f>
        <v/>
      </c>
      <c r="Z256" s="3">
        <f>N(N256)*IFERROR(VLOOKUP($C256,Assumptions!$A$4:$F$7,4,FALSE),0)</f>
        <v/>
      </c>
      <c r="AA256" s="3">
        <f>N(T256)*IFERROR(VLOOKUP($C256,Assumptions!$A$4:$F$7,5,FALSE),0)</f>
        <v/>
      </c>
      <c r="AB256" s="3">
        <f>N(U256)</f>
        <v/>
      </c>
      <c r="AC256" s="3">
        <f>SUM(W256:AB256)</f>
        <v/>
      </c>
      <c r="AD256" s="3">
        <f>N(AC256)*N(M256)/90</f>
        <v/>
      </c>
      <c r="AE256" s="3">
        <f>IFERROR(AD256-VLOOKUP($C256,Assumptions!$A$29:$C$32,3,FALSE),"")</f>
        <v/>
      </c>
      <c r="AF256" s="3">
        <f>IFERROR(AE256/F256,"")</f>
        <v/>
      </c>
      <c r="AG256">
        <f>IF(AND($E256=TRUE,$C256="GKP"),AD256,"")</f>
        <v/>
      </c>
      <c r="AH256">
        <f>IF(AND($E256=TRUE,$C256="DEF"),AD256,"")</f>
        <v/>
      </c>
      <c r="AI256">
        <f>IF(AND($E256=TRUE,$C256="MID"),AD256,"")</f>
        <v/>
      </c>
      <c r="AJ256">
        <f>IF(AND($E256=TRUE,$C256="FWD"),AD256,"")</f>
        <v/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b">
        <v>1</v>
      </c>
      <c r="F257" s="2" t="n">
        <v>5.5</v>
      </c>
      <c r="G257" t="inlineStr">
        <is>
          <t>i</t>
        </is>
      </c>
      <c r="H257" t="inlineStr">
        <is>
          <t>Knee injury - Unknown return date</t>
        </is>
      </c>
      <c r="I257" s="2" t="n">
        <v>972</v>
      </c>
      <c r="J257" t="n">
        <v>46</v>
      </c>
      <c r="K257" s="3" t="n">
        <v>419</v>
      </c>
      <c r="L257" t="inlineStr">
        <is>
          <t>flat</t>
        </is>
      </c>
      <c r="M257" s="4" t="n">
        <v>972</v>
      </c>
      <c r="N257" s="4" t="n">
        <v>0.237</v>
      </c>
      <c r="O257" s="3" t="n">
        <v>0.1604</v>
      </c>
      <c r="P257" t="inlineStr">
        <is>
          <t>adjusted xGOT</t>
        </is>
      </c>
      <c r="Q257" s="3" t="n">
        <v>0.902</v>
      </c>
      <c r="R257" s="3" t="n">
        <v>6.3</v>
      </c>
      <c r="S257" s="3" t="n">
        <v>0.1464</v>
      </c>
      <c r="T257" s="3" t="n">
        <v>0</v>
      </c>
      <c r="U257" s="3" t="n">
        <v>0.5556</v>
      </c>
      <c r="V257" s="3" t="n">
        <v>2.963</v>
      </c>
      <c r="W257" s="3">
        <f>IF(V257="",IFERROR(VLOOKUP($C257,Assumptions!$A$4:$F$7,6,FALSE),0),V257)</f>
        <v/>
      </c>
      <c r="X257" s="3">
        <f>N(O257)*IFERROR(VLOOKUP($C257,Assumptions!$A$4:$F$7,2,FALSE),0)</f>
        <v/>
      </c>
      <c r="Y257" s="3">
        <f>N(S257)*IFERROR(VLOOKUP($C257,Assumptions!$A$4:$F$7,3,FALSE),0)*Assumptions!$B$11</f>
        <v/>
      </c>
      <c r="Z257" s="3">
        <f>N(N257)*IFERROR(VLOOKUP($C257,Assumptions!$A$4:$F$7,4,FALSE),0)</f>
        <v/>
      </c>
      <c r="AA257" s="3">
        <f>N(T257)*IFERROR(VLOOKUP($C257,Assumptions!$A$4:$F$7,5,FALSE),0)</f>
        <v/>
      </c>
      <c r="AB257" s="3">
        <f>N(U257)</f>
        <v/>
      </c>
      <c r="AC257" s="3">
        <f>SUM(W257:AB257)</f>
        <v/>
      </c>
      <c r="AD257" s="3">
        <f>N(AC257)*N(M257)/90</f>
        <v/>
      </c>
      <c r="AE257" s="3">
        <f>IFERROR(AD257-VLOOKUP($C257,Assumptions!$A$29:$C$32,3,FALSE),"")</f>
        <v/>
      </c>
      <c r="AF257" s="3">
        <f>IFERROR(AE257/F257,"")</f>
        <v/>
      </c>
      <c r="AG257">
        <f>IF(AND($E257=TRUE,$C257="GKP"),AD257,"")</f>
        <v/>
      </c>
      <c r="AH257">
        <f>IF(AND($E257=TRUE,$C257="DEF"),AD257,"")</f>
        <v/>
      </c>
      <c r="AI257">
        <f>IF(AND($E257=TRUE,$C257="MID"),AD257,"")</f>
        <v/>
      </c>
      <c r="AJ257">
        <f>IF(AND($E257=TRUE,$C257="FWD"),AD257,"")</f>
        <v/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b">
        <v>1</v>
      </c>
      <c r="F258" s="2" t="n">
        <v>5.5</v>
      </c>
      <c r="G258" t="inlineStr">
        <is>
          <t>a</t>
        </is>
      </c>
      <c r="I258" s="2" t="n">
        <v>1092</v>
      </c>
      <c r="J258" t="n">
        <v>45</v>
      </c>
      <c r="K258" s="3" t="n">
        <v>21</v>
      </c>
      <c r="L258" t="inlineStr">
        <is>
          <t>flat</t>
        </is>
      </c>
      <c r="M258" s="4" t="n">
        <v>1092</v>
      </c>
      <c r="N258" s="4" t="n">
        <v>0.237</v>
      </c>
      <c r="O258" s="3" t="n">
        <v>0.3711</v>
      </c>
      <c r="P258" t="inlineStr">
        <is>
          <t>adjusted xGOT</t>
        </is>
      </c>
      <c r="Q258" s="3" t="n">
        <v>0.992</v>
      </c>
      <c r="R258" s="3" t="n">
        <v>14</v>
      </c>
      <c r="S258" s="3" t="n">
        <v>0.0165</v>
      </c>
      <c r="T258" s="3" t="n">
        <v>0</v>
      </c>
      <c r="U258" s="3" t="n">
        <v>0.0824</v>
      </c>
      <c r="V258" s="3" t="n">
        <v>3.132</v>
      </c>
      <c r="W258" s="3">
        <f>IF(V258="",IFERROR(VLOOKUP($C258,Assumptions!$A$4:$F$7,6,FALSE),0),V258)</f>
        <v/>
      </c>
      <c r="X258" s="3">
        <f>N(O258)*IFERROR(VLOOKUP($C258,Assumptions!$A$4:$F$7,2,FALSE),0)</f>
        <v/>
      </c>
      <c r="Y258" s="3">
        <f>N(S258)*IFERROR(VLOOKUP($C258,Assumptions!$A$4:$F$7,3,FALSE),0)*Assumptions!$B$11</f>
        <v/>
      </c>
      <c r="Z258" s="3">
        <f>N(N258)*IFERROR(VLOOKUP($C258,Assumptions!$A$4:$F$7,4,FALSE),0)</f>
        <v/>
      </c>
      <c r="AA258" s="3">
        <f>N(T258)*IFERROR(VLOOKUP($C258,Assumptions!$A$4:$F$7,5,FALSE),0)</f>
        <v/>
      </c>
      <c r="AB258" s="3">
        <f>N(U258)</f>
        <v/>
      </c>
      <c r="AC258" s="3">
        <f>SUM(W258:AB258)</f>
        <v/>
      </c>
      <c r="AD258" s="3">
        <f>N(AC258)*N(M258)/90</f>
        <v/>
      </c>
      <c r="AE258" s="3">
        <f>IFERROR(AD258-VLOOKUP($C258,Assumptions!$A$29:$C$32,3,FALSE),"")</f>
        <v/>
      </c>
      <c r="AF258" s="3">
        <f>IFERROR(AE258/F258,"")</f>
        <v/>
      </c>
      <c r="AG258">
        <f>IF(AND($E258=TRUE,$C258="GKP"),AD258,"")</f>
        <v/>
      </c>
      <c r="AH258">
        <f>IF(AND($E258=TRUE,$C258="DEF"),AD258,"")</f>
        <v/>
      </c>
      <c r="AI258">
        <f>IF(AND($E258=TRUE,$C258="MID"),AD258,"")</f>
        <v/>
      </c>
      <c r="AJ258">
        <f>IF(AND($E258=TRUE,$C258="FWD"),AD258,"")</f>
        <v/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b">
        <v>1</v>
      </c>
      <c r="F259" s="2" t="n">
        <v>4.5</v>
      </c>
      <c r="G259" t="inlineStr">
        <is>
          <t>a</t>
        </is>
      </c>
      <c r="I259" s="2" t="n">
        <v>1560</v>
      </c>
      <c r="J259" t="n">
        <v>45</v>
      </c>
      <c r="K259" s="3" t="n">
        <v>1510</v>
      </c>
      <c r="L259" t="inlineStr">
        <is>
          <t>flat</t>
        </is>
      </c>
      <c r="M259" s="4" t="n">
        <v>1560</v>
      </c>
      <c r="N259" s="4" t="n">
        <v>0.316</v>
      </c>
      <c r="O259" s="3" t="n">
        <v>0.0549</v>
      </c>
      <c r="P259" t="inlineStr">
        <is>
          <t>adjusted xGOT</t>
        </is>
      </c>
      <c r="Q259" s="3" t="n">
        <v>0.857</v>
      </c>
      <c r="R259" s="3" t="n">
        <v>2.8</v>
      </c>
      <c r="S259" s="3" t="n">
        <v>0.1115</v>
      </c>
      <c r="T259" s="3" t="n">
        <v>0</v>
      </c>
      <c r="U259" s="3" t="n">
        <v>0</v>
      </c>
      <c r="V259" s="3" t="n">
        <v>2.538</v>
      </c>
      <c r="W259" s="3">
        <f>IF(V259="",IFERROR(VLOOKUP($C259,Assumptions!$A$4:$F$7,6,FALSE),0),V259)</f>
        <v/>
      </c>
      <c r="X259" s="3">
        <f>N(O259)*IFERROR(VLOOKUP($C259,Assumptions!$A$4:$F$7,2,FALSE),0)</f>
        <v/>
      </c>
      <c r="Y259" s="3">
        <f>N(S259)*IFERROR(VLOOKUP($C259,Assumptions!$A$4:$F$7,3,FALSE),0)*Assumptions!$B$11</f>
        <v/>
      </c>
      <c r="Z259" s="3">
        <f>N(N259)*IFERROR(VLOOKUP($C259,Assumptions!$A$4:$F$7,4,FALSE),0)</f>
        <v/>
      </c>
      <c r="AA259" s="3">
        <f>N(T259)*IFERROR(VLOOKUP($C259,Assumptions!$A$4:$F$7,5,FALSE),0)</f>
        <v/>
      </c>
      <c r="AB259" s="3">
        <f>N(U259)</f>
        <v/>
      </c>
      <c r="AC259" s="3">
        <f>SUM(W259:AB259)</f>
        <v/>
      </c>
      <c r="AD259" s="3">
        <f>N(AC259)*N(M259)/90</f>
        <v/>
      </c>
      <c r="AE259" s="3">
        <f>IFERROR(AD259-VLOOKUP($C259,Assumptions!$A$29:$C$32,3,FALSE),"")</f>
        <v/>
      </c>
      <c r="AF259" s="3">
        <f>IFERROR(AE259/F259,"")</f>
        <v/>
      </c>
      <c r="AG259">
        <f>IF(AND($E259=TRUE,$C259="GKP"),AD259,"")</f>
        <v/>
      </c>
      <c r="AH259">
        <f>IF(AND($E259=TRUE,$C259="DEF"),AD259,"")</f>
        <v/>
      </c>
      <c r="AI259">
        <f>IF(AND($E259=TRUE,$C259="MID"),AD259,"")</f>
        <v/>
      </c>
      <c r="AJ259">
        <f>IF(AND($E259=TRUE,$C259="FWD"),AD259,"")</f>
        <v/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b">
        <v>1</v>
      </c>
      <c r="F260" s="2" t="n">
        <v>5.5</v>
      </c>
      <c r="G260" t="inlineStr">
        <is>
          <t>a</t>
        </is>
      </c>
      <c r="I260" s="2" t="n">
        <v>699</v>
      </c>
      <c r="J260" t="n">
        <v>45</v>
      </c>
      <c r="K260" s="3" t="n">
        <v>287</v>
      </c>
      <c r="L260" t="inlineStr">
        <is>
          <t>fade (losing his place)</t>
        </is>
      </c>
      <c r="M260" s="4" t="n">
        <v>699</v>
      </c>
      <c r="N260" s="4" t="n">
        <v>0.5</v>
      </c>
      <c r="O260" s="3" t="n">
        <v>0.0578</v>
      </c>
      <c r="P260" t="inlineStr">
        <is>
          <t>adjusted xGOT</t>
        </is>
      </c>
      <c r="Q260" s="3" t="n">
        <v>0.997</v>
      </c>
      <c r="R260" s="3" t="n">
        <v>3.4</v>
      </c>
      <c r="S260" s="3" t="n">
        <v>0.1447</v>
      </c>
      <c r="T260" s="3" t="n">
        <v>0.111</v>
      </c>
      <c r="U260" s="3" t="n">
        <v>0.3863</v>
      </c>
      <c r="V260" s="3" t="n">
        <v>2.446</v>
      </c>
      <c r="W260" s="3">
        <f>IF(V260="",IFERROR(VLOOKUP($C260,Assumptions!$A$4:$F$7,6,FALSE),0),V260)</f>
        <v/>
      </c>
      <c r="X260" s="3">
        <f>N(O260)*IFERROR(VLOOKUP($C260,Assumptions!$A$4:$F$7,2,FALSE),0)</f>
        <v/>
      </c>
      <c r="Y260" s="3">
        <f>N(S260)*IFERROR(VLOOKUP($C260,Assumptions!$A$4:$F$7,3,FALSE),0)*Assumptions!$B$11</f>
        <v/>
      </c>
      <c r="Z260" s="3">
        <f>N(N260)*IFERROR(VLOOKUP($C260,Assumptions!$A$4:$F$7,4,FALSE),0)</f>
        <v/>
      </c>
      <c r="AA260" s="3">
        <f>N(T260)*IFERROR(VLOOKUP($C260,Assumptions!$A$4:$F$7,5,FALSE),0)</f>
        <v/>
      </c>
      <c r="AB260" s="3">
        <f>N(U260)</f>
        <v/>
      </c>
      <c r="AC260" s="3">
        <f>SUM(W260:AB260)</f>
        <v/>
      </c>
      <c r="AD260" s="3">
        <f>N(AC260)*N(M260)/90</f>
        <v/>
      </c>
      <c r="AE260" s="3">
        <f>IFERROR(AD260-VLOOKUP($C260,Assumptions!$A$29:$C$32,3,FALSE),"")</f>
        <v/>
      </c>
      <c r="AF260" s="3">
        <f>IFERROR(AE260/F260,"")</f>
        <v/>
      </c>
      <c r="AG260">
        <f>IF(AND($E260=TRUE,$C260="GKP"),AD260,"")</f>
        <v/>
      </c>
      <c r="AH260">
        <f>IF(AND($E260=TRUE,$C260="DEF"),AD260,"")</f>
        <v/>
      </c>
      <c r="AI260">
        <f>IF(AND($E260=TRUE,$C260="MID"),AD260,"")</f>
        <v/>
      </c>
      <c r="AJ260">
        <f>IF(AND($E260=TRUE,$C260="FWD"),AD260,"")</f>
        <v/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b">
        <v>1</v>
      </c>
      <c r="F261" s="2" t="n">
        <v>5.5</v>
      </c>
      <c r="G261" t="inlineStr">
        <is>
          <t>a</t>
        </is>
      </c>
      <c r="I261" s="2" t="n">
        <v>1183</v>
      </c>
      <c r="J261" t="n">
        <v>44</v>
      </c>
      <c r="K261" s="3" t="n">
        <v>1858</v>
      </c>
      <c r="L261" t="inlineStr">
        <is>
          <t>fade (losing his place)</t>
        </is>
      </c>
      <c r="M261" s="4" t="n">
        <v>1183</v>
      </c>
      <c r="N261" s="4" t="n">
        <v>0.237</v>
      </c>
      <c r="O261" s="3" t="n">
        <v>0.09180000000000001</v>
      </c>
      <c r="P261" t="inlineStr">
        <is>
          <t>adjusted xGOT</t>
        </is>
      </c>
      <c r="Q261" s="3" t="n">
        <v>0.982</v>
      </c>
      <c r="R261" s="3" t="n">
        <v>7.8</v>
      </c>
      <c r="S261" s="3" t="n">
        <v>0.0592</v>
      </c>
      <c r="T261" s="3" t="n">
        <v>0.143</v>
      </c>
      <c r="U261" s="3" t="n">
        <v>0.2282</v>
      </c>
      <c r="V261" s="3" t="n">
        <v>2.206</v>
      </c>
      <c r="W261" s="3">
        <f>IF(V261="",IFERROR(VLOOKUP($C261,Assumptions!$A$4:$F$7,6,FALSE),0),V261)</f>
        <v/>
      </c>
      <c r="X261" s="3">
        <f>N(O261)*IFERROR(VLOOKUP($C261,Assumptions!$A$4:$F$7,2,FALSE),0)</f>
        <v/>
      </c>
      <c r="Y261" s="3">
        <f>N(S261)*IFERROR(VLOOKUP($C261,Assumptions!$A$4:$F$7,3,FALSE),0)*Assumptions!$B$11</f>
        <v/>
      </c>
      <c r="Z261" s="3">
        <f>N(N261)*IFERROR(VLOOKUP($C261,Assumptions!$A$4:$F$7,4,FALSE),0)</f>
        <v/>
      </c>
      <c r="AA261" s="3">
        <f>N(T261)*IFERROR(VLOOKUP($C261,Assumptions!$A$4:$F$7,5,FALSE),0)</f>
        <v/>
      </c>
      <c r="AB261" s="3">
        <f>N(U261)</f>
        <v/>
      </c>
      <c r="AC261" s="3">
        <f>SUM(W261:AB261)</f>
        <v/>
      </c>
      <c r="AD261" s="3">
        <f>N(AC261)*N(M261)/90</f>
        <v/>
      </c>
      <c r="AE261" s="3">
        <f>IFERROR(AD261-VLOOKUP($C261,Assumptions!$A$29:$C$32,3,FALSE),"")</f>
        <v/>
      </c>
      <c r="AF261" s="3">
        <f>IFERROR(AE261/F261,"")</f>
        <v/>
      </c>
      <c r="AG261">
        <f>IF(AND($E261=TRUE,$C261="GKP"),AD261,"")</f>
        <v/>
      </c>
      <c r="AH261">
        <f>IF(AND($E261=TRUE,$C261="DEF"),AD261,"")</f>
        <v/>
      </c>
      <c r="AI261">
        <f>IF(AND($E261=TRUE,$C261="MID"),AD261,"")</f>
        <v/>
      </c>
      <c r="AJ261">
        <f>IF(AND($E261=TRUE,$C261="FWD"),AD261,"")</f>
        <v/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b">
        <v>1</v>
      </c>
      <c r="F262" s="2" t="n">
        <v>5.5</v>
      </c>
      <c r="G262" t="inlineStr">
        <is>
          <t>a</t>
        </is>
      </c>
      <c r="I262" s="2" t="n">
        <v>909</v>
      </c>
      <c r="J262" t="n">
        <v>44</v>
      </c>
      <c r="K262" s="3" t="n">
        <v>832</v>
      </c>
      <c r="L262" t="inlineStr">
        <is>
          <t>flat</t>
        </is>
      </c>
      <c r="M262" s="4" t="n">
        <v>909</v>
      </c>
      <c r="N262" s="4" t="n">
        <v>0.316</v>
      </c>
      <c r="O262" s="3" t="n">
        <v>0.1551</v>
      </c>
      <c r="P262" t="inlineStr">
        <is>
          <t>adjusted xGOT</t>
        </is>
      </c>
      <c r="Q262" s="3" t="n">
        <v>1.004</v>
      </c>
      <c r="R262" s="3" t="n">
        <v>1.6</v>
      </c>
      <c r="S262" s="3" t="n">
        <v>0.1034</v>
      </c>
      <c r="T262" s="3" t="n">
        <v>0</v>
      </c>
      <c r="U262" s="3" t="n">
        <v>0</v>
      </c>
      <c r="V262" s="3" t="n">
        <v>2.772</v>
      </c>
      <c r="W262" s="3">
        <f>IF(V262="",IFERROR(VLOOKUP($C262,Assumptions!$A$4:$F$7,6,FALSE),0),V262)</f>
        <v/>
      </c>
      <c r="X262" s="3">
        <f>N(O262)*IFERROR(VLOOKUP($C262,Assumptions!$A$4:$F$7,2,FALSE),0)</f>
        <v/>
      </c>
      <c r="Y262" s="3">
        <f>N(S262)*IFERROR(VLOOKUP($C262,Assumptions!$A$4:$F$7,3,FALSE),0)*Assumptions!$B$11</f>
        <v/>
      </c>
      <c r="Z262" s="3">
        <f>N(N262)*IFERROR(VLOOKUP($C262,Assumptions!$A$4:$F$7,4,FALSE),0)</f>
        <v/>
      </c>
      <c r="AA262" s="3">
        <f>N(T262)*IFERROR(VLOOKUP($C262,Assumptions!$A$4:$F$7,5,FALSE),0)</f>
        <v/>
      </c>
      <c r="AB262" s="3">
        <f>N(U262)</f>
        <v/>
      </c>
      <c r="AC262" s="3">
        <f>SUM(W262:AB262)</f>
        <v/>
      </c>
      <c r="AD262" s="3">
        <f>N(AC262)*N(M262)/90</f>
        <v/>
      </c>
      <c r="AE262" s="3">
        <f>IFERROR(AD262-VLOOKUP($C262,Assumptions!$A$29:$C$32,3,FALSE),"")</f>
        <v/>
      </c>
      <c r="AF262" s="3">
        <f>IFERROR(AE262/F262,"")</f>
        <v/>
      </c>
      <c r="AG262">
        <f>IF(AND($E262=TRUE,$C262="GKP"),AD262,"")</f>
        <v/>
      </c>
      <c r="AH262">
        <f>IF(AND($E262=TRUE,$C262="DEF"),AD262,"")</f>
        <v/>
      </c>
      <c r="AI262">
        <f>IF(AND($E262=TRUE,$C262="MID"),AD262,"")</f>
        <v/>
      </c>
      <c r="AJ262">
        <f>IF(AND($E262=TRUE,$C262="FWD"),AD262,"")</f>
        <v/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b">
        <v>1</v>
      </c>
      <c r="F263" s="2" t="n">
        <v>6.5</v>
      </c>
      <c r="G263" t="inlineStr">
        <is>
          <t>a</t>
        </is>
      </c>
      <c r="I263" s="2" t="n">
        <v>817</v>
      </c>
      <c r="J263" t="n">
        <v>43</v>
      </c>
      <c r="K263" s="3" t="n">
        <v>419</v>
      </c>
      <c r="L263" t="inlineStr">
        <is>
          <t>flat</t>
        </is>
      </c>
      <c r="M263" s="4" t="n">
        <v>817</v>
      </c>
      <c r="N263" s="4" t="n">
        <v>0.421</v>
      </c>
      <c r="O263" s="3" t="n">
        <v>0.2644</v>
      </c>
      <c r="P263" t="inlineStr">
        <is>
          <t>adjusted xGOT</t>
        </is>
      </c>
      <c r="Q263" s="3" t="n">
        <v>0.96</v>
      </c>
      <c r="R263" s="3" t="n">
        <v>7.5</v>
      </c>
      <c r="S263" s="3" t="n">
        <v>0.1389</v>
      </c>
      <c r="T263" s="3" t="n">
        <v>0</v>
      </c>
      <c r="U263" s="3" t="n">
        <v>0.1102</v>
      </c>
      <c r="V263" s="3" t="n">
        <v>3.305</v>
      </c>
      <c r="W263" s="3">
        <f>IF(V263="",IFERROR(VLOOKUP($C263,Assumptions!$A$4:$F$7,6,FALSE),0),V263)</f>
        <v/>
      </c>
      <c r="X263" s="3">
        <f>N(O263)*IFERROR(VLOOKUP($C263,Assumptions!$A$4:$F$7,2,FALSE),0)</f>
        <v/>
      </c>
      <c r="Y263" s="3">
        <f>N(S263)*IFERROR(VLOOKUP($C263,Assumptions!$A$4:$F$7,3,FALSE),0)*Assumptions!$B$11</f>
        <v/>
      </c>
      <c r="Z263" s="3">
        <f>N(N263)*IFERROR(VLOOKUP($C263,Assumptions!$A$4:$F$7,4,FALSE),0)</f>
        <v/>
      </c>
      <c r="AA263" s="3">
        <f>N(T263)*IFERROR(VLOOKUP($C263,Assumptions!$A$4:$F$7,5,FALSE),0)</f>
        <v/>
      </c>
      <c r="AB263" s="3">
        <f>N(U263)</f>
        <v/>
      </c>
      <c r="AC263" s="3">
        <f>SUM(W263:AB263)</f>
        <v/>
      </c>
      <c r="AD263" s="3">
        <f>N(AC263)*N(M263)/90</f>
        <v/>
      </c>
      <c r="AE263" s="3">
        <f>IFERROR(AD263-VLOOKUP($C263,Assumptions!$A$29:$C$32,3,FALSE),"")</f>
        <v/>
      </c>
      <c r="AF263" s="3">
        <f>IFERROR(AE263/F263,"")</f>
        <v/>
      </c>
      <c r="AG263">
        <f>IF(AND($E263=TRUE,$C263="GKP"),AD263,"")</f>
        <v/>
      </c>
      <c r="AH263">
        <f>IF(AND($E263=TRUE,$C263="DEF"),AD263,"")</f>
        <v/>
      </c>
      <c r="AI263">
        <f>IF(AND($E263=TRUE,$C263="MID"),AD263,"")</f>
        <v/>
      </c>
      <c r="AJ263">
        <f>IF(AND($E263=TRUE,$C263="FWD"),AD263,"")</f>
        <v/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b">
        <v>1</v>
      </c>
      <c r="F264" s="2" t="n">
        <v>6</v>
      </c>
      <c r="G264" t="inlineStr">
        <is>
          <t>a</t>
        </is>
      </c>
      <c r="I264" s="2" t="n">
        <v>547</v>
      </c>
      <c r="J264" t="n">
        <v>43</v>
      </c>
      <c r="K264" s="3" t="n">
        <v>2269</v>
      </c>
      <c r="L264" t="inlineStr">
        <is>
          <t>flat</t>
        </is>
      </c>
      <c r="M264" s="4" t="n">
        <v>547</v>
      </c>
      <c r="N264" s="4" t="n">
        <v>0.263</v>
      </c>
      <c r="O264" s="3" t="n">
        <v>0.2336</v>
      </c>
      <c r="P264" t="inlineStr">
        <is>
          <t>adjusted xGOT</t>
        </is>
      </c>
      <c r="Q264" s="3" t="n">
        <v>1.06</v>
      </c>
      <c r="R264" s="3" t="n">
        <v>1.3</v>
      </c>
      <c r="S264" s="3" t="n">
        <v>0.3403</v>
      </c>
      <c r="T264" s="3" t="n">
        <v>0</v>
      </c>
      <c r="U264" s="3" t="n">
        <v>0.6581</v>
      </c>
      <c r="V264" s="3" t="n">
        <v>3.949</v>
      </c>
      <c r="W264" s="3">
        <f>IF(V264="",IFERROR(VLOOKUP($C264,Assumptions!$A$4:$F$7,6,FALSE),0),V264)</f>
        <v/>
      </c>
      <c r="X264" s="3">
        <f>N(O264)*IFERROR(VLOOKUP($C264,Assumptions!$A$4:$F$7,2,FALSE),0)</f>
        <v/>
      </c>
      <c r="Y264" s="3">
        <f>N(S264)*IFERROR(VLOOKUP($C264,Assumptions!$A$4:$F$7,3,FALSE),0)*Assumptions!$B$11</f>
        <v/>
      </c>
      <c r="Z264" s="3">
        <f>N(N264)*IFERROR(VLOOKUP($C264,Assumptions!$A$4:$F$7,4,FALSE),0)</f>
        <v/>
      </c>
      <c r="AA264" s="3">
        <f>N(T264)*IFERROR(VLOOKUP($C264,Assumptions!$A$4:$F$7,5,FALSE),0)</f>
        <v/>
      </c>
      <c r="AB264" s="3">
        <f>N(U264)</f>
        <v/>
      </c>
      <c r="AC264" s="3">
        <f>SUM(W264:AB264)</f>
        <v/>
      </c>
      <c r="AD264" s="3">
        <f>N(AC264)*N(M264)/90</f>
        <v/>
      </c>
      <c r="AE264" s="3">
        <f>IFERROR(AD264-VLOOKUP($C264,Assumptions!$A$29:$C$32,3,FALSE),"")</f>
        <v/>
      </c>
      <c r="AF264" s="3">
        <f>IFERROR(AE264/F264,"")</f>
        <v/>
      </c>
      <c r="AG264">
        <f>IF(AND($E264=TRUE,$C264="GKP"),AD264,"")</f>
        <v/>
      </c>
      <c r="AH264">
        <f>IF(AND($E264=TRUE,$C264="DEF"),AD264,"")</f>
        <v/>
      </c>
      <c r="AI264">
        <f>IF(AND($E264=TRUE,$C264="MID"),AD264,"")</f>
        <v/>
      </c>
      <c r="AJ264">
        <f>IF(AND($E264=TRUE,$C264="FWD"),AD264,"")</f>
        <v/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b">
        <v>1</v>
      </c>
      <c r="F265" s="2" t="n">
        <v>5.5</v>
      </c>
      <c r="G265" t="inlineStr">
        <is>
          <t>a</t>
        </is>
      </c>
      <c r="I265" s="2" t="n">
        <v>480</v>
      </c>
      <c r="J265" t="n">
        <v>43</v>
      </c>
      <c r="K265" s="3" t="n">
        <v>72</v>
      </c>
      <c r="L265" t="inlineStr">
        <is>
          <t>flat</t>
        </is>
      </c>
      <c r="M265" s="4" t="n">
        <v>480</v>
      </c>
      <c r="N265" s="4" t="n">
        <v>0.237</v>
      </c>
      <c r="O265" s="3" t="n">
        <v>0.5998</v>
      </c>
      <c r="P265" t="inlineStr">
        <is>
          <t>adjusted xGOT</t>
        </is>
      </c>
      <c r="Q265" s="3" t="n">
        <v>0.869</v>
      </c>
      <c r="R265" s="3" t="n">
        <v>17.5</v>
      </c>
      <c r="S265" s="3" t="n">
        <v>0.1959</v>
      </c>
      <c r="T265" s="3" t="n">
        <v>0</v>
      </c>
      <c r="U265" s="3" t="n">
        <v>0.75</v>
      </c>
      <c r="V265" s="3" t="n">
        <v>3.562</v>
      </c>
      <c r="W265" s="3">
        <f>IF(V265="",IFERROR(VLOOKUP($C265,Assumptions!$A$4:$F$7,6,FALSE),0),V265)</f>
        <v/>
      </c>
      <c r="X265" s="3">
        <f>N(O265)*IFERROR(VLOOKUP($C265,Assumptions!$A$4:$F$7,2,FALSE),0)</f>
        <v/>
      </c>
      <c r="Y265" s="3">
        <f>N(S265)*IFERROR(VLOOKUP($C265,Assumptions!$A$4:$F$7,3,FALSE),0)*Assumptions!$B$11</f>
        <v/>
      </c>
      <c r="Z265" s="3">
        <f>N(N265)*IFERROR(VLOOKUP($C265,Assumptions!$A$4:$F$7,4,FALSE),0)</f>
        <v/>
      </c>
      <c r="AA265" s="3">
        <f>N(T265)*IFERROR(VLOOKUP($C265,Assumptions!$A$4:$F$7,5,FALSE),0)</f>
        <v/>
      </c>
      <c r="AB265" s="3">
        <f>N(U265)</f>
        <v/>
      </c>
      <c r="AC265" s="3">
        <f>SUM(W265:AB265)</f>
        <v/>
      </c>
      <c r="AD265" s="3">
        <f>N(AC265)*N(M265)/90</f>
        <v/>
      </c>
      <c r="AE265" s="3">
        <f>IFERROR(AD265-VLOOKUP($C265,Assumptions!$A$29:$C$32,3,FALSE),"")</f>
        <v/>
      </c>
      <c r="AF265" s="3">
        <f>IFERROR(AE265/F265,"")</f>
        <v/>
      </c>
      <c r="AG265">
        <f>IF(AND($E265=TRUE,$C265="GKP"),AD265,"")</f>
        <v/>
      </c>
      <c r="AH265">
        <f>IF(AND($E265=TRUE,$C265="DEF"),AD265,"")</f>
        <v/>
      </c>
      <c r="AI265">
        <f>IF(AND($E265=TRUE,$C265="MID"),AD265,"")</f>
        <v/>
      </c>
      <c r="AJ265">
        <f>IF(AND($E265=TRUE,$C265="FWD"),AD265,"")</f>
        <v/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b">
        <v>1</v>
      </c>
      <c r="F266" s="2" t="n">
        <v>5</v>
      </c>
      <c r="G266" t="inlineStr">
        <is>
          <t>i</t>
        </is>
      </c>
      <c r="H266" t="inlineStr">
        <is>
          <t>Back injury - Unknown return date</t>
        </is>
      </c>
      <c r="I266" s="2" t="n">
        <v>1170</v>
      </c>
      <c r="J266" t="n">
        <v>43</v>
      </c>
      <c r="K266" s="3" t="n">
        <v>1026</v>
      </c>
      <c r="L266" t="inlineStr">
        <is>
          <t>flat</t>
        </is>
      </c>
      <c r="M266" s="4" t="n">
        <v>1170</v>
      </c>
      <c r="N266" s="4" t="n">
        <v>0.21</v>
      </c>
      <c r="O266" s="3" t="n">
        <v>0.1164</v>
      </c>
      <c r="P266" t="inlineStr">
        <is>
          <t>adjusted xGOT</t>
        </is>
      </c>
      <c r="Q266" s="3" t="n">
        <v>1.096</v>
      </c>
      <c r="R266" s="3" t="n">
        <v>3.9</v>
      </c>
      <c r="S266" s="3" t="n">
        <v>0.0484</v>
      </c>
      <c r="T266" s="3" t="n">
        <v>0.308</v>
      </c>
      <c r="U266" s="3" t="n">
        <v>0.2308</v>
      </c>
      <c r="V266" s="3" t="n">
        <v>2</v>
      </c>
      <c r="W266" s="3">
        <f>IF(V266="",IFERROR(VLOOKUP($C266,Assumptions!$A$4:$F$7,6,FALSE),0),V266)</f>
        <v/>
      </c>
      <c r="X266" s="3">
        <f>N(O266)*IFERROR(VLOOKUP($C266,Assumptions!$A$4:$F$7,2,FALSE),0)</f>
        <v/>
      </c>
      <c r="Y266" s="3">
        <f>N(S266)*IFERROR(VLOOKUP($C266,Assumptions!$A$4:$F$7,3,FALSE),0)*Assumptions!$B$11</f>
        <v/>
      </c>
      <c r="Z266" s="3">
        <f>N(N266)*IFERROR(VLOOKUP($C266,Assumptions!$A$4:$F$7,4,FALSE),0)</f>
        <v/>
      </c>
      <c r="AA266" s="3">
        <f>N(T266)*IFERROR(VLOOKUP($C266,Assumptions!$A$4:$F$7,5,FALSE),0)</f>
        <v/>
      </c>
      <c r="AB266" s="3">
        <f>N(U266)</f>
        <v/>
      </c>
      <c r="AC266" s="3">
        <f>SUM(W266:AB266)</f>
        <v/>
      </c>
      <c r="AD266" s="3">
        <f>N(AC266)*N(M266)/90</f>
        <v/>
      </c>
      <c r="AE266" s="3">
        <f>IFERROR(AD266-VLOOKUP($C266,Assumptions!$A$29:$C$32,3,FALSE),"")</f>
        <v/>
      </c>
      <c r="AF266" s="3">
        <f>IFERROR(AE266/F266,"")</f>
        <v/>
      </c>
      <c r="AG266">
        <f>IF(AND($E266=TRUE,$C266="GKP"),AD266,"")</f>
        <v/>
      </c>
      <c r="AH266">
        <f>IF(AND($E266=TRUE,$C266="DEF"),AD266,"")</f>
        <v/>
      </c>
      <c r="AI266">
        <f>IF(AND($E266=TRUE,$C266="MID"),AD266,"")</f>
        <v/>
      </c>
      <c r="AJ266">
        <f>IF(AND($E266=TRUE,$C266="FWD"),AD266,"")</f>
        <v/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b">
        <v>1</v>
      </c>
      <c r="F267" s="2" t="n">
        <v>4.5</v>
      </c>
      <c r="G267" t="inlineStr">
        <is>
          <t>a</t>
        </is>
      </c>
      <c r="I267" s="2" t="n">
        <v>1440</v>
      </c>
      <c r="J267" t="n">
        <v>43</v>
      </c>
      <c r="K267" s="3" t="n">
        <v>35</v>
      </c>
      <c r="L267" t="inlineStr">
        <is>
          <t>flat</t>
        </is>
      </c>
      <c r="M267" s="4" t="n">
        <v>1440</v>
      </c>
      <c r="N267" s="4" t="n">
        <v>0.21</v>
      </c>
      <c r="O267" s="3" t="n">
        <v>0</v>
      </c>
      <c r="P267" t="inlineStr">
        <is>
          <t>blended xG</t>
        </is>
      </c>
      <c r="Q267" s="3" t="n">
        <v>1</v>
      </c>
      <c r="R267" s="3" t="n">
        <v>0</v>
      </c>
      <c r="S267" s="3" t="n">
        <v>0</v>
      </c>
      <c r="T267" s="3" t="n">
        <v>0</v>
      </c>
      <c r="U267" s="3" t="n">
        <v>0.1875</v>
      </c>
      <c r="V267" s="3" t="n">
        <v>2</v>
      </c>
      <c r="W267" s="3">
        <f>IF(V267="",IFERROR(VLOOKUP($C267,Assumptions!$A$4:$F$7,6,FALSE),0),V267)</f>
        <v/>
      </c>
      <c r="X267" s="3">
        <f>N(O267)*IFERROR(VLOOKUP($C267,Assumptions!$A$4:$F$7,2,FALSE),0)</f>
        <v/>
      </c>
      <c r="Y267" s="3">
        <f>N(S267)*IFERROR(VLOOKUP($C267,Assumptions!$A$4:$F$7,3,FALSE),0)*Assumptions!$B$11</f>
        <v/>
      </c>
      <c r="Z267" s="3">
        <f>N(N267)*IFERROR(VLOOKUP($C267,Assumptions!$A$4:$F$7,4,FALSE),0)</f>
        <v/>
      </c>
      <c r="AA267" s="3">
        <f>N(T267)*IFERROR(VLOOKUP($C267,Assumptions!$A$4:$F$7,5,FALSE),0)</f>
        <v/>
      </c>
      <c r="AB267" s="3">
        <f>N(U267)</f>
        <v/>
      </c>
      <c r="AC267" s="3">
        <f>SUM(W267:AB267)</f>
        <v/>
      </c>
      <c r="AD267" s="3">
        <f>N(AC267)*N(M267)/90</f>
        <v/>
      </c>
      <c r="AE267" s="3">
        <f>IFERROR(AD267-VLOOKUP($C267,Assumptions!$A$29:$C$32,3,FALSE),"")</f>
        <v/>
      </c>
      <c r="AF267" s="3">
        <f>IFERROR(AE267/F267,"")</f>
        <v/>
      </c>
      <c r="AG267">
        <f>IF(AND($E267=TRUE,$C267="GKP"),AD267,"")</f>
        <v/>
      </c>
      <c r="AH267">
        <f>IF(AND($E267=TRUE,$C267="DEF"),AD267,"")</f>
        <v/>
      </c>
      <c r="AI267">
        <f>IF(AND($E267=TRUE,$C267="MID"),AD267,"")</f>
        <v/>
      </c>
      <c r="AJ267">
        <f>IF(AND($E267=TRUE,$C267="FWD"),AD267,"")</f>
        <v/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b">
        <v>1</v>
      </c>
      <c r="F268" s="2" t="n">
        <v>5.5</v>
      </c>
      <c r="G268" t="inlineStr">
        <is>
          <t>a</t>
        </is>
      </c>
      <c r="I268" s="2" t="n">
        <v>1030</v>
      </c>
      <c r="J268" t="n">
        <v>42</v>
      </c>
      <c r="K268" s="3" t="n">
        <v>2645</v>
      </c>
      <c r="L268" t="inlineStr">
        <is>
          <t>flat</t>
        </is>
      </c>
      <c r="M268" s="4" t="n">
        <v>1030</v>
      </c>
      <c r="N268" s="4" t="n">
        <v>0.237</v>
      </c>
      <c r="O268" s="3" t="n">
        <v>0.1206</v>
      </c>
      <c r="P268" t="inlineStr">
        <is>
          <t>adjusted xGOT</t>
        </is>
      </c>
      <c r="Q268" s="3" t="n">
        <v>0.9389999999999999</v>
      </c>
      <c r="R268" s="3" t="n">
        <v>3</v>
      </c>
      <c r="S268" s="3" t="n">
        <v>0.1799</v>
      </c>
      <c r="T268" s="3" t="n">
        <v>0</v>
      </c>
      <c r="U268" s="3" t="n">
        <v>0</v>
      </c>
      <c r="V268" s="3" t="n">
        <v>2.883</v>
      </c>
      <c r="W268" s="3">
        <f>IF(V268="",IFERROR(VLOOKUP($C268,Assumptions!$A$4:$F$7,6,FALSE),0),V268)</f>
        <v/>
      </c>
      <c r="X268" s="3">
        <f>N(O268)*IFERROR(VLOOKUP($C268,Assumptions!$A$4:$F$7,2,FALSE),0)</f>
        <v/>
      </c>
      <c r="Y268" s="3">
        <f>N(S268)*IFERROR(VLOOKUP($C268,Assumptions!$A$4:$F$7,3,FALSE),0)*Assumptions!$B$11</f>
        <v/>
      </c>
      <c r="Z268" s="3">
        <f>N(N268)*IFERROR(VLOOKUP($C268,Assumptions!$A$4:$F$7,4,FALSE),0)</f>
        <v/>
      </c>
      <c r="AA268" s="3">
        <f>N(T268)*IFERROR(VLOOKUP($C268,Assumptions!$A$4:$F$7,5,FALSE),0)</f>
        <v/>
      </c>
      <c r="AB268" s="3">
        <f>N(U268)</f>
        <v/>
      </c>
      <c r="AC268" s="3">
        <f>SUM(W268:AB268)</f>
        <v/>
      </c>
      <c r="AD268" s="3">
        <f>N(AC268)*N(M268)/90</f>
        <v/>
      </c>
      <c r="AE268" s="3">
        <f>IFERROR(AD268-VLOOKUP($C268,Assumptions!$A$29:$C$32,3,FALSE),"")</f>
        <v/>
      </c>
      <c r="AF268" s="3">
        <f>IFERROR(AE268/F268,"")</f>
        <v/>
      </c>
      <c r="AG268">
        <f>IF(AND($E268=TRUE,$C268="GKP"),AD268,"")</f>
        <v/>
      </c>
      <c r="AH268">
        <f>IF(AND($E268=TRUE,$C268="DEF"),AD268,"")</f>
        <v/>
      </c>
      <c r="AI268">
        <f>IF(AND($E268=TRUE,$C268="MID"),AD268,"")</f>
        <v/>
      </c>
      <c r="AJ268">
        <f>IF(AND($E268=TRUE,$C268="FWD"),AD268,"")</f>
        <v/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b">
        <v>1</v>
      </c>
      <c r="F269" s="2" t="n">
        <v>4.5</v>
      </c>
      <c r="G269" t="inlineStr">
        <is>
          <t>a</t>
        </is>
      </c>
      <c r="I269" s="2" t="n">
        <v>920</v>
      </c>
      <c r="J269" t="n">
        <v>42</v>
      </c>
      <c r="K269" s="3" t="n">
        <v>176</v>
      </c>
      <c r="L269" t="inlineStr">
        <is>
          <t>fade (losing his place)</t>
        </is>
      </c>
      <c r="M269" s="4" t="n">
        <v>920</v>
      </c>
      <c r="N269" s="4" t="n">
        <v>0.21</v>
      </c>
      <c r="O269" s="3" t="n">
        <v>0.0315</v>
      </c>
      <c r="P269" t="inlineStr">
        <is>
          <t>adjusted xGOT</t>
        </is>
      </c>
      <c r="Q269" s="3" t="n">
        <v>0.946</v>
      </c>
      <c r="R269" s="3" t="n">
        <v>0.5</v>
      </c>
      <c r="S269" s="3" t="n">
        <v>0.0267</v>
      </c>
      <c r="T269" s="3" t="n">
        <v>0.455</v>
      </c>
      <c r="U269" s="3" t="n">
        <v>0</v>
      </c>
      <c r="V269" s="3" t="n">
        <v>2.641</v>
      </c>
      <c r="W269" s="3">
        <f>IF(V269="",IFERROR(VLOOKUP($C269,Assumptions!$A$4:$F$7,6,FALSE),0),V269)</f>
        <v/>
      </c>
      <c r="X269" s="3">
        <f>N(O269)*IFERROR(VLOOKUP($C269,Assumptions!$A$4:$F$7,2,FALSE),0)</f>
        <v/>
      </c>
      <c r="Y269" s="3">
        <f>N(S269)*IFERROR(VLOOKUP($C269,Assumptions!$A$4:$F$7,3,FALSE),0)*Assumptions!$B$11</f>
        <v/>
      </c>
      <c r="Z269" s="3">
        <f>N(N269)*IFERROR(VLOOKUP($C269,Assumptions!$A$4:$F$7,4,FALSE),0)</f>
        <v/>
      </c>
      <c r="AA269" s="3">
        <f>N(T269)*IFERROR(VLOOKUP($C269,Assumptions!$A$4:$F$7,5,FALSE),0)</f>
        <v/>
      </c>
      <c r="AB269" s="3">
        <f>N(U269)</f>
        <v/>
      </c>
      <c r="AC269" s="3">
        <f>SUM(W269:AB269)</f>
        <v/>
      </c>
      <c r="AD269" s="3">
        <f>N(AC269)*N(M269)/90</f>
        <v/>
      </c>
      <c r="AE269" s="3">
        <f>IFERROR(AD269-VLOOKUP($C269,Assumptions!$A$29:$C$32,3,FALSE),"")</f>
        <v/>
      </c>
      <c r="AF269" s="3">
        <f>IFERROR(AE269/F269,"")</f>
        <v/>
      </c>
      <c r="AG269">
        <f>IF(AND($E269=TRUE,$C269="GKP"),AD269,"")</f>
        <v/>
      </c>
      <c r="AH269">
        <f>IF(AND($E269=TRUE,$C269="DEF"),AD269,"")</f>
        <v/>
      </c>
      <c r="AI269">
        <f>IF(AND($E269=TRUE,$C269="MID"),AD269,"")</f>
        <v/>
      </c>
      <c r="AJ269">
        <f>IF(AND($E269=TRUE,$C269="FWD"),AD269,"")</f>
        <v/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b">
        <v>1</v>
      </c>
      <c r="F270" s="2" t="n">
        <v>5</v>
      </c>
      <c r="G270" t="inlineStr">
        <is>
          <t>i</t>
        </is>
      </c>
      <c r="H270" t="inlineStr">
        <is>
          <t>Knee injury - Unknown return date</t>
        </is>
      </c>
      <c r="I270" s="2" t="n">
        <v>928</v>
      </c>
      <c r="J270" t="n">
        <v>42</v>
      </c>
      <c r="K270" s="3" t="n">
        <v>1328</v>
      </c>
      <c r="L270" t="inlineStr">
        <is>
          <t>ramp-up (injury / late WC return)</t>
        </is>
      </c>
      <c r="M270" s="4" t="n">
        <v>928</v>
      </c>
      <c r="N270" s="4" t="n">
        <v>0.263</v>
      </c>
      <c r="O270" s="3" t="n">
        <v>0.0185</v>
      </c>
      <c r="P270" t="inlineStr">
        <is>
          <t>adjusted xGOT</t>
        </is>
      </c>
      <c r="Q270" s="3" t="n">
        <v>1.062</v>
      </c>
      <c r="R270" s="3" t="n">
        <v>1.8</v>
      </c>
      <c r="S270" s="3" t="n">
        <v>0.09859999999999999</v>
      </c>
      <c r="T270" s="3" t="n">
        <v>0.083</v>
      </c>
      <c r="U270" s="3" t="n">
        <v>0</v>
      </c>
      <c r="V270" s="3" t="n">
        <v>2.328</v>
      </c>
      <c r="W270" s="3">
        <f>IF(V270="",IFERROR(VLOOKUP($C270,Assumptions!$A$4:$F$7,6,FALSE),0),V270)</f>
        <v/>
      </c>
      <c r="X270" s="3">
        <f>N(O270)*IFERROR(VLOOKUP($C270,Assumptions!$A$4:$F$7,2,FALSE),0)</f>
        <v/>
      </c>
      <c r="Y270" s="3">
        <f>N(S270)*IFERROR(VLOOKUP($C270,Assumptions!$A$4:$F$7,3,FALSE),0)*Assumptions!$B$11</f>
        <v/>
      </c>
      <c r="Z270" s="3">
        <f>N(N270)*IFERROR(VLOOKUP($C270,Assumptions!$A$4:$F$7,4,FALSE),0)</f>
        <v/>
      </c>
      <c r="AA270" s="3">
        <f>N(T270)*IFERROR(VLOOKUP($C270,Assumptions!$A$4:$F$7,5,FALSE),0)</f>
        <v/>
      </c>
      <c r="AB270" s="3">
        <f>N(U270)</f>
        <v/>
      </c>
      <c r="AC270" s="3">
        <f>SUM(W270:AB270)</f>
        <v/>
      </c>
      <c r="AD270" s="3">
        <f>N(AC270)*N(M270)/90</f>
        <v/>
      </c>
      <c r="AE270" s="3">
        <f>IFERROR(AD270-VLOOKUP($C270,Assumptions!$A$29:$C$32,3,FALSE),"")</f>
        <v/>
      </c>
      <c r="AF270" s="3">
        <f>IFERROR(AE270/F270,"")</f>
        <v/>
      </c>
      <c r="AG270">
        <f>IF(AND($E270=TRUE,$C270="GKP"),AD270,"")</f>
        <v/>
      </c>
      <c r="AH270">
        <f>IF(AND($E270=TRUE,$C270="DEF"),AD270,"")</f>
        <v/>
      </c>
      <c r="AI270">
        <f>IF(AND($E270=TRUE,$C270="MID"),AD270,"")</f>
        <v/>
      </c>
      <c r="AJ270">
        <f>IF(AND($E270=TRUE,$C270="FWD"),AD270,"")</f>
        <v/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b">
        <v>1</v>
      </c>
      <c r="F271" s="2" t="n">
        <v>5.5</v>
      </c>
      <c r="G271" t="inlineStr">
        <is>
          <t>a</t>
        </is>
      </c>
      <c r="I271" s="2" t="n">
        <v>607</v>
      </c>
      <c r="J271" t="n">
        <v>42</v>
      </c>
      <c r="K271" s="3" t="n">
        <v>59</v>
      </c>
      <c r="L271" t="inlineStr">
        <is>
          <t>flat</t>
        </is>
      </c>
      <c r="M271" s="4" t="n">
        <v>607</v>
      </c>
      <c r="N271" s="4" t="n">
        <v>0.21</v>
      </c>
      <c r="O271" s="3" t="n">
        <v>0.4147</v>
      </c>
      <c r="P271" t="inlineStr">
        <is>
          <t>adjusted xGOT</t>
        </is>
      </c>
      <c r="Q271" s="3" t="n">
        <v>1.021</v>
      </c>
      <c r="R271" s="3" t="n">
        <v>7.4</v>
      </c>
      <c r="S271" s="3" t="n">
        <v>0.1154</v>
      </c>
      <c r="T271" s="3" t="n">
        <v>0</v>
      </c>
      <c r="U271" s="3" t="n">
        <v>0.8895999999999999</v>
      </c>
      <c r="V271" s="3" t="n">
        <v>4.152</v>
      </c>
      <c r="W271" s="3">
        <f>IF(V271="",IFERROR(VLOOKUP($C271,Assumptions!$A$4:$F$7,6,FALSE),0),V271)</f>
        <v/>
      </c>
      <c r="X271" s="3">
        <f>N(O271)*IFERROR(VLOOKUP($C271,Assumptions!$A$4:$F$7,2,FALSE),0)</f>
        <v/>
      </c>
      <c r="Y271" s="3">
        <f>N(S271)*IFERROR(VLOOKUP($C271,Assumptions!$A$4:$F$7,3,FALSE),0)*Assumptions!$B$11</f>
        <v/>
      </c>
      <c r="Z271" s="3">
        <f>N(N271)*IFERROR(VLOOKUP($C271,Assumptions!$A$4:$F$7,4,FALSE),0)</f>
        <v/>
      </c>
      <c r="AA271" s="3">
        <f>N(T271)*IFERROR(VLOOKUP($C271,Assumptions!$A$4:$F$7,5,FALSE),0)</f>
        <v/>
      </c>
      <c r="AB271" s="3">
        <f>N(U271)</f>
        <v/>
      </c>
      <c r="AC271" s="3">
        <f>SUM(W271:AB271)</f>
        <v/>
      </c>
      <c r="AD271" s="3">
        <f>N(AC271)*N(M271)/90</f>
        <v/>
      </c>
      <c r="AE271" s="3">
        <f>IFERROR(AD271-VLOOKUP($C271,Assumptions!$A$29:$C$32,3,FALSE),"")</f>
        <v/>
      </c>
      <c r="AF271" s="3">
        <f>IFERROR(AE271/F271,"")</f>
        <v/>
      </c>
      <c r="AG271">
        <f>IF(AND($E271=TRUE,$C271="GKP"),AD271,"")</f>
        <v/>
      </c>
      <c r="AH271">
        <f>IF(AND($E271=TRUE,$C271="DEF"),AD271,"")</f>
        <v/>
      </c>
      <c r="AI271">
        <f>IF(AND($E271=TRUE,$C271="MID"),AD271,"")</f>
        <v/>
      </c>
      <c r="AJ271">
        <f>IF(AND($E271=TRUE,$C271="FWD"),AD271,"")</f>
        <v/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b">
        <v>1</v>
      </c>
      <c r="F272" s="2" t="n">
        <v>6</v>
      </c>
      <c r="G272" t="inlineStr">
        <is>
          <t>a</t>
        </is>
      </c>
      <c r="I272" s="2" t="n">
        <v>945</v>
      </c>
      <c r="J272" t="n">
        <v>41</v>
      </c>
      <c r="K272" s="3" t="n">
        <v>935</v>
      </c>
      <c r="L272" t="inlineStr">
        <is>
          <t>fade (losing his place)</t>
        </is>
      </c>
      <c r="M272" s="4" t="n">
        <v>945</v>
      </c>
      <c r="N272" s="4" t="n">
        <v>0.29</v>
      </c>
      <c r="O272" s="3" t="n">
        <v>0.2249</v>
      </c>
      <c r="P272" t="inlineStr">
        <is>
          <t>adjusted xGOT</t>
        </is>
      </c>
      <c r="Q272" s="3" t="n">
        <v>1.022</v>
      </c>
      <c r="R272" s="3" t="n">
        <v>18.1</v>
      </c>
      <c r="S272" s="3" t="n">
        <v>0.1831</v>
      </c>
      <c r="T272" s="3" t="n">
        <v>0</v>
      </c>
      <c r="U272" s="3" t="n">
        <v>0.2857</v>
      </c>
      <c r="V272" s="3" t="n">
        <v>2.762</v>
      </c>
      <c r="W272" s="3">
        <f>IF(V272="",IFERROR(VLOOKUP($C272,Assumptions!$A$4:$F$7,6,FALSE),0),V272)</f>
        <v/>
      </c>
      <c r="X272" s="3">
        <f>N(O272)*IFERROR(VLOOKUP($C272,Assumptions!$A$4:$F$7,2,FALSE),0)</f>
        <v/>
      </c>
      <c r="Y272" s="3">
        <f>N(S272)*IFERROR(VLOOKUP($C272,Assumptions!$A$4:$F$7,3,FALSE),0)*Assumptions!$B$11</f>
        <v/>
      </c>
      <c r="Z272" s="3">
        <f>N(N272)*IFERROR(VLOOKUP($C272,Assumptions!$A$4:$F$7,4,FALSE),0)</f>
        <v/>
      </c>
      <c r="AA272" s="3">
        <f>N(T272)*IFERROR(VLOOKUP($C272,Assumptions!$A$4:$F$7,5,FALSE),0)</f>
        <v/>
      </c>
      <c r="AB272" s="3">
        <f>N(U272)</f>
        <v/>
      </c>
      <c r="AC272" s="3">
        <f>SUM(W272:AB272)</f>
        <v/>
      </c>
      <c r="AD272" s="3">
        <f>N(AC272)*N(M272)/90</f>
        <v/>
      </c>
      <c r="AE272" s="3">
        <f>IFERROR(AD272-VLOOKUP($C272,Assumptions!$A$29:$C$32,3,FALSE),"")</f>
        <v/>
      </c>
      <c r="AF272" s="3">
        <f>IFERROR(AE272/F272,"")</f>
        <v/>
      </c>
      <c r="AG272">
        <f>IF(AND($E272=TRUE,$C272="GKP"),AD272,"")</f>
        <v/>
      </c>
      <c r="AH272">
        <f>IF(AND($E272=TRUE,$C272="DEF"),AD272,"")</f>
        <v/>
      </c>
      <c r="AI272">
        <f>IF(AND($E272=TRUE,$C272="MID"),AD272,"")</f>
        <v/>
      </c>
      <c r="AJ272">
        <f>IF(AND($E272=TRUE,$C272="FWD"),AD272,"")</f>
        <v/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b">
        <v>1</v>
      </c>
      <c r="F273" s="2" t="n">
        <v>5</v>
      </c>
      <c r="G273" t="inlineStr">
        <is>
          <t>i</t>
        </is>
      </c>
      <c r="H273" t="inlineStr">
        <is>
          <t>Knee injury - Expected back 10 Oct</t>
        </is>
      </c>
      <c r="I273" s="2" t="n">
        <v>756</v>
      </c>
      <c r="J273" t="n">
        <v>41</v>
      </c>
      <c r="K273" s="3" t="n">
        <v>324</v>
      </c>
      <c r="L273" t="inlineStr">
        <is>
          <t>flat</t>
        </is>
      </c>
      <c r="M273" s="4" t="n">
        <v>756</v>
      </c>
      <c r="N273" s="4" t="n">
        <v>0.237</v>
      </c>
      <c r="O273" s="3" t="n">
        <v>0.1474</v>
      </c>
      <c r="P273" t="inlineStr">
        <is>
          <t>adjusted xGOT</t>
        </is>
      </c>
      <c r="Q273" s="3" t="n">
        <v>1.023</v>
      </c>
      <c r="R273" s="3" t="n">
        <v>4.4</v>
      </c>
      <c r="S273" s="3" t="n">
        <v>0.0892</v>
      </c>
      <c r="T273" s="3" t="n">
        <v>0</v>
      </c>
      <c r="U273" s="3" t="n">
        <v>0.119</v>
      </c>
      <c r="V273" s="3" t="n">
        <v>3.69</v>
      </c>
      <c r="W273" s="3">
        <f>IF(V273="",IFERROR(VLOOKUP($C273,Assumptions!$A$4:$F$7,6,FALSE),0),V273)</f>
        <v/>
      </c>
      <c r="X273" s="3">
        <f>N(O273)*IFERROR(VLOOKUP($C273,Assumptions!$A$4:$F$7,2,FALSE),0)</f>
        <v/>
      </c>
      <c r="Y273" s="3">
        <f>N(S273)*IFERROR(VLOOKUP($C273,Assumptions!$A$4:$F$7,3,FALSE),0)*Assumptions!$B$11</f>
        <v/>
      </c>
      <c r="Z273" s="3">
        <f>N(N273)*IFERROR(VLOOKUP($C273,Assumptions!$A$4:$F$7,4,FALSE),0)</f>
        <v/>
      </c>
      <c r="AA273" s="3">
        <f>N(T273)*IFERROR(VLOOKUP($C273,Assumptions!$A$4:$F$7,5,FALSE),0)</f>
        <v/>
      </c>
      <c r="AB273" s="3">
        <f>N(U273)</f>
        <v/>
      </c>
      <c r="AC273" s="3">
        <f>SUM(W273:AB273)</f>
        <v/>
      </c>
      <c r="AD273" s="3">
        <f>N(AC273)*N(M273)/90</f>
        <v/>
      </c>
      <c r="AE273" s="3">
        <f>IFERROR(AD273-VLOOKUP($C273,Assumptions!$A$29:$C$32,3,FALSE),"")</f>
        <v/>
      </c>
      <c r="AF273" s="3">
        <f>IFERROR(AE273/F273,"")</f>
        <v/>
      </c>
      <c r="AG273">
        <f>IF(AND($E273=TRUE,$C273="GKP"),AD273,"")</f>
        <v/>
      </c>
      <c r="AH273">
        <f>IF(AND($E273=TRUE,$C273="DEF"),AD273,"")</f>
        <v/>
      </c>
      <c r="AI273">
        <f>IF(AND($E273=TRUE,$C273="MID"),AD273,"")</f>
        <v/>
      </c>
      <c r="AJ273">
        <f>IF(AND($E273=TRUE,$C273="FWD"),AD273,"")</f>
        <v/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b">
        <v>1</v>
      </c>
      <c r="F274" s="2" t="n">
        <v>6</v>
      </c>
      <c r="G274" t="inlineStr">
        <is>
          <t>a</t>
        </is>
      </c>
      <c r="I274" s="2" t="n">
        <v>896</v>
      </c>
      <c r="J274" t="n">
        <v>41</v>
      </c>
      <c r="K274" s="3" t="n">
        <v>523</v>
      </c>
      <c r="L274" t="inlineStr">
        <is>
          <t>flat</t>
        </is>
      </c>
      <c r="M274" s="4" t="n">
        <v>896</v>
      </c>
      <c r="N274" s="4" t="n">
        <v>0.237</v>
      </c>
      <c r="O274" s="3" t="n">
        <v>0.4327</v>
      </c>
      <c r="P274" t="inlineStr">
        <is>
          <t>adjusted xGOT</t>
        </is>
      </c>
      <c r="Q274" s="3" t="n">
        <v>1.004</v>
      </c>
      <c r="R274" s="3" t="n">
        <v>32.1</v>
      </c>
      <c r="S274" s="3" t="n">
        <v>0.0322</v>
      </c>
      <c r="T274" s="3" t="n">
        <v>0</v>
      </c>
      <c r="U274" s="3" t="n">
        <v>0.4018</v>
      </c>
      <c r="V274" s="3" t="n">
        <v>2.511</v>
      </c>
      <c r="W274" s="3">
        <f>IF(V274="",IFERROR(VLOOKUP($C274,Assumptions!$A$4:$F$7,6,FALSE),0),V274)</f>
        <v/>
      </c>
      <c r="X274" s="3">
        <f>N(O274)*IFERROR(VLOOKUP($C274,Assumptions!$A$4:$F$7,2,FALSE),0)</f>
        <v/>
      </c>
      <c r="Y274" s="3">
        <f>N(S274)*IFERROR(VLOOKUP($C274,Assumptions!$A$4:$F$7,3,FALSE),0)*Assumptions!$B$11</f>
        <v/>
      </c>
      <c r="Z274" s="3">
        <f>N(N274)*IFERROR(VLOOKUP($C274,Assumptions!$A$4:$F$7,4,FALSE),0)</f>
        <v/>
      </c>
      <c r="AA274" s="3">
        <f>N(T274)*IFERROR(VLOOKUP($C274,Assumptions!$A$4:$F$7,5,FALSE),0)</f>
        <v/>
      </c>
      <c r="AB274" s="3">
        <f>N(U274)</f>
        <v/>
      </c>
      <c r="AC274" s="3">
        <f>SUM(W274:AB274)</f>
        <v/>
      </c>
      <c r="AD274" s="3">
        <f>N(AC274)*N(M274)/90</f>
        <v/>
      </c>
      <c r="AE274" s="3">
        <f>IFERROR(AD274-VLOOKUP($C274,Assumptions!$A$29:$C$32,3,FALSE),"")</f>
        <v/>
      </c>
      <c r="AF274" s="3">
        <f>IFERROR(AE274/F274,"")</f>
        <v/>
      </c>
      <c r="AG274">
        <f>IF(AND($E274=TRUE,$C274="GKP"),AD274,"")</f>
        <v/>
      </c>
      <c r="AH274">
        <f>IF(AND($E274=TRUE,$C274="DEF"),AD274,"")</f>
        <v/>
      </c>
      <c r="AI274">
        <f>IF(AND($E274=TRUE,$C274="MID"),AD274,"")</f>
        <v/>
      </c>
      <c r="AJ274">
        <f>IF(AND($E274=TRUE,$C274="FWD"),AD274,"")</f>
        <v/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b">
        <v>1</v>
      </c>
      <c r="F275" s="2" t="n">
        <v>9</v>
      </c>
      <c r="G275" t="inlineStr">
        <is>
          <t>a</t>
        </is>
      </c>
      <c r="I275" s="2" t="n">
        <v>694</v>
      </c>
      <c r="J275" t="n">
        <v>41</v>
      </c>
      <c r="K275" s="3" t="n">
        <v>2177</v>
      </c>
      <c r="L275" t="inlineStr">
        <is>
          <t>flat</t>
        </is>
      </c>
      <c r="M275" s="4" t="n">
        <v>694</v>
      </c>
      <c r="N275" s="4" t="n">
        <v>0.263</v>
      </c>
      <c r="O275" s="3" t="n">
        <v>0.3548</v>
      </c>
      <c r="P275" t="inlineStr">
        <is>
          <t>adjusted xGOT</t>
        </is>
      </c>
      <c r="Q275" s="3" t="n">
        <v>1.056</v>
      </c>
      <c r="R275" s="3" t="n">
        <v>51.2</v>
      </c>
      <c r="S275" s="3" t="n">
        <v>0.0601</v>
      </c>
      <c r="T275" s="3" t="n">
        <v>0</v>
      </c>
      <c r="U275" s="3" t="n">
        <v>0.5187</v>
      </c>
      <c r="V275" s="3" t="n">
        <v>2.853</v>
      </c>
      <c r="W275" s="3">
        <f>IF(V275="",IFERROR(VLOOKUP($C275,Assumptions!$A$4:$F$7,6,FALSE),0),V275)</f>
        <v/>
      </c>
      <c r="X275" s="3">
        <f>N(O275)*IFERROR(VLOOKUP($C275,Assumptions!$A$4:$F$7,2,FALSE),0)</f>
        <v/>
      </c>
      <c r="Y275" s="3">
        <f>N(S275)*IFERROR(VLOOKUP($C275,Assumptions!$A$4:$F$7,3,FALSE),0)*Assumptions!$B$11</f>
        <v/>
      </c>
      <c r="Z275" s="3">
        <f>N(N275)*IFERROR(VLOOKUP($C275,Assumptions!$A$4:$F$7,4,FALSE),0)</f>
        <v/>
      </c>
      <c r="AA275" s="3">
        <f>N(T275)*IFERROR(VLOOKUP($C275,Assumptions!$A$4:$F$7,5,FALSE),0)</f>
        <v/>
      </c>
      <c r="AB275" s="3">
        <f>N(U275)</f>
        <v/>
      </c>
      <c r="AC275" s="3">
        <f>SUM(W275:AB275)</f>
        <v/>
      </c>
      <c r="AD275" s="3">
        <f>N(AC275)*N(M275)/90</f>
        <v/>
      </c>
      <c r="AE275" s="3">
        <f>IFERROR(AD275-VLOOKUP($C275,Assumptions!$A$29:$C$32,3,FALSE),"")</f>
        <v/>
      </c>
      <c r="AF275" s="3">
        <f>IFERROR(AE275/F275,"")</f>
        <v/>
      </c>
      <c r="AG275">
        <f>IF(AND($E275=TRUE,$C275="GKP"),AD275,"")</f>
        <v/>
      </c>
      <c r="AH275">
        <f>IF(AND($E275=TRUE,$C275="DEF"),AD275,"")</f>
        <v/>
      </c>
      <c r="AI275">
        <f>IF(AND($E275=TRUE,$C275="MID"),AD275,"")</f>
        <v/>
      </c>
      <c r="AJ275">
        <f>IF(AND($E275=TRUE,$C275="FWD"),AD275,"")</f>
        <v/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b">
        <v>1</v>
      </c>
      <c r="F276" s="2" t="n">
        <v>5</v>
      </c>
      <c r="G276" t="inlineStr">
        <is>
          <t>a</t>
        </is>
      </c>
      <c r="I276" s="2" t="n">
        <v>1042</v>
      </c>
      <c r="J276" t="n">
        <v>40</v>
      </c>
      <c r="K276" s="3" t="n">
        <v>272</v>
      </c>
      <c r="L276" t="inlineStr">
        <is>
          <t>flat</t>
        </is>
      </c>
      <c r="M276" s="4" t="n">
        <v>1042</v>
      </c>
      <c r="N276" s="4" t="n">
        <v>0.237</v>
      </c>
      <c r="O276" s="3" t="n">
        <v>0</v>
      </c>
      <c r="P276" t="inlineStr">
        <is>
          <t>adjusted xGOT</t>
        </is>
      </c>
      <c r="Q276" s="3" t="n">
        <v>1.008</v>
      </c>
      <c r="R276" s="3" t="n">
        <v>0</v>
      </c>
      <c r="S276" s="3" t="n">
        <v>0.0104</v>
      </c>
      <c r="T276" s="3" t="n">
        <v>0</v>
      </c>
      <c r="U276" s="3" t="n">
        <v>0.3455</v>
      </c>
      <c r="V276" s="3" t="n">
        <v>3.282</v>
      </c>
      <c r="W276" s="3">
        <f>IF(V276="",IFERROR(VLOOKUP($C276,Assumptions!$A$4:$F$7,6,FALSE),0),V276)</f>
        <v/>
      </c>
      <c r="X276" s="3">
        <f>N(O276)*IFERROR(VLOOKUP($C276,Assumptions!$A$4:$F$7,2,FALSE),0)</f>
        <v/>
      </c>
      <c r="Y276" s="3">
        <f>N(S276)*IFERROR(VLOOKUP($C276,Assumptions!$A$4:$F$7,3,FALSE),0)*Assumptions!$B$11</f>
        <v/>
      </c>
      <c r="Z276" s="3">
        <f>N(N276)*IFERROR(VLOOKUP($C276,Assumptions!$A$4:$F$7,4,FALSE),0)</f>
        <v/>
      </c>
      <c r="AA276" s="3">
        <f>N(T276)*IFERROR(VLOOKUP($C276,Assumptions!$A$4:$F$7,5,FALSE),0)</f>
        <v/>
      </c>
      <c r="AB276" s="3">
        <f>N(U276)</f>
        <v/>
      </c>
      <c r="AC276" s="3">
        <f>SUM(W276:AB276)</f>
        <v/>
      </c>
      <c r="AD276" s="3">
        <f>N(AC276)*N(M276)/90</f>
        <v/>
      </c>
      <c r="AE276" s="3">
        <f>IFERROR(AD276-VLOOKUP($C276,Assumptions!$A$29:$C$32,3,FALSE),"")</f>
        <v/>
      </c>
      <c r="AF276" s="3">
        <f>IFERROR(AE276/F276,"")</f>
        <v/>
      </c>
      <c r="AG276">
        <f>IF(AND($E276=TRUE,$C276="GKP"),AD276,"")</f>
        <v/>
      </c>
      <c r="AH276">
        <f>IF(AND($E276=TRUE,$C276="DEF"),AD276,"")</f>
        <v/>
      </c>
      <c r="AI276">
        <f>IF(AND($E276=TRUE,$C276="MID"),AD276,"")</f>
        <v/>
      </c>
      <c r="AJ276">
        <f>IF(AND($E276=TRUE,$C276="FWD"),AD276,"")</f>
        <v/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b">
        <v>1</v>
      </c>
      <c r="F277" s="2" t="n">
        <v>5.5</v>
      </c>
      <c r="G277" t="inlineStr">
        <is>
          <t>a</t>
        </is>
      </c>
      <c r="I277" s="2" t="n">
        <v>986</v>
      </c>
      <c r="J277" t="n">
        <v>40</v>
      </c>
      <c r="K277" s="3" t="n">
        <v>295</v>
      </c>
      <c r="L277" t="inlineStr">
        <is>
          <t>fade (losing his place)</t>
        </is>
      </c>
      <c r="M277" s="4" t="n">
        <v>986</v>
      </c>
      <c r="N277" s="4" t="n">
        <v>0.5</v>
      </c>
      <c r="O277" s="3" t="n">
        <v>0.008999999999999999</v>
      </c>
      <c r="P277" t="inlineStr">
        <is>
          <t>adjusted xGOT</t>
        </is>
      </c>
      <c r="Q277" s="3" t="n">
        <v>0.988</v>
      </c>
      <c r="R277" s="3" t="n">
        <v>0.1</v>
      </c>
      <c r="S277" s="3" t="n">
        <v>0.0421</v>
      </c>
      <c r="T277" s="3" t="n">
        <v>0.222</v>
      </c>
      <c r="U277" s="3" t="n">
        <v>0.09130000000000001</v>
      </c>
      <c r="V277" s="3" t="n">
        <v>2.556</v>
      </c>
      <c r="W277" s="3">
        <f>IF(V277="",IFERROR(VLOOKUP($C277,Assumptions!$A$4:$F$7,6,FALSE),0),V277)</f>
        <v/>
      </c>
      <c r="X277" s="3">
        <f>N(O277)*IFERROR(VLOOKUP($C277,Assumptions!$A$4:$F$7,2,FALSE),0)</f>
        <v/>
      </c>
      <c r="Y277" s="3">
        <f>N(S277)*IFERROR(VLOOKUP($C277,Assumptions!$A$4:$F$7,3,FALSE),0)*Assumptions!$B$11</f>
        <v/>
      </c>
      <c r="Z277" s="3">
        <f>N(N277)*IFERROR(VLOOKUP($C277,Assumptions!$A$4:$F$7,4,FALSE),0)</f>
        <v/>
      </c>
      <c r="AA277" s="3">
        <f>N(T277)*IFERROR(VLOOKUP($C277,Assumptions!$A$4:$F$7,5,FALSE),0)</f>
        <v/>
      </c>
      <c r="AB277" s="3">
        <f>N(U277)</f>
        <v/>
      </c>
      <c r="AC277" s="3">
        <f>SUM(W277:AB277)</f>
        <v/>
      </c>
      <c r="AD277" s="3">
        <f>N(AC277)*N(M277)/90</f>
        <v/>
      </c>
      <c r="AE277" s="3">
        <f>IFERROR(AD277-VLOOKUP($C277,Assumptions!$A$29:$C$32,3,FALSE),"")</f>
        <v/>
      </c>
      <c r="AF277" s="3">
        <f>IFERROR(AE277/F277,"")</f>
        <v/>
      </c>
      <c r="AG277">
        <f>IF(AND($E277=TRUE,$C277="GKP"),AD277,"")</f>
        <v/>
      </c>
      <c r="AH277">
        <f>IF(AND($E277=TRUE,$C277="DEF"),AD277,"")</f>
        <v/>
      </c>
      <c r="AI277">
        <f>IF(AND($E277=TRUE,$C277="MID"),AD277,"")</f>
        <v/>
      </c>
      <c r="AJ277">
        <f>IF(AND($E277=TRUE,$C277="FWD"),AD277,"")</f>
        <v/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b">
        <v>1</v>
      </c>
      <c r="F278" s="2" t="n">
        <v>6</v>
      </c>
      <c r="G278" t="inlineStr">
        <is>
          <t>a</t>
        </is>
      </c>
      <c r="I278" s="2" t="n">
        <v>997</v>
      </c>
      <c r="J278" t="n">
        <v>40</v>
      </c>
      <c r="K278" s="3" t="n">
        <v>2747</v>
      </c>
      <c r="L278" t="inlineStr">
        <is>
          <t>flat</t>
        </is>
      </c>
      <c r="M278" s="4" t="n">
        <v>997</v>
      </c>
      <c r="N278" s="4" t="n">
        <v>0.237</v>
      </c>
      <c r="O278" s="3" t="n">
        <v>0.2459</v>
      </c>
      <c r="P278" t="inlineStr">
        <is>
          <t>adjusted xGOT</t>
        </is>
      </c>
      <c r="Q278" s="3" t="n">
        <v>0.917</v>
      </c>
      <c r="R278" s="3" t="n">
        <v>42.6</v>
      </c>
      <c r="S278" s="3" t="n">
        <v>0.0423</v>
      </c>
      <c r="T278" s="3" t="n">
        <v>0</v>
      </c>
      <c r="U278" s="3" t="n">
        <v>0.3611</v>
      </c>
      <c r="V278" s="3" t="n">
        <v>2.257</v>
      </c>
      <c r="W278" s="3">
        <f>IF(V278="",IFERROR(VLOOKUP($C278,Assumptions!$A$4:$F$7,6,FALSE),0),V278)</f>
        <v/>
      </c>
      <c r="X278" s="3">
        <f>N(O278)*IFERROR(VLOOKUP($C278,Assumptions!$A$4:$F$7,2,FALSE),0)</f>
        <v/>
      </c>
      <c r="Y278" s="3">
        <f>N(S278)*IFERROR(VLOOKUP($C278,Assumptions!$A$4:$F$7,3,FALSE),0)*Assumptions!$B$11</f>
        <v/>
      </c>
      <c r="Z278" s="3">
        <f>N(N278)*IFERROR(VLOOKUP($C278,Assumptions!$A$4:$F$7,4,FALSE),0)</f>
        <v/>
      </c>
      <c r="AA278" s="3">
        <f>N(T278)*IFERROR(VLOOKUP($C278,Assumptions!$A$4:$F$7,5,FALSE),0)</f>
        <v/>
      </c>
      <c r="AB278" s="3">
        <f>N(U278)</f>
        <v/>
      </c>
      <c r="AC278" s="3">
        <f>SUM(W278:AB278)</f>
        <v/>
      </c>
      <c r="AD278" s="3">
        <f>N(AC278)*N(M278)/90</f>
        <v/>
      </c>
      <c r="AE278" s="3">
        <f>IFERROR(AD278-VLOOKUP($C278,Assumptions!$A$29:$C$32,3,FALSE),"")</f>
        <v/>
      </c>
      <c r="AF278" s="3">
        <f>IFERROR(AE278/F278,"")</f>
        <v/>
      </c>
      <c r="AG278">
        <f>IF(AND($E278=TRUE,$C278="GKP"),AD278,"")</f>
        <v/>
      </c>
      <c r="AH278">
        <f>IF(AND($E278=TRUE,$C278="DEF"),AD278,"")</f>
        <v/>
      </c>
      <c r="AI278">
        <f>IF(AND($E278=TRUE,$C278="MID"),AD278,"")</f>
        <v/>
      </c>
      <c r="AJ278">
        <f>IF(AND($E278=TRUE,$C278="FWD"),AD278,"")</f>
        <v/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b">
        <v>1</v>
      </c>
      <c r="F279" s="2" t="n">
        <v>5</v>
      </c>
      <c r="G279" t="inlineStr">
        <is>
          <t>a</t>
        </is>
      </c>
      <c r="I279" s="2" t="n">
        <v>872</v>
      </c>
      <c r="J279" t="n">
        <v>40</v>
      </c>
      <c r="K279" s="3" t="n">
        <v>451</v>
      </c>
      <c r="L279" t="inlineStr">
        <is>
          <t>flat</t>
        </is>
      </c>
      <c r="M279" s="4" t="n">
        <v>872</v>
      </c>
      <c r="N279" s="4" t="n">
        <v>0.29</v>
      </c>
      <c r="O279" s="3" t="n">
        <v>0.0071</v>
      </c>
      <c r="P279" t="inlineStr">
        <is>
          <t>adjusted xGOT</t>
        </is>
      </c>
      <c r="Q279" s="3" t="n">
        <v>0.993</v>
      </c>
      <c r="R279" s="3" t="n">
        <v>1.7</v>
      </c>
      <c r="S279" s="3" t="n">
        <v>0.0447</v>
      </c>
      <c r="T279" s="3" t="n">
        <v>0.875</v>
      </c>
      <c r="U279" s="3" t="n">
        <v>0</v>
      </c>
      <c r="V279" s="3" t="n">
        <v>2.683</v>
      </c>
      <c r="W279" s="3">
        <f>IF(V279="",IFERROR(VLOOKUP($C279,Assumptions!$A$4:$F$7,6,FALSE),0),V279)</f>
        <v/>
      </c>
      <c r="X279" s="3">
        <f>N(O279)*IFERROR(VLOOKUP($C279,Assumptions!$A$4:$F$7,2,FALSE),0)</f>
        <v/>
      </c>
      <c r="Y279" s="3">
        <f>N(S279)*IFERROR(VLOOKUP($C279,Assumptions!$A$4:$F$7,3,FALSE),0)*Assumptions!$B$11</f>
        <v/>
      </c>
      <c r="Z279" s="3">
        <f>N(N279)*IFERROR(VLOOKUP($C279,Assumptions!$A$4:$F$7,4,FALSE),0)</f>
        <v/>
      </c>
      <c r="AA279" s="3">
        <f>N(T279)*IFERROR(VLOOKUP($C279,Assumptions!$A$4:$F$7,5,FALSE),0)</f>
        <v/>
      </c>
      <c r="AB279" s="3">
        <f>N(U279)</f>
        <v/>
      </c>
      <c r="AC279" s="3">
        <f>SUM(W279:AB279)</f>
        <v/>
      </c>
      <c r="AD279" s="3">
        <f>N(AC279)*N(M279)/90</f>
        <v/>
      </c>
      <c r="AE279" s="3">
        <f>IFERROR(AD279-VLOOKUP($C279,Assumptions!$A$29:$C$32,3,FALSE),"")</f>
        <v/>
      </c>
      <c r="AF279" s="3">
        <f>IFERROR(AE279/F279,"")</f>
        <v/>
      </c>
      <c r="AG279">
        <f>IF(AND($E279=TRUE,$C279="GKP"),AD279,"")</f>
        <v/>
      </c>
      <c r="AH279">
        <f>IF(AND($E279=TRUE,$C279="DEF"),AD279,"")</f>
        <v/>
      </c>
      <c r="AI279">
        <f>IF(AND($E279=TRUE,$C279="MID"),AD279,"")</f>
        <v/>
      </c>
      <c r="AJ279">
        <f>IF(AND($E279=TRUE,$C279="FWD"),AD279,"")</f>
        <v/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b">
        <v>1</v>
      </c>
      <c r="F280" s="2" t="n">
        <v>4.5</v>
      </c>
      <c r="G280" t="inlineStr">
        <is>
          <t>a</t>
        </is>
      </c>
      <c r="I280" s="2" t="n">
        <v>657</v>
      </c>
      <c r="J280" t="n">
        <v>39</v>
      </c>
      <c r="K280" s="3" t="n">
        <v>136</v>
      </c>
      <c r="L280" t="inlineStr">
        <is>
          <t>flat</t>
        </is>
      </c>
      <c r="M280" s="4" t="n">
        <v>657</v>
      </c>
      <c r="N280" s="4" t="n">
        <v>0.237</v>
      </c>
      <c r="O280" s="3" t="n">
        <v>0.0864</v>
      </c>
      <c r="P280" t="inlineStr">
        <is>
          <t>adjusted xGOT</t>
        </is>
      </c>
      <c r="Q280" s="3" t="n">
        <v>1.018</v>
      </c>
      <c r="R280" s="3" t="n">
        <v>0.8</v>
      </c>
      <c r="S280" s="3" t="n">
        <v>0.0184</v>
      </c>
      <c r="T280" s="3" t="n">
        <v>0</v>
      </c>
      <c r="U280" s="3" t="n">
        <v>0.6849</v>
      </c>
      <c r="V280" s="3" t="n">
        <v>3.288</v>
      </c>
      <c r="W280" s="3">
        <f>IF(V280="",IFERROR(VLOOKUP($C280,Assumptions!$A$4:$F$7,6,FALSE),0),V280)</f>
        <v/>
      </c>
      <c r="X280" s="3">
        <f>N(O280)*IFERROR(VLOOKUP($C280,Assumptions!$A$4:$F$7,2,FALSE),0)</f>
        <v/>
      </c>
      <c r="Y280" s="3">
        <f>N(S280)*IFERROR(VLOOKUP($C280,Assumptions!$A$4:$F$7,3,FALSE),0)*Assumptions!$B$11</f>
        <v/>
      </c>
      <c r="Z280" s="3">
        <f>N(N280)*IFERROR(VLOOKUP($C280,Assumptions!$A$4:$F$7,4,FALSE),0)</f>
        <v/>
      </c>
      <c r="AA280" s="3">
        <f>N(T280)*IFERROR(VLOOKUP($C280,Assumptions!$A$4:$F$7,5,FALSE),0)</f>
        <v/>
      </c>
      <c r="AB280" s="3">
        <f>N(U280)</f>
        <v/>
      </c>
      <c r="AC280" s="3">
        <f>SUM(W280:AB280)</f>
        <v/>
      </c>
      <c r="AD280" s="3">
        <f>N(AC280)*N(M280)/90</f>
        <v/>
      </c>
      <c r="AE280" s="3">
        <f>IFERROR(AD280-VLOOKUP($C280,Assumptions!$A$29:$C$32,3,FALSE),"")</f>
        <v/>
      </c>
      <c r="AF280" s="3">
        <f>IFERROR(AE280/F280,"")</f>
        <v/>
      </c>
      <c r="AG280">
        <f>IF(AND($E280=TRUE,$C280="GKP"),AD280,"")</f>
        <v/>
      </c>
      <c r="AH280">
        <f>IF(AND($E280=TRUE,$C280="DEF"),AD280,"")</f>
        <v/>
      </c>
      <c r="AI280">
        <f>IF(AND($E280=TRUE,$C280="MID"),AD280,"")</f>
        <v/>
      </c>
      <c r="AJ280">
        <f>IF(AND($E280=TRUE,$C280="FWD"),AD280,"")</f>
        <v/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b">
        <v>1</v>
      </c>
      <c r="F281" s="2" t="n">
        <v>4.5</v>
      </c>
      <c r="G281" t="inlineStr">
        <is>
          <t>i</t>
        </is>
      </c>
      <c r="H281" t="inlineStr">
        <is>
          <t>Knee injury - Unknown return date</t>
        </is>
      </c>
      <c r="I281" s="2" t="n">
        <v>1025</v>
      </c>
      <c r="J281" t="n">
        <v>39</v>
      </c>
      <c r="K281" s="3" t="n">
        <v>395</v>
      </c>
      <c r="L281" t="inlineStr">
        <is>
          <t>flat</t>
        </is>
      </c>
      <c r="M281" s="4" t="n">
        <v>1025</v>
      </c>
      <c r="N281" s="4" t="n">
        <v>0.237</v>
      </c>
      <c r="O281" s="3" t="n">
        <v>0.1209</v>
      </c>
      <c r="P281" t="inlineStr">
        <is>
          <t>adjusted xGOT</t>
        </is>
      </c>
      <c r="Q281" s="3" t="n">
        <v>1.028</v>
      </c>
      <c r="R281" s="3" t="n">
        <v>1.3</v>
      </c>
      <c r="S281" s="3" t="n">
        <v>0.0459</v>
      </c>
      <c r="T281" s="3" t="n">
        <v>0</v>
      </c>
      <c r="U281" s="3" t="n">
        <v>0</v>
      </c>
      <c r="V281" s="3" t="n">
        <v>2.107</v>
      </c>
      <c r="W281" s="3">
        <f>IF(V281="",IFERROR(VLOOKUP($C281,Assumptions!$A$4:$F$7,6,FALSE),0),V281)</f>
        <v/>
      </c>
      <c r="X281" s="3">
        <f>N(O281)*IFERROR(VLOOKUP($C281,Assumptions!$A$4:$F$7,2,FALSE),0)</f>
        <v/>
      </c>
      <c r="Y281" s="3">
        <f>N(S281)*IFERROR(VLOOKUP($C281,Assumptions!$A$4:$F$7,3,FALSE),0)*Assumptions!$B$11</f>
        <v/>
      </c>
      <c r="Z281" s="3">
        <f>N(N281)*IFERROR(VLOOKUP($C281,Assumptions!$A$4:$F$7,4,FALSE),0)</f>
        <v/>
      </c>
      <c r="AA281" s="3">
        <f>N(T281)*IFERROR(VLOOKUP($C281,Assumptions!$A$4:$F$7,5,FALSE),0)</f>
        <v/>
      </c>
      <c r="AB281" s="3">
        <f>N(U281)</f>
        <v/>
      </c>
      <c r="AC281" s="3">
        <f>SUM(W281:AB281)</f>
        <v/>
      </c>
      <c r="AD281" s="3">
        <f>N(AC281)*N(M281)/90</f>
        <v/>
      </c>
      <c r="AE281" s="3">
        <f>IFERROR(AD281-VLOOKUP($C281,Assumptions!$A$29:$C$32,3,FALSE),"")</f>
        <v/>
      </c>
      <c r="AF281" s="3">
        <f>IFERROR(AE281/F281,"")</f>
        <v/>
      </c>
      <c r="AG281">
        <f>IF(AND($E281=TRUE,$C281="GKP"),AD281,"")</f>
        <v/>
      </c>
      <c r="AH281">
        <f>IF(AND($E281=TRUE,$C281="DEF"),AD281,"")</f>
        <v/>
      </c>
      <c r="AI281">
        <f>IF(AND($E281=TRUE,$C281="MID"),AD281,"")</f>
        <v/>
      </c>
      <c r="AJ281">
        <f>IF(AND($E281=TRUE,$C281="FWD"),AD281,"")</f>
        <v/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b">
        <v>1</v>
      </c>
      <c r="F282" s="2" t="n">
        <v>4.5</v>
      </c>
      <c r="G282" t="inlineStr">
        <is>
          <t>a</t>
        </is>
      </c>
      <c r="I282" s="2" t="n">
        <v>935</v>
      </c>
      <c r="J282" t="n">
        <v>39</v>
      </c>
      <c r="K282" s="3" t="n">
        <v>889</v>
      </c>
      <c r="L282" t="inlineStr">
        <is>
          <t>fade (losing his place)</t>
        </is>
      </c>
      <c r="M282" s="4" t="n">
        <v>935</v>
      </c>
      <c r="N282" s="4" t="n">
        <v>0.237</v>
      </c>
      <c r="O282" s="3" t="n">
        <v>0.0048</v>
      </c>
      <c r="P282" t="inlineStr">
        <is>
          <t>adjusted xGOT</t>
        </is>
      </c>
      <c r="Q282" s="3" t="n">
        <v>0.991</v>
      </c>
      <c r="R282" s="3" t="n">
        <v>0.1</v>
      </c>
      <c r="S282" s="3" t="n">
        <v>0.0503</v>
      </c>
      <c r="T282" s="3" t="n">
        <v>0.636</v>
      </c>
      <c r="U282" s="3" t="n">
        <v>0.0963</v>
      </c>
      <c r="V282" s="3" t="n">
        <v>2.406</v>
      </c>
      <c r="W282" s="3">
        <f>IF(V282="",IFERROR(VLOOKUP($C282,Assumptions!$A$4:$F$7,6,FALSE),0),V282)</f>
        <v/>
      </c>
      <c r="X282" s="3">
        <f>N(O282)*IFERROR(VLOOKUP($C282,Assumptions!$A$4:$F$7,2,FALSE),0)</f>
        <v/>
      </c>
      <c r="Y282" s="3">
        <f>N(S282)*IFERROR(VLOOKUP($C282,Assumptions!$A$4:$F$7,3,FALSE),0)*Assumptions!$B$11</f>
        <v/>
      </c>
      <c r="Z282" s="3">
        <f>N(N282)*IFERROR(VLOOKUP($C282,Assumptions!$A$4:$F$7,4,FALSE),0)</f>
        <v/>
      </c>
      <c r="AA282" s="3">
        <f>N(T282)*IFERROR(VLOOKUP($C282,Assumptions!$A$4:$F$7,5,FALSE),0)</f>
        <v/>
      </c>
      <c r="AB282" s="3">
        <f>N(U282)</f>
        <v/>
      </c>
      <c r="AC282" s="3">
        <f>SUM(W282:AB282)</f>
        <v/>
      </c>
      <c r="AD282" s="3">
        <f>N(AC282)*N(M282)/90</f>
        <v/>
      </c>
      <c r="AE282" s="3">
        <f>IFERROR(AD282-VLOOKUP($C282,Assumptions!$A$29:$C$32,3,FALSE),"")</f>
        <v/>
      </c>
      <c r="AF282" s="3">
        <f>IFERROR(AE282/F282,"")</f>
        <v/>
      </c>
      <c r="AG282">
        <f>IF(AND($E282=TRUE,$C282="GKP"),AD282,"")</f>
        <v/>
      </c>
      <c r="AH282">
        <f>IF(AND($E282=TRUE,$C282="DEF"),AD282,"")</f>
        <v/>
      </c>
      <c r="AI282">
        <f>IF(AND($E282=TRUE,$C282="MID"),AD282,"")</f>
        <v/>
      </c>
      <c r="AJ282">
        <f>IF(AND($E282=TRUE,$C282="FWD"),AD282,"")</f>
        <v/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b">
        <v>1</v>
      </c>
      <c r="F283" s="2" t="n">
        <v>4.5</v>
      </c>
      <c r="G283" t="inlineStr">
        <is>
          <t>a</t>
        </is>
      </c>
      <c r="I283" s="2" t="n">
        <v>799</v>
      </c>
      <c r="J283" t="n">
        <v>39</v>
      </c>
      <c r="K283" s="3" t="n">
        <v>826</v>
      </c>
      <c r="L283" t="inlineStr">
        <is>
          <t>fade (losing his place)</t>
        </is>
      </c>
      <c r="M283" s="4" t="n">
        <v>799</v>
      </c>
      <c r="N283" s="4" t="n">
        <v>0.263</v>
      </c>
      <c r="O283" s="3" t="n">
        <v>0.0056</v>
      </c>
      <c r="P283" t="inlineStr">
        <is>
          <t>adjusted xGOT</t>
        </is>
      </c>
      <c r="Q283" s="3" t="n">
        <v>0.994</v>
      </c>
      <c r="R283" s="3" t="n">
        <v>0</v>
      </c>
      <c r="S283" s="3" t="n">
        <v>0.0348</v>
      </c>
      <c r="T283" s="3" t="n">
        <v>0.222</v>
      </c>
      <c r="U283" s="3" t="n">
        <v>0.3379</v>
      </c>
      <c r="V283" s="3" t="n">
        <v>2.253</v>
      </c>
      <c r="W283" s="3">
        <f>IF(V283="",IFERROR(VLOOKUP($C283,Assumptions!$A$4:$F$7,6,FALSE),0),V283)</f>
        <v/>
      </c>
      <c r="X283" s="3">
        <f>N(O283)*IFERROR(VLOOKUP($C283,Assumptions!$A$4:$F$7,2,FALSE),0)</f>
        <v/>
      </c>
      <c r="Y283" s="3">
        <f>N(S283)*IFERROR(VLOOKUP($C283,Assumptions!$A$4:$F$7,3,FALSE),0)*Assumptions!$B$11</f>
        <v/>
      </c>
      <c r="Z283" s="3">
        <f>N(N283)*IFERROR(VLOOKUP($C283,Assumptions!$A$4:$F$7,4,FALSE),0)</f>
        <v/>
      </c>
      <c r="AA283" s="3">
        <f>N(T283)*IFERROR(VLOOKUP($C283,Assumptions!$A$4:$F$7,5,FALSE),0)</f>
        <v/>
      </c>
      <c r="AB283" s="3">
        <f>N(U283)</f>
        <v/>
      </c>
      <c r="AC283" s="3">
        <f>SUM(W283:AB283)</f>
        <v/>
      </c>
      <c r="AD283" s="3">
        <f>N(AC283)*N(M283)/90</f>
        <v/>
      </c>
      <c r="AE283" s="3">
        <f>IFERROR(AD283-VLOOKUP($C283,Assumptions!$A$29:$C$32,3,FALSE),"")</f>
        <v/>
      </c>
      <c r="AF283" s="3">
        <f>IFERROR(AE283/F283,"")</f>
        <v/>
      </c>
      <c r="AG283">
        <f>IF(AND($E283=TRUE,$C283="GKP"),AD283,"")</f>
        <v/>
      </c>
      <c r="AH283">
        <f>IF(AND($E283=TRUE,$C283="DEF"),AD283,"")</f>
        <v/>
      </c>
      <c r="AI283">
        <f>IF(AND($E283=TRUE,$C283="MID"),AD283,"")</f>
        <v/>
      </c>
      <c r="AJ283">
        <f>IF(AND($E283=TRUE,$C283="FWD"),AD283,"")</f>
        <v/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b">
        <v>1</v>
      </c>
      <c r="F284" s="2" t="n">
        <v>5</v>
      </c>
      <c r="G284" t="inlineStr">
        <is>
          <t>a</t>
        </is>
      </c>
      <c r="I284" s="2" t="n">
        <v>972</v>
      </c>
      <c r="J284" t="n">
        <v>38</v>
      </c>
      <c r="K284" s="3" t="n">
        <v>912</v>
      </c>
      <c r="L284" t="inlineStr">
        <is>
          <t>flat</t>
        </is>
      </c>
      <c r="M284" s="4" t="n">
        <v>972</v>
      </c>
      <c r="N284" s="4" t="n">
        <v>0.21</v>
      </c>
      <c r="O284" s="3" t="n">
        <v>0.1076</v>
      </c>
      <c r="P284" t="inlineStr">
        <is>
          <t>adjusted xGOT</t>
        </is>
      </c>
      <c r="Q284" s="3" t="n">
        <v>0.922</v>
      </c>
      <c r="R284" s="3" t="n">
        <v>11.1</v>
      </c>
      <c r="S284" s="3" t="n">
        <v>0.1467</v>
      </c>
      <c r="T284" s="3" t="n">
        <v>0</v>
      </c>
      <c r="U284" s="3" t="n">
        <v>0</v>
      </c>
      <c r="V284" s="3" t="n">
        <v>2.963</v>
      </c>
      <c r="W284" s="3">
        <f>IF(V284="",IFERROR(VLOOKUP($C284,Assumptions!$A$4:$F$7,6,FALSE),0),V284)</f>
        <v/>
      </c>
      <c r="X284" s="3">
        <f>N(O284)*IFERROR(VLOOKUP($C284,Assumptions!$A$4:$F$7,2,FALSE),0)</f>
        <v/>
      </c>
      <c r="Y284" s="3">
        <f>N(S284)*IFERROR(VLOOKUP($C284,Assumptions!$A$4:$F$7,3,FALSE),0)*Assumptions!$B$11</f>
        <v/>
      </c>
      <c r="Z284" s="3">
        <f>N(N284)*IFERROR(VLOOKUP($C284,Assumptions!$A$4:$F$7,4,FALSE),0)</f>
        <v/>
      </c>
      <c r="AA284" s="3">
        <f>N(T284)*IFERROR(VLOOKUP($C284,Assumptions!$A$4:$F$7,5,FALSE),0)</f>
        <v/>
      </c>
      <c r="AB284" s="3">
        <f>N(U284)</f>
        <v/>
      </c>
      <c r="AC284" s="3">
        <f>SUM(W284:AB284)</f>
        <v/>
      </c>
      <c r="AD284" s="3">
        <f>N(AC284)*N(M284)/90</f>
        <v/>
      </c>
      <c r="AE284" s="3">
        <f>IFERROR(AD284-VLOOKUP($C284,Assumptions!$A$29:$C$32,3,FALSE),"")</f>
        <v/>
      </c>
      <c r="AF284" s="3">
        <f>IFERROR(AE284/F284,"")</f>
        <v/>
      </c>
      <c r="AG284">
        <f>IF(AND($E284=TRUE,$C284="GKP"),AD284,"")</f>
        <v/>
      </c>
      <c r="AH284">
        <f>IF(AND($E284=TRUE,$C284="DEF"),AD284,"")</f>
        <v/>
      </c>
      <c r="AI284">
        <f>IF(AND($E284=TRUE,$C284="MID"),AD284,"")</f>
        <v/>
      </c>
      <c r="AJ284">
        <f>IF(AND($E284=TRUE,$C284="FWD"),AD284,"")</f>
        <v/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b">
        <v>1</v>
      </c>
      <c r="F285" s="2" t="n">
        <v>5</v>
      </c>
      <c r="G285" t="inlineStr">
        <is>
          <t>i</t>
        </is>
      </c>
      <c r="H285" t="inlineStr">
        <is>
          <t>Knee injury - Unknown return date</t>
        </is>
      </c>
      <c r="I285" s="2" t="n">
        <v>876</v>
      </c>
      <c r="J285" t="n">
        <v>38</v>
      </c>
      <c r="K285" s="3" t="n">
        <v>89</v>
      </c>
      <c r="L285" t="inlineStr">
        <is>
          <t>flat</t>
        </is>
      </c>
      <c r="M285" s="4" t="n">
        <v>876</v>
      </c>
      <c r="N285" s="4" t="n">
        <v>0.21</v>
      </c>
      <c r="O285" s="3" t="n">
        <v>0.0639</v>
      </c>
      <c r="P285" t="inlineStr">
        <is>
          <t>adjusted xGOT</t>
        </is>
      </c>
      <c r="Q285" s="3" t="n">
        <v>0.864</v>
      </c>
      <c r="R285" s="3" t="n">
        <v>1.7</v>
      </c>
      <c r="S285" s="3" t="n">
        <v>0.0148</v>
      </c>
      <c r="T285" s="3" t="n">
        <v>0.5</v>
      </c>
      <c r="U285" s="3" t="n">
        <v>0</v>
      </c>
      <c r="V285" s="3" t="n">
        <v>3.082</v>
      </c>
      <c r="W285" s="3">
        <f>IF(V285="",IFERROR(VLOOKUP($C285,Assumptions!$A$4:$F$7,6,FALSE),0),V285)</f>
        <v/>
      </c>
      <c r="X285" s="3">
        <f>N(O285)*IFERROR(VLOOKUP($C285,Assumptions!$A$4:$F$7,2,FALSE),0)</f>
        <v/>
      </c>
      <c r="Y285" s="3">
        <f>N(S285)*IFERROR(VLOOKUP($C285,Assumptions!$A$4:$F$7,3,FALSE),0)*Assumptions!$B$11</f>
        <v/>
      </c>
      <c r="Z285" s="3">
        <f>N(N285)*IFERROR(VLOOKUP($C285,Assumptions!$A$4:$F$7,4,FALSE),0)</f>
        <v/>
      </c>
      <c r="AA285" s="3">
        <f>N(T285)*IFERROR(VLOOKUP($C285,Assumptions!$A$4:$F$7,5,FALSE),0)</f>
        <v/>
      </c>
      <c r="AB285" s="3">
        <f>N(U285)</f>
        <v/>
      </c>
      <c r="AC285" s="3">
        <f>SUM(W285:AB285)</f>
        <v/>
      </c>
      <c r="AD285" s="3">
        <f>N(AC285)*N(M285)/90</f>
        <v/>
      </c>
      <c r="AE285" s="3">
        <f>IFERROR(AD285-VLOOKUP($C285,Assumptions!$A$29:$C$32,3,FALSE),"")</f>
        <v/>
      </c>
      <c r="AF285" s="3">
        <f>IFERROR(AE285/F285,"")</f>
        <v/>
      </c>
      <c r="AG285">
        <f>IF(AND($E285=TRUE,$C285="GKP"),AD285,"")</f>
        <v/>
      </c>
      <c r="AH285">
        <f>IF(AND($E285=TRUE,$C285="DEF"),AD285,"")</f>
        <v/>
      </c>
      <c r="AI285">
        <f>IF(AND($E285=TRUE,$C285="MID"),AD285,"")</f>
        <v/>
      </c>
      <c r="AJ285">
        <f>IF(AND($E285=TRUE,$C285="FWD"),AD285,"")</f>
        <v/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b">
        <v>1</v>
      </c>
      <c r="F286" s="2" t="n">
        <v>5.5</v>
      </c>
      <c r="G286" t="inlineStr">
        <is>
          <t>a</t>
        </is>
      </c>
      <c r="I286" s="2" t="n">
        <v>317</v>
      </c>
      <c r="J286" t="n">
        <v>37</v>
      </c>
      <c r="K286" s="3" t="n">
        <v>40</v>
      </c>
      <c r="L286" t="inlineStr">
        <is>
          <t>flat</t>
        </is>
      </c>
      <c r="M286" s="4" t="n">
        <v>317</v>
      </c>
      <c r="N286" s="4" t="n">
        <v>0.263</v>
      </c>
      <c r="O286" s="3" t="n">
        <v>0.429</v>
      </c>
      <c r="P286" t="inlineStr">
        <is>
          <t>adjusted xGOT</t>
        </is>
      </c>
      <c r="Q286" s="3" t="n">
        <v>1.042</v>
      </c>
      <c r="R286" s="3" t="n">
        <v>1.8</v>
      </c>
      <c r="S286" s="3" t="n">
        <v>0.2956</v>
      </c>
      <c r="T286" s="3" t="n">
        <v>0</v>
      </c>
      <c r="U286" s="3" t="n">
        <v>0</v>
      </c>
      <c r="V286" s="3" t="n">
        <v>7.666</v>
      </c>
      <c r="W286" s="3">
        <f>IF(V286="",IFERROR(VLOOKUP($C286,Assumptions!$A$4:$F$7,6,FALSE),0),V286)</f>
        <v/>
      </c>
      <c r="X286" s="3">
        <f>N(O286)*IFERROR(VLOOKUP($C286,Assumptions!$A$4:$F$7,2,FALSE),0)</f>
        <v/>
      </c>
      <c r="Y286" s="3">
        <f>N(S286)*IFERROR(VLOOKUP($C286,Assumptions!$A$4:$F$7,3,FALSE),0)*Assumptions!$B$11</f>
        <v/>
      </c>
      <c r="Z286" s="3">
        <f>N(N286)*IFERROR(VLOOKUP($C286,Assumptions!$A$4:$F$7,4,FALSE),0)</f>
        <v/>
      </c>
      <c r="AA286" s="3">
        <f>N(T286)*IFERROR(VLOOKUP($C286,Assumptions!$A$4:$F$7,5,FALSE),0)</f>
        <v/>
      </c>
      <c r="AB286" s="3">
        <f>N(U286)</f>
        <v/>
      </c>
      <c r="AC286" s="3">
        <f>SUM(W286:AB286)</f>
        <v/>
      </c>
      <c r="AD286" s="3">
        <f>N(AC286)*N(M286)/90</f>
        <v/>
      </c>
      <c r="AE286" s="3">
        <f>IFERROR(AD286-VLOOKUP($C286,Assumptions!$A$29:$C$32,3,FALSE),"")</f>
        <v/>
      </c>
      <c r="AF286" s="3">
        <f>IFERROR(AE286/F286,"")</f>
        <v/>
      </c>
      <c r="AG286">
        <f>IF(AND($E286=TRUE,$C286="GKP"),AD286,"")</f>
        <v/>
      </c>
      <c r="AH286">
        <f>IF(AND($E286=TRUE,$C286="DEF"),AD286,"")</f>
        <v/>
      </c>
      <c r="AI286">
        <f>IF(AND($E286=TRUE,$C286="MID"),AD286,"")</f>
        <v/>
      </c>
      <c r="AJ286">
        <f>IF(AND($E286=TRUE,$C286="FWD"),AD286,"")</f>
        <v/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b">
        <v>1</v>
      </c>
      <c r="F287" s="2" t="n">
        <v>4.5</v>
      </c>
      <c r="G287" t="inlineStr">
        <is>
          <t>a</t>
        </is>
      </c>
      <c r="I287" s="2" t="n">
        <v>679</v>
      </c>
      <c r="J287" t="n">
        <v>37</v>
      </c>
      <c r="K287" s="3" t="n">
        <v>166</v>
      </c>
      <c r="L287" t="inlineStr">
        <is>
          <t>flat</t>
        </is>
      </c>
      <c r="M287" s="4" t="n">
        <v>679</v>
      </c>
      <c r="N287" s="4" t="n">
        <v>0.263</v>
      </c>
      <c r="O287" s="3" t="n">
        <v>0.055</v>
      </c>
      <c r="P287" t="inlineStr">
        <is>
          <t>adjusted xGOT</t>
        </is>
      </c>
      <c r="Q287" s="3" t="n">
        <v>0.9419999999999999</v>
      </c>
      <c r="R287" s="3" t="n">
        <v>1</v>
      </c>
      <c r="S287" s="3" t="n">
        <v>0.0513</v>
      </c>
      <c r="T287" s="3" t="n">
        <v>0.125</v>
      </c>
      <c r="U287" s="3" t="n">
        <v>0</v>
      </c>
      <c r="V287" s="3" t="n">
        <v>3.711</v>
      </c>
      <c r="W287" s="3">
        <f>IF(V287="",IFERROR(VLOOKUP($C287,Assumptions!$A$4:$F$7,6,FALSE),0),V287)</f>
        <v/>
      </c>
      <c r="X287" s="3">
        <f>N(O287)*IFERROR(VLOOKUP($C287,Assumptions!$A$4:$F$7,2,FALSE),0)</f>
        <v/>
      </c>
      <c r="Y287" s="3">
        <f>N(S287)*IFERROR(VLOOKUP($C287,Assumptions!$A$4:$F$7,3,FALSE),0)*Assumptions!$B$11</f>
        <v/>
      </c>
      <c r="Z287" s="3">
        <f>N(N287)*IFERROR(VLOOKUP($C287,Assumptions!$A$4:$F$7,4,FALSE),0)</f>
        <v/>
      </c>
      <c r="AA287" s="3">
        <f>N(T287)*IFERROR(VLOOKUP($C287,Assumptions!$A$4:$F$7,5,FALSE),0)</f>
        <v/>
      </c>
      <c r="AB287" s="3">
        <f>N(U287)</f>
        <v/>
      </c>
      <c r="AC287" s="3">
        <f>SUM(W287:AB287)</f>
        <v/>
      </c>
      <c r="AD287" s="3">
        <f>N(AC287)*N(M287)/90</f>
        <v/>
      </c>
      <c r="AE287" s="3">
        <f>IFERROR(AD287-VLOOKUP($C287,Assumptions!$A$29:$C$32,3,FALSE),"")</f>
        <v/>
      </c>
      <c r="AF287" s="3">
        <f>IFERROR(AE287/F287,"")</f>
        <v/>
      </c>
      <c r="AG287">
        <f>IF(AND($E287=TRUE,$C287="GKP"),AD287,"")</f>
        <v/>
      </c>
      <c r="AH287">
        <f>IF(AND($E287=TRUE,$C287="DEF"),AD287,"")</f>
        <v/>
      </c>
      <c r="AI287">
        <f>IF(AND($E287=TRUE,$C287="MID"),AD287,"")</f>
        <v/>
      </c>
      <c r="AJ287">
        <f>IF(AND($E287=TRUE,$C287="FWD"),AD287,"")</f>
        <v/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b">
        <v>1</v>
      </c>
      <c r="F288" s="2" t="n">
        <v>5</v>
      </c>
      <c r="G288" t="inlineStr">
        <is>
          <t>a</t>
        </is>
      </c>
      <c r="I288" s="2" t="n">
        <v>758</v>
      </c>
      <c r="J288" t="n">
        <v>36</v>
      </c>
      <c r="K288" s="3" t="n">
        <v>144</v>
      </c>
      <c r="L288" t="inlineStr">
        <is>
          <t>flat</t>
        </is>
      </c>
      <c r="M288" s="4" t="n">
        <v>758</v>
      </c>
      <c r="N288" s="4" t="n">
        <v>0.29</v>
      </c>
      <c r="O288" s="3" t="n">
        <v>0.1026</v>
      </c>
      <c r="P288" t="inlineStr">
        <is>
          <t>adjusted xGOT</t>
        </is>
      </c>
      <c r="Q288" s="3" t="n">
        <v>1.004</v>
      </c>
      <c r="R288" s="3" t="n">
        <v>0.9</v>
      </c>
      <c r="S288" s="3" t="n">
        <v>0.1258</v>
      </c>
      <c r="T288" s="3" t="n">
        <v>0</v>
      </c>
      <c r="U288" s="3" t="n">
        <v>0</v>
      </c>
      <c r="V288" s="3" t="n">
        <v>2.968</v>
      </c>
      <c r="W288" s="3">
        <f>IF(V288="",IFERROR(VLOOKUP($C288,Assumptions!$A$4:$F$7,6,FALSE),0),V288)</f>
        <v/>
      </c>
      <c r="X288" s="3">
        <f>N(O288)*IFERROR(VLOOKUP($C288,Assumptions!$A$4:$F$7,2,FALSE),0)</f>
        <v/>
      </c>
      <c r="Y288" s="3">
        <f>N(S288)*IFERROR(VLOOKUP($C288,Assumptions!$A$4:$F$7,3,FALSE),0)*Assumptions!$B$11</f>
        <v/>
      </c>
      <c r="Z288" s="3">
        <f>N(N288)*IFERROR(VLOOKUP($C288,Assumptions!$A$4:$F$7,4,FALSE),0)</f>
        <v/>
      </c>
      <c r="AA288" s="3">
        <f>N(T288)*IFERROR(VLOOKUP($C288,Assumptions!$A$4:$F$7,5,FALSE),0)</f>
        <v/>
      </c>
      <c r="AB288" s="3">
        <f>N(U288)</f>
        <v/>
      </c>
      <c r="AC288" s="3">
        <f>SUM(W288:AB288)</f>
        <v/>
      </c>
      <c r="AD288" s="3">
        <f>N(AC288)*N(M288)/90</f>
        <v/>
      </c>
      <c r="AE288" s="3">
        <f>IFERROR(AD288-VLOOKUP($C288,Assumptions!$A$29:$C$32,3,FALSE),"")</f>
        <v/>
      </c>
      <c r="AF288" s="3">
        <f>IFERROR(AE288/F288,"")</f>
        <v/>
      </c>
      <c r="AG288">
        <f>IF(AND($E288=TRUE,$C288="GKP"),AD288,"")</f>
        <v/>
      </c>
      <c r="AH288">
        <f>IF(AND($E288=TRUE,$C288="DEF"),AD288,"")</f>
        <v/>
      </c>
      <c r="AI288">
        <f>IF(AND($E288=TRUE,$C288="MID"),AD288,"")</f>
        <v/>
      </c>
      <c r="AJ288">
        <f>IF(AND($E288=TRUE,$C288="FWD"),AD288,"")</f>
        <v/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b">
        <v>1</v>
      </c>
      <c r="F289" s="2" t="n">
        <v>5.5</v>
      </c>
      <c r="G289" t="inlineStr">
        <is>
          <t>a</t>
        </is>
      </c>
      <c r="I289" s="2" t="n">
        <v>987</v>
      </c>
      <c r="J289" t="n">
        <v>36</v>
      </c>
      <c r="K289" s="3" t="n">
        <v>540</v>
      </c>
      <c r="L289" t="inlineStr">
        <is>
          <t>flat</t>
        </is>
      </c>
      <c r="M289" s="4" t="n">
        <v>987</v>
      </c>
      <c r="N289" s="4" t="n">
        <v>0.237</v>
      </c>
      <c r="O289" s="3" t="n">
        <v>0.2989</v>
      </c>
      <c r="P289" t="inlineStr">
        <is>
          <t>adjusted xGOT</t>
        </is>
      </c>
      <c r="Q289" s="3" t="n">
        <v>0.994</v>
      </c>
      <c r="R289" s="3" t="n">
        <v>18</v>
      </c>
      <c r="S289" s="3" t="n">
        <v>0.0507</v>
      </c>
      <c r="T289" s="3" t="n">
        <v>0</v>
      </c>
      <c r="U289" s="3" t="n">
        <v>0.2736</v>
      </c>
      <c r="V289" s="3" t="n">
        <v>2.736</v>
      </c>
      <c r="W289" s="3">
        <f>IF(V289="",IFERROR(VLOOKUP($C289,Assumptions!$A$4:$F$7,6,FALSE),0),V289)</f>
        <v/>
      </c>
      <c r="X289" s="3">
        <f>N(O289)*IFERROR(VLOOKUP($C289,Assumptions!$A$4:$F$7,2,FALSE),0)</f>
        <v/>
      </c>
      <c r="Y289" s="3">
        <f>N(S289)*IFERROR(VLOOKUP($C289,Assumptions!$A$4:$F$7,3,FALSE),0)*Assumptions!$B$11</f>
        <v/>
      </c>
      <c r="Z289" s="3">
        <f>N(N289)*IFERROR(VLOOKUP($C289,Assumptions!$A$4:$F$7,4,FALSE),0)</f>
        <v/>
      </c>
      <c r="AA289" s="3">
        <f>N(T289)*IFERROR(VLOOKUP($C289,Assumptions!$A$4:$F$7,5,FALSE),0)</f>
        <v/>
      </c>
      <c r="AB289" s="3">
        <f>N(U289)</f>
        <v/>
      </c>
      <c r="AC289" s="3">
        <f>SUM(W289:AB289)</f>
        <v/>
      </c>
      <c r="AD289" s="3">
        <f>N(AC289)*N(M289)/90</f>
        <v/>
      </c>
      <c r="AE289" s="3">
        <f>IFERROR(AD289-VLOOKUP($C289,Assumptions!$A$29:$C$32,3,FALSE),"")</f>
        <v/>
      </c>
      <c r="AF289" s="3">
        <f>IFERROR(AE289/F289,"")</f>
        <v/>
      </c>
      <c r="AG289">
        <f>IF(AND($E289=TRUE,$C289="GKP"),AD289,"")</f>
        <v/>
      </c>
      <c r="AH289">
        <f>IF(AND($E289=TRUE,$C289="DEF"),AD289,"")</f>
        <v/>
      </c>
      <c r="AI289">
        <f>IF(AND($E289=TRUE,$C289="MID"),AD289,"")</f>
        <v/>
      </c>
      <c r="AJ289">
        <f>IF(AND($E289=TRUE,$C289="FWD"),AD289,"")</f>
        <v/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b">
        <v>1</v>
      </c>
      <c r="F290" s="2" t="n">
        <v>7.5</v>
      </c>
      <c r="G290" t="inlineStr">
        <is>
          <t>a</t>
        </is>
      </c>
      <c r="I290" s="2" t="n">
        <v>577</v>
      </c>
      <c r="J290" t="n">
        <v>36</v>
      </c>
      <c r="K290" s="3" t="n">
        <v>2394</v>
      </c>
      <c r="L290" t="inlineStr">
        <is>
          <t>flat</t>
        </is>
      </c>
      <c r="M290" s="4" t="n">
        <v>577</v>
      </c>
      <c r="N290" s="4" t="n">
        <v>0.5</v>
      </c>
      <c r="O290" s="3" t="n">
        <v>0.475</v>
      </c>
      <c r="P290" t="inlineStr">
        <is>
          <t>adjusted xGOT</t>
        </is>
      </c>
      <c r="Q290" s="3" t="n">
        <v>0.92</v>
      </c>
      <c r="R290" s="3" t="n">
        <v>36.8</v>
      </c>
      <c r="S290" s="3" t="n">
        <v>0.1635</v>
      </c>
      <c r="T290" s="3" t="n">
        <v>0</v>
      </c>
      <c r="U290" s="3" t="n">
        <v>0.4679</v>
      </c>
      <c r="V290" s="3" t="n">
        <v>2.652</v>
      </c>
      <c r="W290" s="3">
        <f>IF(V290="",IFERROR(VLOOKUP($C290,Assumptions!$A$4:$F$7,6,FALSE),0),V290)</f>
        <v/>
      </c>
      <c r="X290" s="3">
        <f>N(O290)*IFERROR(VLOOKUP($C290,Assumptions!$A$4:$F$7,2,FALSE),0)</f>
        <v/>
      </c>
      <c r="Y290" s="3">
        <f>N(S290)*IFERROR(VLOOKUP($C290,Assumptions!$A$4:$F$7,3,FALSE),0)*Assumptions!$B$11</f>
        <v/>
      </c>
      <c r="Z290" s="3">
        <f>N(N290)*IFERROR(VLOOKUP($C290,Assumptions!$A$4:$F$7,4,FALSE),0)</f>
        <v/>
      </c>
      <c r="AA290" s="3">
        <f>N(T290)*IFERROR(VLOOKUP($C290,Assumptions!$A$4:$F$7,5,FALSE),0)</f>
        <v/>
      </c>
      <c r="AB290" s="3">
        <f>N(U290)</f>
        <v/>
      </c>
      <c r="AC290" s="3">
        <f>SUM(W290:AB290)</f>
        <v/>
      </c>
      <c r="AD290" s="3">
        <f>N(AC290)*N(M290)/90</f>
        <v/>
      </c>
      <c r="AE290" s="3">
        <f>IFERROR(AD290-VLOOKUP($C290,Assumptions!$A$29:$C$32,3,FALSE),"")</f>
        <v/>
      </c>
      <c r="AF290" s="3">
        <f>IFERROR(AE290/F290,"")</f>
        <v/>
      </c>
      <c r="AG290">
        <f>IF(AND($E290=TRUE,$C290="GKP"),AD290,"")</f>
        <v/>
      </c>
      <c r="AH290">
        <f>IF(AND($E290=TRUE,$C290="DEF"),AD290,"")</f>
        <v/>
      </c>
      <c r="AI290">
        <f>IF(AND($E290=TRUE,$C290="MID"),AD290,"")</f>
        <v/>
      </c>
      <c r="AJ290">
        <f>IF(AND($E290=TRUE,$C290="FWD"),AD290,"")</f>
        <v/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b">
        <v>1</v>
      </c>
      <c r="F291" s="2" t="n">
        <v>5</v>
      </c>
      <c r="G291" t="inlineStr">
        <is>
          <t>a</t>
        </is>
      </c>
      <c r="I291" s="2" t="n">
        <v>785</v>
      </c>
      <c r="J291" t="n">
        <v>36</v>
      </c>
      <c r="K291" s="3" t="n">
        <v>64</v>
      </c>
      <c r="L291" t="inlineStr">
        <is>
          <t>flat</t>
        </is>
      </c>
      <c r="M291" s="4" t="n">
        <v>785</v>
      </c>
      <c r="N291" s="4" t="n">
        <v>0.316</v>
      </c>
      <c r="O291" s="3" t="n">
        <v>0.2423</v>
      </c>
      <c r="P291" t="inlineStr">
        <is>
          <t>adjusted xGOT</t>
        </is>
      </c>
      <c r="Q291" s="3" t="n">
        <v>0.888</v>
      </c>
      <c r="R291" s="3" t="n">
        <v>3.2</v>
      </c>
      <c r="S291" s="3" t="n">
        <v>0.0414</v>
      </c>
      <c r="T291" s="3" t="n">
        <v>0.143</v>
      </c>
      <c r="U291" s="3" t="n">
        <v>0</v>
      </c>
      <c r="V291" s="3" t="n">
        <v>3.21</v>
      </c>
      <c r="W291" s="3">
        <f>IF(V291="",IFERROR(VLOOKUP($C291,Assumptions!$A$4:$F$7,6,FALSE),0),V291)</f>
        <v/>
      </c>
      <c r="X291" s="3">
        <f>N(O291)*IFERROR(VLOOKUP($C291,Assumptions!$A$4:$F$7,2,FALSE),0)</f>
        <v/>
      </c>
      <c r="Y291" s="3">
        <f>N(S291)*IFERROR(VLOOKUP($C291,Assumptions!$A$4:$F$7,3,FALSE),0)*Assumptions!$B$11</f>
        <v/>
      </c>
      <c r="Z291" s="3">
        <f>N(N291)*IFERROR(VLOOKUP($C291,Assumptions!$A$4:$F$7,4,FALSE),0)</f>
        <v/>
      </c>
      <c r="AA291" s="3">
        <f>N(T291)*IFERROR(VLOOKUP($C291,Assumptions!$A$4:$F$7,5,FALSE),0)</f>
        <v/>
      </c>
      <c r="AB291" s="3">
        <f>N(U291)</f>
        <v/>
      </c>
      <c r="AC291" s="3">
        <f>SUM(W291:AB291)</f>
        <v/>
      </c>
      <c r="AD291" s="3">
        <f>N(AC291)*N(M291)/90</f>
        <v/>
      </c>
      <c r="AE291" s="3">
        <f>IFERROR(AD291-VLOOKUP($C291,Assumptions!$A$29:$C$32,3,FALSE),"")</f>
        <v/>
      </c>
      <c r="AF291" s="3">
        <f>IFERROR(AE291/F291,"")</f>
        <v/>
      </c>
      <c r="AG291">
        <f>IF(AND($E291=TRUE,$C291="GKP"),AD291,"")</f>
        <v/>
      </c>
      <c r="AH291">
        <f>IF(AND($E291=TRUE,$C291="DEF"),AD291,"")</f>
        <v/>
      </c>
      <c r="AI291">
        <f>IF(AND($E291=TRUE,$C291="MID"),AD291,"")</f>
        <v/>
      </c>
      <c r="AJ291">
        <f>IF(AND($E291=TRUE,$C291="FWD"),AD291,"")</f>
        <v/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b">
        <v>1</v>
      </c>
      <c r="F292" s="2" t="n">
        <v>5</v>
      </c>
      <c r="G292" t="inlineStr">
        <is>
          <t>a</t>
        </is>
      </c>
      <c r="I292" s="2" t="n">
        <v>675</v>
      </c>
      <c r="J292" t="n">
        <v>36</v>
      </c>
      <c r="K292" s="3" t="n">
        <v>727</v>
      </c>
      <c r="L292" t="inlineStr">
        <is>
          <t>fade (losing his place)</t>
        </is>
      </c>
      <c r="M292" s="4" t="n">
        <v>675</v>
      </c>
      <c r="N292" s="4" t="n">
        <v>0.29</v>
      </c>
      <c r="O292" s="3" t="n">
        <v>0.08550000000000001</v>
      </c>
      <c r="P292" t="inlineStr">
        <is>
          <t>adjusted xGOT</t>
        </is>
      </c>
      <c r="Q292" s="3" t="n">
        <v>0.957</v>
      </c>
      <c r="R292" s="3" t="n">
        <v>0.7</v>
      </c>
      <c r="S292" s="3" t="n">
        <v>0.0474</v>
      </c>
      <c r="T292" s="3" t="n">
        <v>0.167</v>
      </c>
      <c r="U292" s="3" t="n">
        <v>0.2667</v>
      </c>
      <c r="V292" s="3" t="n">
        <v>2.933</v>
      </c>
      <c r="W292" s="3">
        <f>IF(V292="",IFERROR(VLOOKUP($C292,Assumptions!$A$4:$F$7,6,FALSE),0),V292)</f>
        <v/>
      </c>
      <c r="X292" s="3">
        <f>N(O292)*IFERROR(VLOOKUP($C292,Assumptions!$A$4:$F$7,2,FALSE),0)</f>
        <v/>
      </c>
      <c r="Y292" s="3">
        <f>N(S292)*IFERROR(VLOOKUP($C292,Assumptions!$A$4:$F$7,3,FALSE),0)*Assumptions!$B$11</f>
        <v/>
      </c>
      <c r="Z292" s="3">
        <f>N(N292)*IFERROR(VLOOKUP($C292,Assumptions!$A$4:$F$7,4,FALSE),0)</f>
        <v/>
      </c>
      <c r="AA292" s="3">
        <f>N(T292)*IFERROR(VLOOKUP($C292,Assumptions!$A$4:$F$7,5,FALSE),0)</f>
        <v/>
      </c>
      <c r="AB292" s="3">
        <f>N(U292)</f>
        <v/>
      </c>
      <c r="AC292" s="3">
        <f>SUM(W292:AB292)</f>
        <v/>
      </c>
      <c r="AD292" s="3">
        <f>N(AC292)*N(M292)/90</f>
        <v/>
      </c>
      <c r="AE292" s="3">
        <f>IFERROR(AD292-VLOOKUP($C292,Assumptions!$A$29:$C$32,3,FALSE),"")</f>
        <v/>
      </c>
      <c r="AF292" s="3">
        <f>IFERROR(AE292/F292,"")</f>
        <v/>
      </c>
      <c r="AG292">
        <f>IF(AND($E292=TRUE,$C292="GKP"),AD292,"")</f>
        <v/>
      </c>
      <c r="AH292">
        <f>IF(AND($E292=TRUE,$C292="DEF"),AD292,"")</f>
        <v/>
      </c>
      <c r="AI292">
        <f>IF(AND($E292=TRUE,$C292="MID"),AD292,"")</f>
        <v/>
      </c>
      <c r="AJ292">
        <f>IF(AND($E292=TRUE,$C292="FWD"),AD292,"")</f>
        <v/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b">
        <v>1</v>
      </c>
      <c r="F293" s="2" t="n">
        <v>5.5</v>
      </c>
      <c r="G293" t="inlineStr">
        <is>
          <t>a</t>
        </is>
      </c>
      <c r="I293" s="2" t="n">
        <v>351</v>
      </c>
      <c r="J293" t="n">
        <v>35</v>
      </c>
      <c r="K293" s="3" t="n">
        <v>821</v>
      </c>
      <c r="L293" t="inlineStr">
        <is>
          <t>fade (losing his place)</t>
        </is>
      </c>
      <c r="M293" s="4" t="n">
        <v>351</v>
      </c>
      <c r="N293" s="4" t="n">
        <v>0.263</v>
      </c>
      <c r="O293" s="3" t="n">
        <v>0.5479000000000001</v>
      </c>
      <c r="P293" t="inlineStr">
        <is>
          <t>adjusted xGOT</t>
        </is>
      </c>
      <c r="Q293" s="3" t="n">
        <v>1.008</v>
      </c>
      <c r="R293" s="3" t="n">
        <v>2.1</v>
      </c>
      <c r="S293" s="3" t="n">
        <v>0.2333</v>
      </c>
      <c r="T293" s="3" t="n">
        <v>0</v>
      </c>
      <c r="U293" s="3" t="n">
        <v>0.7692</v>
      </c>
      <c r="V293" s="3" t="n">
        <v>5.897</v>
      </c>
      <c r="W293" s="3">
        <f>IF(V293="",IFERROR(VLOOKUP($C293,Assumptions!$A$4:$F$7,6,FALSE),0),V293)</f>
        <v/>
      </c>
      <c r="X293" s="3">
        <f>N(O293)*IFERROR(VLOOKUP($C293,Assumptions!$A$4:$F$7,2,FALSE),0)</f>
        <v/>
      </c>
      <c r="Y293" s="3">
        <f>N(S293)*IFERROR(VLOOKUP($C293,Assumptions!$A$4:$F$7,3,FALSE),0)*Assumptions!$B$11</f>
        <v/>
      </c>
      <c r="Z293" s="3">
        <f>N(N293)*IFERROR(VLOOKUP($C293,Assumptions!$A$4:$F$7,4,FALSE),0)</f>
        <v/>
      </c>
      <c r="AA293" s="3">
        <f>N(T293)*IFERROR(VLOOKUP($C293,Assumptions!$A$4:$F$7,5,FALSE),0)</f>
        <v/>
      </c>
      <c r="AB293" s="3">
        <f>N(U293)</f>
        <v/>
      </c>
      <c r="AC293" s="3">
        <f>SUM(W293:AB293)</f>
        <v/>
      </c>
      <c r="AD293" s="3">
        <f>N(AC293)*N(M293)/90</f>
        <v/>
      </c>
      <c r="AE293" s="3">
        <f>IFERROR(AD293-VLOOKUP($C293,Assumptions!$A$29:$C$32,3,FALSE),"")</f>
        <v/>
      </c>
      <c r="AF293" s="3">
        <f>IFERROR(AE293/F293,"")</f>
        <v/>
      </c>
      <c r="AG293">
        <f>IF(AND($E293=TRUE,$C293="GKP"),AD293,"")</f>
        <v/>
      </c>
      <c r="AH293">
        <f>IF(AND($E293=TRUE,$C293="DEF"),AD293,"")</f>
        <v/>
      </c>
      <c r="AI293">
        <f>IF(AND($E293=TRUE,$C293="MID"),AD293,"")</f>
        <v/>
      </c>
      <c r="AJ293">
        <f>IF(AND($E293=TRUE,$C293="FWD"),AD293,"")</f>
        <v/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b">
        <v>1</v>
      </c>
      <c r="F294" s="2" t="n">
        <v>4.5</v>
      </c>
      <c r="G294" t="inlineStr">
        <is>
          <t>a</t>
        </is>
      </c>
      <c r="I294" s="2" t="n">
        <v>788</v>
      </c>
      <c r="J294" t="n">
        <v>34</v>
      </c>
      <c r="K294" s="3" t="n">
        <v>261</v>
      </c>
      <c r="L294" t="inlineStr">
        <is>
          <t>flat</t>
        </is>
      </c>
      <c r="M294" s="4" t="n">
        <v>788</v>
      </c>
      <c r="N294" s="4" t="n">
        <v>0.237</v>
      </c>
      <c r="O294" s="3" t="n">
        <v>0.0126</v>
      </c>
      <c r="P294" t="inlineStr">
        <is>
          <t>adjusted xGOT</t>
        </is>
      </c>
      <c r="Q294" s="3" t="n">
        <v>0.997</v>
      </c>
      <c r="R294" s="3" t="n">
        <v>2.5</v>
      </c>
      <c r="S294" s="3" t="n">
        <v>0.0466</v>
      </c>
      <c r="T294" s="3" t="n">
        <v>0.5</v>
      </c>
      <c r="U294" s="3" t="n">
        <v>0.2284</v>
      </c>
      <c r="V294" s="3" t="n">
        <v>2.627</v>
      </c>
      <c r="W294" s="3">
        <f>IF(V294="",IFERROR(VLOOKUP($C294,Assumptions!$A$4:$F$7,6,FALSE),0),V294)</f>
        <v/>
      </c>
      <c r="X294" s="3">
        <f>N(O294)*IFERROR(VLOOKUP($C294,Assumptions!$A$4:$F$7,2,FALSE),0)</f>
        <v/>
      </c>
      <c r="Y294" s="3">
        <f>N(S294)*IFERROR(VLOOKUP($C294,Assumptions!$A$4:$F$7,3,FALSE),0)*Assumptions!$B$11</f>
        <v/>
      </c>
      <c r="Z294" s="3">
        <f>N(N294)*IFERROR(VLOOKUP($C294,Assumptions!$A$4:$F$7,4,FALSE),0)</f>
        <v/>
      </c>
      <c r="AA294" s="3">
        <f>N(T294)*IFERROR(VLOOKUP($C294,Assumptions!$A$4:$F$7,5,FALSE),0)</f>
        <v/>
      </c>
      <c r="AB294" s="3">
        <f>N(U294)</f>
        <v/>
      </c>
      <c r="AC294" s="3">
        <f>SUM(W294:AB294)</f>
        <v/>
      </c>
      <c r="AD294" s="3">
        <f>N(AC294)*N(M294)/90</f>
        <v/>
      </c>
      <c r="AE294" s="3">
        <f>IFERROR(AD294-VLOOKUP($C294,Assumptions!$A$29:$C$32,3,FALSE),"")</f>
        <v/>
      </c>
      <c r="AF294" s="3">
        <f>IFERROR(AE294/F294,"")</f>
        <v/>
      </c>
      <c r="AG294">
        <f>IF(AND($E294=TRUE,$C294="GKP"),AD294,"")</f>
        <v/>
      </c>
      <c r="AH294">
        <f>IF(AND($E294=TRUE,$C294="DEF"),AD294,"")</f>
        <v/>
      </c>
      <c r="AI294">
        <f>IF(AND($E294=TRUE,$C294="MID"),AD294,"")</f>
        <v/>
      </c>
      <c r="AJ294">
        <f>IF(AND($E294=TRUE,$C294="FWD"),AD294,"")</f>
        <v/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b">
        <v>1</v>
      </c>
      <c r="F295" s="2" t="n">
        <v>5</v>
      </c>
      <c r="G295" t="inlineStr">
        <is>
          <t>a</t>
        </is>
      </c>
      <c r="I295" s="2" t="n">
        <v>867</v>
      </c>
      <c r="J295" t="n">
        <v>34</v>
      </c>
      <c r="K295" s="3" t="n">
        <v>35</v>
      </c>
      <c r="L295" t="inlineStr">
        <is>
          <t>flat</t>
        </is>
      </c>
      <c r="M295" s="4" t="n">
        <v>867</v>
      </c>
      <c r="N295" s="4" t="n">
        <v>0.263</v>
      </c>
      <c r="O295" s="3" t="n">
        <v>0</v>
      </c>
      <c r="P295" t="inlineStr">
        <is>
          <t>blended xG</t>
        </is>
      </c>
      <c r="Q295" s="3" t="n">
        <v>1</v>
      </c>
      <c r="R295" s="3" t="n">
        <v>0</v>
      </c>
      <c r="S295" s="3" t="n">
        <v>0</v>
      </c>
      <c r="T295" s="3" t="n">
        <v>0</v>
      </c>
      <c r="U295" s="3" t="n">
        <v>0.2076</v>
      </c>
      <c r="V295" s="3" t="n">
        <v>1.972</v>
      </c>
      <c r="W295" s="3">
        <f>IF(V295="",IFERROR(VLOOKUP($C295,Assumptions!$A$4:$F$7,6,FALSE),0),V295)</f>
        <v/>
      </c>
      <c r="X295" s="3">
        <f>N(O295)*IFERROR(VLOOKUP($C295,Assumptions!$A$4:$F$7,2,FALSE),0)</f>
        <v/>
      </c>
      <c r="Y295" s="3">
        <f>N(S295)*IFERROR(VLOOKUP($C295,Assumptions!$A$4:$F$7,3,FALSE),0)*Assumptions!$B$11</f>
        <v/>
      </c>
      <c r="Z295" s="3">
        <f>N(N295)*IFERROR(VLOOKUP($C295,Assumptions!$A$4:$F$7,4,FALSE),0)</f>
        <v/>
      </c>
      <c r="AA295" s="3">
        <f>N(T295)*IFERROR(VLOOKUP($C295,Assumptions!$A$4:$F$7,5,FALSE),0)</f>
        <v/>
      </c>
      <c r="AB295" s="3">
        <f>N(U295)</f>
        <v/>
      </c>
      <c r="AC295" s="3">
        <f>SUM(W295:AB295)</f>
        <v/>
      </c>
      <c r="AD295" s="3">
        <f>N(AC295)*N(M295)/90</f>
        <v/>
      </c>
      <c r="AE295" s="3">
        <f>IFERROR(AD295-VLOOKUP($C295,Assumptions!$A$29:$C$32,3,FALSE),"")</f>
        <v/>
      </c>
      <c r="AF295" s="3">
        <f>IFERROR(AE295/F295,"")</f>
        <v/>
      </c>
      <c r="AG295">
        <f>IF(AND($E295=TRUE,$C295="GKP"),AD295,"")</f>
        <v/>
      </c>
      <c r="AH295">
        <f>IF(AND($E295=TRUE,$C295="DEF"),AD295,"")</f>
        <v/>
      </c>
      <c r="AI295">
        <f>IF(AND($E295=TRUE,$C295="MID"),AD295,"")</f>
        <v/>
      </c>
      <c r="AJ295">
        <f>IF(AND($E295=TRUE,$C295="FWD"),AD295,"")</f>
        <v/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b">
        <v>1</v>
      </c>
      <c r="F296" s="2" t="n">
        <v>5</v>
      </c>
      <c r="G296" t="inlineStr">
        <is>
          <t>a</t>
        </is>
      </c>
      <c r="I296" s="2" t="n">
        <v>649</v>
      </c>
      <c r="J296" t="n">
        <v>34</v>
      </c>
      <c r="K296" s="3" t="n">
        <v>178</v>
      </c>
      <c r="L296" t="inlineStr">
        <is>
          <t>flat</t>
        </is>
      </c>
      <c r="M296" s="4" t="n">
        <v>649</v>
      </c>
      <c r="N296" s="4" t="n">
        <v>0.29</v>
      </c>
      <c r="O296" s="3" t="n">
        <v>0.0553</v>
      </c>
      <c r="P296" t="inlineStr">
        <is>
          <t>adjusted xGOT</t>
        </is>
      </c>
      <c r="Q296" s="3" t="n">
        <v>1.139</v>
      </c>
      <c r="R296" s="3" t="n">
        <v>7</v>
      </c>
      <c r="S296" s="3" t="n">
        <v>0.09379999999999999</v>
      </c>
      <c r="T296" s="3" t="n">
        <v>0</v>
      </c>
      <c r="U296" s="3" t="n">
        <v>0.416</v>
      </c>
      <c r="V296" s="3" t="n">
        <v>2.912</v>
      </c>
      <c r="W296" s="3">
        <f>IF(V296="",IFERROR(VLOOKUP($C296,Assumptions!$A$4:$F$7,6,FALSE),0),V296)</f>
        <v/>
      </c>
      <c r="X296" s="3">
        <f>N(O296)*IFERROR(VLOOKUP($C296,Assumptions!$A$4:$F$7,2,FALSE),0)</f>
        <v/>
      </c>
      <c r="Y296" s="3">
        <f>N(S296)*IFERROR(VLOOKUP($C296,Assumptions!$A$4:$F$7,3,FALSE),0)*Assumptions!$B$11</f>
        <v/>
      </c>
      <c r="Z296" s="3">
        <f>N(N296)*IFERROR(VLOOKUP($C296,Assumptions!$A$4:$F$7,4,FALSE),0)</f>
        <v/>
      </c>
      <c r="AA296" s="3">
        <f>N(T296)*IFERROR(VLOOKUP($C296,Assumptions!$A$4:$F$7,5,FALSE),0)</f>
        <v/>
      </c>
      <c r="AB296" s="3">
        <f>N(U296)</f>
        <v/>
      </c>
      <c r="AC296" s="3">
        <f>SUM(W296:AB296)</f>
        <v/>
      </c>
      <c r="AD296" s="3">
        <f>N(AC296)*N(M296)/90</f>
        <v/>
      </c>
      <c r="AE296" s="3">
        <f>IFERROR(AD296-VLOOKUP($C296,Assumptions!$A$29:$C$32,3,FALSE),"")</f>
        <v/>
      </c>
      <c r="AF296" s="3">
        <f>IFERROR(AE296/F296,"")</f>
        <v/>
      </c>
      <c r="AG296">
        <f>IF(AND($E296=TRUE,$C296="GKP"),AD296,"")</f>
        <v/>
      </c>
      <c r="AH296">
        <f>IF(AND($E296=TRUE,$C296="DEF"),AD296,"")</f>
        <v/>
      </c>
      <c r="AI296">
        <f>IF(AND($E296=TRUE,$C296="MID"),AD296,"")</f>
        <v/>
      </c>
      <c r="AJ296">
        <f>IF(AND($E296=TRUE,$C296="FWD"),AD296,"")</f>
        <v/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b">
        <v>1</v>
      </c>
      <c r="F297" s="2" t="n">
        <v>5</v>
      </c>
      <c r="G297" t="inlineStr">
        <is>
          <t>i</t>
        </is>
      </c>
      <c r="H297" t="inlineStr">
        <is>
          <t>Muscular injury - Unknown return date</t>
        </is>
      </c>
      <c r="I297" s="2" t="n">
        <v>594</v>
      </c>
      <c r="J297" t="n">
        <v>33</v>
      </c>
      <c r="K297" s="3" t="n">
        <v>442</v>
      </c>
      <c r="L297" t="inlineStr">
        <is>
          <t>flat</t>
        </is>
      </c>
      <c r="M297" s="4" t="n">
        <v>594</v>
      </c>
      <c r="N297" s="4" t="n">
        <v>0.263</v>
      </c>
      <c r="O297" s="3" t="n">
        <v>0.0397</v>
      </c>
      <c r="P297" t="inlineStr">
        <is>
          <t>adjusted xGOT</t>
        </is>
      </c>
      <c r="Q297" s="3" t="n">
        <v>0.9360000000000001</v>
      </c>
      <c r="R297" s="3" t="n">
        <v>1.8</v>
      </c>
      <c r="S297" s="3" t="n">
        <v>0.1431</v>
      </c>
      <c r="T297" s="3" t="n">
        <v>0</v>
      </c>
      <c r="U297" s="3" t="n">
        <v>0.303</v>
      </c>
      <c r="V297" s="3" t="n">
        <v>3.939</v>
      </c>
      <c r="W297" s="3">
        <f>IF(V297="",IFERROR(VLOOKUP($C297,Assumptions!$A$4:$F$7,6,FALSE),0),V297)</f>
        <v/>
      </c>
      <c r="X297" s="3">
        <f>N(O297)*IFERROR(VLOOKUP($C297,Assumptions!$A$4:$F$7,2,FALSE),0)</f>
        <v/>
      </c>
      <c r="Y297" s="3">
        <f>N(S297)*IFERROR(VLOOKUP($C297,Assumptions!$A$4:$F$7,3,FALSE),0)*Assumptions!$B$11</f>
        <v/>
      </c>
      <c r="Z297" s="3">
        <f>N(N297)*IFERROR(VLOOKUP($C297,Assumptions!$A$4:$F$7,4,FALSE),0)</f>
        <v/>
      </c>
      <c r="AA297" s="3">
        <f>N(T297)*IFERROR(VLOOKUP($C297,Assumptions!$A$4:$F$7,5,FALSE),0)</f>
        <v/>
      </c>
      <c r="AB297" s="3">
        <f>N(U297)</f>
        <v/>
      </c>
      <c r="AC297" s="3">
        <f>SUM(W297:AB297)</f>
        <v/>
      </c>
      <c r="AD297" s="3">
        <f>N(AC297)*N(M297)/90</f>
        <v/>
      </c>
      <c r="AE297" s="3">
        <f>IFERROR(AD297-VLOOKUP($C297,Assumptions!$A$29:$C$32,3,FALSE),"")</f>
        <v/>
      </c>
      <c r="AF297" s="3">
        <f>IFERROR(AE297/F297,"")</f>
        <v/>
      </c>
      <c r="AG297">
        <f>IF(AND($E297=TRUE,$C297="GKP"),AD297,"")</f>
        <v/>
      </c>
      <c r="AH297">
        <f>IF(AND($E297=TRUE,$C297="DEF"),AD297,"")</f>
        <v/>
      </c>
      <c r="AI297">
        <f>IF(AND($E297=TRUE,$C297="MID"),AD297,"")</f>
        <v/>
      </c>
      <c r="AJ297">
        <f>IF(AND($E297=TRUE,$C297="FWD"),AD297,"")</f>
        <v/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b">
        <v>1</v>
      </c>
      <c r="F298" s="2" t="n">
        <v>5.5</v>
      </c>
      <c r="G298" t="inlineStr">
        <is>
          <t>a</t>
        </is>
      </c>
      <c r="I298" s="2" t="n">
        <v>678</v>
      </c>
      <c r="J298" t="n">
        <v>32</v>
      </c>
      <c r="K298" s="3" t="n">
        <v>3203</v>
      </c>
      <c r="L298" t="inlineStr">
        <is>
          <t>flat</t>
        </is>
      </c>
      <c r="M298" s="4" t="n">
        <v>678</v>
      </c>
      <c r="N298" s="4" t="n">
        <v>0.29</v>
      </c>
      <c r="O298" s="3" t="n">
        <v>0.0445</v>
      </c>
      <c r="P298" t="inlineStr">
        <is>
          <t>adjusted xGOT</t>
        </is>
      </c>
      <c r="Q298" s="3" t="n">
        <v>0.986</v>
      </c>
      <c r="R298" s="3" t="n">
        <v>3.2</v>
      </c>
      <c r="S298" s="3" t="n">
        <v>0.0321</v>
      </c>
      <c r="T298" s="3" t="n">
        <v>0.429</v>
      </c>
      <c r="U298" s="3" t="n">
        <v>0</v>
      </c>
      <c r="V298" s="3" t="n">
        <v>2.257</v>
      </c>
      <c r="W298" s="3">
        <f>IF(V298="",IFERROR(VLOOKUP($C298,Assumptions!$A$4:$F$7,6,FALSE),0),V298)</f>
        <v/>
      </c>
      <c r="X298" s="3">
        <f>N(O298)*IFERROR(VLOOKUP($C298,Assumptions!$A$4:$F$7,2,FALSE),0)</f>
        <v/>
      </c>
      <c r="Y298" s="3">
        <f>N(S298)*IFERROR(VLOOKUP($C298,Assumptions!$A$4:$F$7,3,FALSE),0)*Assumptions!$B$11</f>
        <v/>
      </c>
      <c r="Z298" s="3">
        <f>N(N298)*IFERROR(VLOOKUP($C298,Assumptions!$A$4:$F$7,4,FALSE),0)</f>
        <v/>
      </c>
      <c r="AA298" s="3">
        <f>N(T298)*IFERROR(VLOOKUP($C298,Assumptions!$A$4:$F$7,5,FALSE),0)</f>
        <v/>
      </c>
      <c r="AB298" s="3">
        <f>N(U298)</f>
        <v/>
      </c>
      <c r="AC298" s="3">
        <f>SUM(W298:AB298)</f>
        <v/>
      </c>
      <c r="AD298" s="3">
        <f>N(AC298)*N(M298)/90</f>
        <v/>
      </c>
      <c r="AE298" s="3">
        <f>IFERROR(AD298-VLOOKUP($C298,Assumptions!$A$29:$C$32,3,FALSE),"")</f>
        <v/>
      </c>
      <c r="AF298" s="3">
        <f>IFERROR(AE298/F298,"")</f>
        <v/>
      </c>
      <c r="AG298">
        <f>IF(AND($E298=TRUE,$C298="GKP"),AD298,"")</f>
        <v/>
      </c>
      <c r="AH298">
        <f>IF(AND($E298=TRUE,$C298="DEF"),AD298,"")</f>
        <v/>
      </c>
      <c r="AI298">
        <f>IF(AND($E298=TRUE,$C298="MID"),AD298,"")</f>
        <v/>
      </c>
      <c r="AJ298">
        <f>IF(AND($E298=TRUE,$C298="FWD"),AD298,"")</f>
        <v/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b">
        <v>1</v>
      </c>
      <c r="F299" s="2" t="n">
        <v>5</v>
      </c>
      <c r="G299" t="inlineStr">
        <is>
          <t>a</t>
        </is>
      </c>
      <c r="I299" s="2" t="n">
        <v>521</v>
      </c>
      <c r="J299" t="n">
        <v>32</v>
      </c>
      <c r="K299" s="3" t="n">
        <v>120</v>
      </c>
      <c r="L299" t="inlineStr">
        <is>
          <t>flat</t>
        </is>
      </c>
      <c r="M299" s="4" t="n">
        <v>521</v>
      </c>
      <c r="N299" s="4" t="n">
        <v>0.21</v>
      </c>
      <c r="O299" s="3" t="n">
        <v>0.0672</v>
      </c>
      <c r="P299" t="inlineStr">
        <is>
          <t>adjusted xGOT</t>
        </is>
      </c>
      <c r="Q299" s="3" t="n">
        <v>0.972</v>
      </c>
      <c r="R299" s="3" t="n">
        <v>2.2</v>
      </c>
      <c r="S299" s="3" t="n">
        <v>0.1742</v>
      </c>
      <c r="T299" s="3" t="n">
        <v>0</v>
      </c>
      <c r="U299" s="3" t="n">
        <v>0</v>
      </c>
      <c r="V299" s="3" t="n">
        <v>4.319</v>
      </c>
      <c r="W299" s="3">
        <f>IF(V299="",IFERROR(VLOOKUP($C299,Assumptions!$A$4:$F$7,6,FALSE),0),V299)</f>
        <v/>
      </c>
      <c r="X299" s="3">
        <f>N(O299)*IFERROR(VLOOKUP($C299,Assumptions!$A$4:$F$7,2,FALSE),0)</f>
        <v/>
      </c>
      <c r="Y299" s="3">
        <f>N(S299)*IFERROR(VLOOKUP($C299,Assumptions!$A$4:$F$7,3,FALSE),0)*Assumptions!$B$11</f>
        <v/>
      </c>
      <c r="Z299" s="3">
        <f>N(N299)*IFERROR(VLOOKUP($C299,Assumptions!$A$4:$F$7,4,FALSE),0)</f>
        <v/>
      </c>
      <c r="AA299" s="3">
        <f>N(T299)*IFERROR(VLOOKUP($C299,Assumptions!$A$4:$F$7,5,FALSE),0)</f>
        <v/>
      </c>
      <c r="AB299" s="3">
        <f>N(U299)</f>
        <v/>
      </c>
      <c r="AC299" s="3">
        <f>SUM(W299:AB299)</f>
        <v/>
      </c>
      <c r="AD299" s="3">
        <f>N(AC299)*N(M299)/90</f>
        <v/>
      </c>
      <c r="AE299" s="3">
        <f>IFERROR(AD299-VLOOKUP($C299,Assumptions!$A$29:$C$32,3,FALSE),"")</f>
        <v/>
      </c>
      <c r="AF299" s="3">
        <f>IFERROR(AE299/F299,"")</f>
        <v/>
      </c>
      <c r="AG299">
        <f>IF(AND($E299=TRUE,$C299="GKP"),AD299,"")</f>
        <v/>
      </c>
      <c r="AH299">
        <f>IF(AND($E299=TRUE,$C299="DEF"),AD299,"")</f>
        <v/>
      </c>
      <c r="AI299">
        <f>IF(AND($E299=TRUE,$C299="MID"),AD299,"")</f>
        <v/>
      </c>
      <c r="AJ299">
        <f>IF(AND($E299=TRUE,$C299="FWD"),AD299,"")</f>
        <v/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b">
        <v>1</v>
      </c>
      <c r="F300" s="2" t="n">
        <v>4</v>
      </c>
      <c r="G300" t="inlineStr">
        <is>
          <t>a</t>
        </is>
      </c>
      <c r="I300" s="2" t="n">
        <v>812</v>
      </c>
      <c r="J300" t="n">
        <v>31</v>
      </c>
      <c r="K300" s="3" t="n">
        <v>2394</v>
      </c>
      <c r="L300" t="inlineStr">
        <is>
          <t>flat</t>
        </is>
      </c>
      <c r="M300" s="4" t="n">
        <v>812</v>
      </c>
      <c r="N300" s="4" t="n"/>
      <c r="O300" s="3" t="n">
        <v>0.09619999999999999</v>
      </c>
      <c r="P300" t="inlineStr">
        <is>
          <t>adjusted xGOT</t>
        </is>
      </c>
      <c r="Q300" s="3" t="n">
        <v>1.085</v>
      </c>
      <c r="R300" s="3" t="n">
        <v>1.9</v>
      </c>
      <c r="S300" s="3" t="n">
        <v>0.0028</v>
      </c>
      <c r="T300" s="3" t="n">
        <v>0.125</v>
      </c>
      <c r="U300" s="3" t="n">
        <v>0.3325</v>
      </c>
      <c r="V300" s="3" t="n">
        <v>2.328</v>
      </c>
      <c r="W300" s="3">
        <f>IF(V300="",IFERROR(VLOOKUP($C300,Assumptions!$A$4:$F$7,6,FALSE),0),V300)</f>
        <v/>
      </c>
      <c r="X300" s="3">
        <f>N(O300)*IFERROR(VLOOKUP($C300,Assumptions!$A$4:$F$7,2,FALSE),0)</f>
        <v/>
      </c>
      <c r="Y300" s="3">
        <f>N(S300)*IFERROR(VLOOKUP($C300,Assumptions!$A$4:$F$7,3,FALSE),0)*Assumptions!$B$11</f>
        <v/>
      </c>
      <c r="Z300" s="3">
        <f>N(N300)*IFERROR(VLOOKUP($C300,Assumptions!$A$4:$F$7,4,FALSE),0)</f>
        <v/>
      </c>
      <c r="AA300" s="3">
        <f>N(T300)*IFERROR(VLOOKUP($C300,Assumptions!$A$4:$F$7,5,FALSE),0)</f>
        <v/>
      </c>
      <c r="AB300" s="3">
        <f>N(U300)</f>
        <v/>
      </c>
      <c r="AC300" s="3">
        <f>SUM(W300:AB300)</f>
        <v/>
      </c>
      <c r="AD300" s="3">
        <f>N(AC300)*N(M300)/90</f>
        <v/>
      </c>
      <c r="AE300" s="3">
        <f>IFERROR(AD300-VLOOKUP($C300,Assumptions!$A$29:$C$32,3,FALSE),"")</f>
        <v/>
      </c>
      <c r="AF300" s="3">
        <f>IFERROR(AE300/F300,"")</f>
        <v/>
      </c>
      <c r="AG300">
        <f>IF(AND($E300=TRUE,$C300="GKP"),AD300,"")</f>
        <v/>
      </c>
      <c r="AH300">
        <f>IF(AND($E300=TRUE,$C300="DEF"),AD300,"")</f>
        <v/>
      </c>
      <c r="AI300">
        <f>IF(AND($E300=TRUE,$C300="MID"),AD300,"")</f>
        <v/>
      </c>
      <c r="AJ300">
        <f>IF(AND($E300=TRUE,$C300="FWD"),AD300,"")</f>
        <v/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b">
        <v>1</v>
      </c>
      <c r="F301" s="2" t="n">
        <v>4.5</v>
      </c>
      <c r="G301" t="inlineStr">
        <is>
          <t>a</t>
        </is>
      </c>
      <c r="I301" s="2" t="n">
        <v>602</v>
      </c>
      <c r="J301" t="n">
        <v>30</v>
      </c>
      <c r="K301" s="3" t="n">
        <v>340</v>
      </c>
      <c r="L301" t="inlineStr">
        <is>
          <t>flat</t>
        </is>
      </c>
      <c r="M301" s="4" t="n">
        <v>602</v>
      </c>
      <c r="N301" s="4" t="n">
        <v>0.237</v>
      </c>
      <c r="O301" s="3" t="n">
        <v>0.0646</v>
      </c>
      <c r="P301" t="inlineStr">
        <is>
          <t>adjusted xGOT</t>
        </is>
      </c>
      <c r="Q301" s="3" t="n">
        <v>0.881</v>
      </c>
      <c r="R301" s="3" t="n">
        <v>7.7</v>
      </c>
      <c r="S301" s="3" t="n">
        <v>0.0447</v>
      </c>
      <c r="T301" s="3" t="n">
        <v>0.5</v>
      </c>
      <c r="U301" s="3" t="n">
        <v>0</v>
      </c>
      <c r="V301" s="3" t="n">
        <v>3.738</v>
      </c>
      <c r="W301" s="3">
        <f>IF(V301="",IFERROR(VLOOKUP($C301,Assumptions!$A$4:$F$7,6,FALSE),0),V301)</f>
        <v/>
      </c>
      <c r="X301" s="3">
        <f>N(O301)*IFERROR(VLOOKUP($C301,Assumptions!$A$4:$F$7,2,FALSE),0)</f>
        <v/>
      </c>
      <c r="Y301" s="3">
        <f>N(S301)*IFERROR(VLOOKUP($C301,Assumptions!$A$4:$F$7,3,FALSE),0)*Assumptions!$B$11</f>
        <v/>
      </c>
      <c r="Z301" s="3">
        <f>N(N301)*IFERROR(VLOOKUP($C301,Assumptions!$A$4:$F$7,4,FALSE),0)</f>
        <v/>
      </c>
      <c r="AA301" s="3">
        <f>N(T301)*IFERROR(VLOOKUP($C301,Assumptions!$A$4:$F$7,5,FALSE),0)</f>
        <v/>
      </c>
      <c r="AB301" s="3">
        <f>N(U301)</f>
        <v/>
      </c>
      <c r="AC301" s="3">
        <f>SUM(W301:AB301)</f>
        <v/>
      </c>
      <c r="AD301" s="3">
        <f>N(AC301)*N(M301)/90</f>
        <v/>
      </c>
      <c r="AE301" s="3">
        <f>IFERROR(AD301-VLOOKUP($C301,Assumptions!$A$29:$C$32,3,FALSE),"")</f>
        <v/>
      </c>
      <c r="AF301" s="3">
        <f>IFERROR(AE301/F301,"")</f>
        <v/>
      </c>
      <c r="AG301">
        <f>IF(AND($E301=TRUE,$C301="GKP"),AD301,"")</f>
        <v/>
      </c>
      <c r="AH301">
        <f>IF(AND($E301=TRUE,$C301="DEF"),AD301,"")</f>
        <v/>
      </c>
      <c r="AI301">
        <f>IF(AND($E301=TRUE,$C301="MID"),AD301,"")</f>
        <v/>
      </c>
      <c r="AJ301">
        <f>IF(AND($E301=TRUE,$C301="FWD"),AD301,"")</f>
        <v/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b">
        <v>1</v>
      </c>
      <c r="F302" s="2" t="n">
        <v>4.5</v>
      </c>
      <c r="G302" t="inlineStr">
        <is>
          <t>a</t>
        </is>
      </c>
      <c r="I302" s="2" t="n">
        <v>1335</v>
      </c>
      <c r="J302" t="n">
        <v>29</v>
      </c>
      <c r="K302" s="3" t="n">
        <v>685</v>
      </c>
      <c r="L302" t="inlineStr">
        <is>
          <t>flat</t>
        </is>
      </c>
      <c r="M302" s="4" t="n">
        <v>1335</v>
      </c>
      <c r="N302" s="4" t="n">
        <v>0.237</v>
      </c>
      <c r="O302" s="3" t="n">
        <v>0.0132</v>
      </c>
      <c r="P302" t="inlineStr">
        <is>
          <t>adjusted xGOT</t>
        </is>
      </c>
      <c r="Q302" s="3" t="n">
        <v>1.091</v>
      </c>
      <c r="R302" s="3" t="n">
        <v>2.9</v>
      </c>
      <c r="S302" s="3" t="n">
        <v>0.0621</v>
      </c>
      <c r="T302" s="3" t="n">
        <v>0</v>
      </c>
      <c r="U302" s="3" t="n">
        <v>0.0674</v>
      </c>
      <c r="V302" s="3" t="n">
        <v>2.225</v>
      </c>
      <c r="W302" s="3">
        <f>IF(V302="",IFERROR(VLOOKUP($C302,Assumptions!$A$4:$F$7,6,FALSE),0),V302)</f>
        <v/>
      </c>
      <c r="X302" s="3">
        <f>N(O302)*IFERROR(VLOOKUP($C302,Assumptions!$A$4:$F$7,2,FALSE),0)</f>
        <v/>
      </c>
      <c r="Y302" s="3">
        <f>N(S302)*IFERROR(VLOOKUP($C302,Assumptions!$A$4:$F$7,3,FALSE),0)*Assumptions!$B$11</f>
        <v/>
      </c>
      <c r="Z302" s="3">
        <f>N(N302)*IFERROR(VLOOKUP($C302,Assumptions!$A$4:$F$7,4,FALSE),0)</f>
        <v/>
      </c>
      <c r="AA302" s="3">
        <f>N(T302)*IFERROR(VLOOKUP($C302,Assumptions!$A$4:$F$7,5,FALSE),0)</f>
        <v/>
      </c>
      <c r="AB302" s="3">
        <f>N(U302)</f>
        <v/>
      </c>
      <c r="AC302" s="3">
        <f>SUM(W302:AB302)</f>
        <v/>
      </c>
      <c r="AD302" s="3">
        <f>N(AC302)*N(M302)/90</f>
        <v/>
      </c>
      <c r="AE302" s="3">
        <f>IFERROR(AD302-VLOOKUP($C302,Assumptions!$A$29:$C$32,3,FALSE),"")</f>
        <v/>
      </c>
      <c r="AF302" s="3">
        <f>IFERROR(AE302/F302,"")</f>
        <v/>
      </c>
      <c r="AG302">
        <f>IF(AND($E302=TRUE,$C302="GKP"),AD302,"")</f>
        <v/>
      </c>
      <c r="AH302">
        <f>IF(AND($E302=TRUE,$C302="DEF"),AD302,"")</f>
        <v/>
      </c>
      <c r="AI302">
        <f>IF(AND($E302=TRUE,$C302="MID"),AD302,"")</f>
        <v/>
      </c>
      <c r="AJ302">
        <f>IF(AND($E302=TRUE,$C302="FWD"),AD302,"")</f>
        <v/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b">
        <v>1</v>
      </c>
      <c r="F303" s="2" t="n">
        <v>5.5</v>
      </c>
      <c r="G303" t="inlineStr">
        <is>
          <t>a</t>
        </is>
      </c>
      <c r="I303" s="2" t="n">
        <v>697</v>
      </c>
      <c r="J303" t="n">
        <v>29</v>
      </c>
      <c r="K303" s="3" t="n">
        <v>394</v>
      </c>
      <c r="L303" t="inlineStr">
        <is>
          <t>flat</t>
        </is>
      </c>
      <c r="M303" s="4" t="n">
        <v>697</v>
      </c>
      <c r="N303" s="4" t="n">
        <v>0.5</v>
      </c>
      <c r="O303" s="3" t="n">
        <v>0.0128</v>
      </c>
      <c r="P303" t="inlineStr">
        <is>
          <t>adjusted xGOT</t>
        </is>
      </c>
      <c r="Q303" s="3" t="n">
        <v>0.993</v>
      </c>
      <c r="R303" s="3" t="n">
        <v>0.3</v>
      </c>
      <c r="S303" s="3" t="n">
        <v>0.0244</v>
      </c>
      <c r="T303" s="3" t="n">
        <v>0</v>
      </c>
      <c r="U303" s="3" t="n">
        <v>0</v>
      </c>
      <c r="V303" s="3" t="n">
        <v>3.228</v>
      </c>
      <c r="W303" s="3">
        <f>IF(V303="",IFERROR(VLOOKUP($C303,Assumptions!$A$4:$F$7,6,FALSE),0),V303)</f>
        <v/>
      </c>
      <c r="X303" s="3">
        <f>N(O303)*IFERROR(VLOOKUP($C303,Assumptions!$A$4:$F$7,2,FALSE),0)</f>
        <v/>
      </c>
      <c r="Y303" s="3">
        <f>N(S303)*IFERROR(VLOOKUP($C303,Assumptions!$A$4:$F$7,3,FALSE),0)*Assumptions!$B$11</f>
        <v/>
      </c>
      <c r="Z303" s="3">
        <f>N(N303)*IFERROR(VLOOKUP($C303,Assumptions!$A$4:$F$7,4,FALSE),0)</f>
        <v/>
      </c>
      <c r="AA303" s="3">
        <f>N(T303)*IFERROR(VLOOKUP($C303,Assumptions!$A$4:$F$7,5,FALSE),0)</f>
        <v/>
      </c>
      <c r="AB303" s="3">
        <f>N(U303)</f>
        <v/>
      </c>
      <c r="AC303" s="3">
        <f>SUM(W303:AB303)</f>
        <v/>
      </c>
      <c r="AD303" s="3">
        <f>N(AC303)*N(M303)/90</f>
        <v/>
      </c>
      <c r="AE303" s="3">
        <f>IFERROR(AD303-VLOOKUP($C303,Assumptions!$A$29:$C$32,3,FALSE),"")</f>
        <v/>
      </c>
      <c r="AF303" s="3">
        <f>IFERROR(AE303/F303,"")</f>
        <v/>
      </c>
      <c r="AG303">
        <f>IF(AND($E303=TRUE,$C303="GKP"),AD303,"")</f>
        <v/>
      </c>
      <c r="AH303">
        <f>IF(AND($E303=TRUE,$C303="DEF"),AD303,"")</f>
        <v/>
      </c>
      <c r="AI303">
        <f>IF(AND($E303=TRUE,$C303="MID"),AD303,"")</f>
        <v/>
      </c>
      <c r="AJ303">
        <f>IF(AND($E303=TRUE,$C303="FWD"),AD303,"")</f>
        <v/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b">
        <v>1</v>
      </c>
      <c r="F304" s="2" t="n">
        <v>4.5</v>
      </c>
      <c r="G304" t="inlineStr">
        <is>
          <t>a</t>
        </is>
      </c>
      <c r="I304" s="2" t="n">
        <v>942</v>
      </c>
      <c r="J304" t="n">
        <v>29</v>
      </c>
      <c r="K304" s="3" t="n">
        <v>884</v>
      </c>
      <c r="L304" t="inlineStr">
        <is>
          <t>fade (losing his place)</t>
        </is>
      </c>
      <c r="M304" s="4" t="n">
        <v>942</v>
      </c>
      <c r="N304" s="4" t="n">
        <v>0.237</v>
      </c>
      <c r="O304" s="3" t="n">
        <v>0.0261</v>
      </c>
      <c r="P304" t="inlineStr">
        <is>
          <t>adjusted xGOT</t>
        </is>
      </c>
      <c r="Q304" s="3" t="n">
        <v>0.976</v>
      </c>
      <c r="R304" s="3" t="n">
        <v>1.2</v>
      </c>
      <c r="S304" s="3" t="n">
        <v>0.0333</v>
      </c>
      <c r="T304" s="3" t="n">
        <v>0</v>
      </c>
      <c r="U304" s="3" t="n">
        <v>0</v>
      </c>
      <c r="V304" s="3" t="n">
        <v>2.58</v>
      </c>
      <c r="W304" s="3">
        <f>IF(V304="",IFERROR(VLOOKUP($C304,Assumptions!$A$4:$F$7,6,FALSE),0),V304)</f>
        <v/>
      </c>
      <c r="X304" s="3">
        <f>N(O304)*IFERROR(VLOOKUP($C304,Assumptions!$A$4:$F$7,2,FALSE),0)</f>
        <v/>
      </c>
      <c r="Y304" s="3">
        <f>N(S304)*IFERROR(VLOOKUP($C304,Assumptions!$A$4:$F$7,3,FALSE),0)*Assumptions!$B$11</f>
        <v/>
      </c>
      <c r="Z304" s="3">
        <f>N(N304)*IFERROR(VLOOKUP($C304,Assumptions!$A$4:$F$7,4,FALSE),0)</f>
        <v/>
      </c>
      <c r="AA304" s="3">
        <f>N(T304)*IFERROR(VLOOKUP($C304,Assumptions!$A$4:$F$7,5,FALSE),0)</f>
        <v/>
      </c>
      <c r="AB304" s="3">
        <f>N(U304)</f>
        <v/>
      </c>
      <c r="AC304" s="3">
        <f>SUM(W304:AB304)</f>
        <v/>
      </c>
      <c r="AD304" s="3">
        <f>N(AC304)*N(M304)/90</f>
        <v/>
      </c>
      <c r="AE304" s="3">
        <f>IFERROR(AD304-VLOOKUP($C304,Assumptions!$A$29:$C$32,3,FALSE),"")</f>
        <v/>
      </c>
      <c r="AF304" s="3">
        <f>IFERROR(AE304/F304,"")</f>
        <v/>
      </c>
      <c r="AG304">
        <f>IF(AND($E304=TRUE,$C304="GKP"),AD304,"")</f>
        <v/>
      </c>
      <c r="AH304">
        <f>IF(AND($E304=TRUE,$C304="DEF"),AD304,"")</f>
        <v/>
      </c>
      <c r="AI304">
        <f>IF(AND($E304=TRUE,$C304="MID"),AD304,"")</f>
        <v/>
      </c>
      <c r="AJ304">
        <f>IF(AND($E304=TRUE,$C304="FWD"),AD304,"")</f>
        <v/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b">
        <v>1</v>
      </c>
      <c r="F305" s="2" t="n">
        <v>5</v>
      </c>
      <c r="G305" t="inlineStr">
        <is>
          <t>a</t>
        </is>
      </c>
      <c r="I305" s="2" t="n">
        <v>679</v>
      </c>
      <c r="J305" t="n">
        <v>29</v>
      </c>
      <c r="K305" s="3" t="n">
        <v>191</v>
      </c>
      <c r="L305" t="inlineStr">
        <is>
          <t>flat</t>
        </is>
      </c>
      <c r="M305" s="4" t="n">
        <v>679</v>
      </c>
      <c r="N305" s="4" t="n">
        <v>0.29</v>
      </c>
      <c r="O305" s="3" t="n">
        <v>0.1671</v>
      </c>
      <c r="P305" t="inlineStr">
        <is>
          <t>adjusted xGOT</t>
        </is>
      </c>
      <c r="Q305" s="3" t="n">
        <v>1.078</v>
      </c>
      <c r="R305" s="3" t="n">
        <v>4.7</v>
      </c>
      <c r="S305" s="3" t="n">
        <v>0.1162</v>
      </c>
      <c r="T305" s="3" t="n">
        <v>0</v>
      </c>
      <c r="U305" s="3" t="n">
        <v>0</v>
      </c>
      <c r="V305" s="3" t="n">
        <v>3.579</v>
      </c>
      <c r="W305" s="3">
        <f>IF(V305="",IFERROR(VLOOKUP($C305,Assumptions!$A$4:$F$7,6,FALSE),0),V305)</f>
        <v/>
      </c>
      <c r="X305" s="3">
        <f>N(O305)*IFERROR(VLOOKUP($C305,Assumptions!$A$4:$F$7,2,FALSE),0)</f>
        <v/>
      </c>
      <c r="Y305" s="3">
        <f>N(S305)*IFERROR(VLOOKUP($C305,Assumptions!$A$4:$F$7,3,FALSE),0)*Assumptions!$B$11</f>
        <v/>
      </c>
      <c r="Z305" s="3">
        <f>N(N305)*IFERROR(VLOOKUP($C305,Assumptions!$A$4:$F$7,4,FALSE),0)</f>
        <v/>
      </c>
      <c r="AA305" s="3">
        <f>N(T305)*IFERROR(VLOOKUP($C305,Assumptions!$A$4:$F$7,5,FALSE),0)</f>
        <v/>
      </c>
      <c r="AB305" s="3">
        <f>N(U305)</f>
        <v/>
      </c>
      <c r="AC305" s="3">
        <f>SUM(W305:AB305)</f>
        <v/>
      </c>
      <c r="AD305" s="3">
        <f>N(AC305)*N(M305)/90</f>
        <v/>
      </c>
      <c r="AE305" s="3">
        <f>IFERROR(AD305-VLOOKUP($C305,Assumptions!$A$29:$C$32,3,FALSE),"")</f>
        <v/>
      </c>
      <c r="AF305" s="3">
        <f>IFERROR(AE305/F305,"")</f>
        <v/>
      </c>
      <c r="AG305">
        <f>IF(AND($E305=TRUE,$C305="GKP"),AD305,"")</f>
        <v/>
      </c>
      <c r="AH305">
        <f>IF(AND($E305=TRUE,$C305="DEF"),AD305,"")</f>
        <v/>
      </c>
      <c r="AI305">
        <f>IF(AND($E305=TRUE,$C305="MID"),AD305,"")</f>
        <v/>
      </c>
      <c r="AJ305">
        <f>IF(AND($E305=TRUE,$C305="FWD"),AD305,"")</f>
        <v/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b">
        <v>1</v>
      </c>
      <c r="F306" s="2" t="n">
        <v>6</v>
      </c>
      <c r="G306" t="inlineStr">
        <is>
          <t>a</t>
        </is>
      </c>
      <c r="I306" s="2" t="n">
        <v>517</v>
      </c>
      <c r="J306" t="n">
        <v>27</v>
      </c>
      <c r="K306" s="3" t="n">
        <v>1277</v>
      </c>
      <c r="L306" t="inlineStr">
        <is>
          <t>flat</t>
        </is>
      </c>
      <c r="M306" s="4" t="n">
        <v>517</v>
      </c>
      <c r="N306" s="4" t="n">
        <v>0.21</v>
      </c>
      <c r="O306" s="3" t="n">
        <v>0.5092</v>
      </c>
      <c r="P306" t="inlineStr">
        <is>
          <t>adjusted xGOT</t>
        </is>
      </c>
      <c r="Q306" s="3" t="n">
        <v>0.9350000000000001</v>
      </c>
      <c r="R306" s="3" t="n">
        <v>37.9</v>
      </c>
      <c r="S306" s="3" t="n">
        <v>0.0618</v>
      </c>
      <c r="T306" s="3" t="n">
        <v>0</v>
      </c>
      <c r="U306" s="3" t="n">
        <v>0</v>
      </c>
      <c r="V306" s="3" t="n">
        <v>4.004</v>
      </c>
      <c r="W306" s="3">
        <f>IF(V306="",IFERROR(VLOOKUP($C306,Assumptions!$A$4:$F$7,6,FALSE),0),V306)</f>
        <v/>
      </c>
      <c r="X306" s="3">
        <f>N(O306)*IFERROR(VLOOKUP($C306,Assumptions!$A$4:$F$7,2,FALSE),0)</f>
        <v/>
      </c>
      <c r="Y306" s="3">
        <f>N(S306)*IFERROR(VLOOKUP($C306,Assumptions!$A$4:$F$7,3,FALSE),0)*Assumptions!$B$11</f>
        <v/>
      </c>
      <c r="Z306" s="3">
        <f>N(N306)*IFERROR(VLOOKUP($C306,Assumptions!$A$4:$F$7,4,FALSE),0)</f>
        <v/>
      </c>
      <c r="AA306" s="3">
        <f>N(T306)*IFERROR(VLOOKUP($C306,Assumptions!$A$4:$F$7,5,FALSE),0)</f>
        <v/>
      </c>
      <c r="AB306" s="3">
        <f>N(U306)</f>
        <v/>
      </c>
      <c r="AC306" s="3">
        <f>SUM(W306:AB306)</f>
        <v/>
      </c>
      <c r="AD306" s="3">
        <f>N(AC306)*N(M306)/90</f>
        <v/>
      </c>
      <c r="AE306" s="3">
        <f>IFERROR(AD306-VLOOKUP($C306,Assumptions!$A$29:$C$32,3,FALSE),"")</f>
        <v/>
      </c>
      <c r="AF306" s="3">
        <f>IFERROR(AE306/F306,"")</f>
        <v/>
      </c>
      <c r="AG306">
        <f>IF(AND($E306=TRUE,$C306="GKP"),AD306,"")</f>
        <v/>
      </c>
      <c r="AH306">
        <f>IF(AND($E306=TRUE,$C306="DEF"),AD306,"")</f>
        <v/>
      </c>
      <c r="AI306">
        <f>IF(AND($E306=TRUE,$C306="MID"),AD306,"")</f>
        <v/>
      </c>
      <c r="AJ306">
        <f>IF(AND($E306=TRUE,$C306="FWD"),AD306,"")</f>
        <v/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b">
        <v>1</v>
      </c>
      <c r="F307" s="2" t="n">
        <v>5.5</v>
      </c>
      <c r="G307" t="inlineStr">
        <is>
          <t>u</t>
        </is>
      </c>
      <c r="H307" t="inlineStr">
        <is>
          <t>Has joined Getafe permanently</t>
        </is>
      </c>
      <c r="I307" s="2" t="n">
        <v>214</v>
      </c>
      <c r="J307" t="n">
        <v>27</v>
      </c>
      <c r="K307" s="3" t="n"/>
      <c r="M307" s="4" t="n">
        <v>214</v>
      </c>
      <c r="N307" s="4" t="n">
        <v>0.29</v>
      </c>
      <c r="O307" s="3" t="n">
        <v>0.7023</v>
      </c>
      <c r="P307" t="inlineStr">
        <is>
          <t>adjusted xGOT</t>
        </is>
      </c>
      <c r="Q307" s="3" t="n">
        <v>0.835</v>
      </c>
      <c r="R307" s="3" t="n">
        <v>7.6</v>
      </c>
      <c r="S307" s="3" t="n">
        <v>0.0745</v>
      </c>
      <c r="T307" s="3" t="n"/>
      <c r="U307" s="3" t="n">
        <v>0.4206</v>
      </c>
      <c r="V307" s="3" t="n">
        <v>9.673</v>
      </c>
      <c r="W307" s="3">
        <f>IF(V307="",IFERROR(VLOOKUP($C307,Assumptions!$A$4:$F$7,6,FALSE),0),V307)</f>
        <v/>
      </c>
      <c r="X307" s="3">
        <f>N(O307)*IFERROR(VLOOKUP($C307,Assumptions!$A$4:$F$7,2,FALSE),0)</f>
        <v/>
      </c>
      <c r="Y307" s="3">
        <f>N(S307)*IFERROR(VLOOKUP($C307,Assumptions!$A$4:$F$7,3,FALSE),0)*Assumptions!$B$11</f>
        <v/>
      </c>
      <c r="Z307" s="3">
        <f>N(N307)*IFERROR(VLOOKUP($C307,Assumptions!$A$4:$F$7,4,FALSE),0)</f>
        <v/>
      </c>
      <c r="AA307" s="3">
        <f>N(T307)*IFERROR(VLOOKUP($C307,Assumptions!$A$4:$F$7,5,FALSE),0)</f>
        <v/>
      </c>
      <c r="AB307" s="3">
        <f>N(U307)</f>
        <v/>
      </c>
      <c r="AC307" s="3">
        <f>SUM(W307:AB307)</f>
        <v/>
      </c>
      <c r="AD307" s="3">
        <f>N(AC307)*N(M307)/90</f>
        <v/>
      </c>
      <c r="AE307" s="3">
        <f>IFERROR(AD307-VLOOKUP($C307,Assumptions!$A$29:$C$32,3,FALSE),"")</f>
        <v/>
      </c>
      <c r="AF307" s="3">
        <f>IFERROR(AE307/F307,"")</f>
        <v/>
      </c>
      <c r="AG307">
        <f>IF(AND($E307=TRUE,$C307="GKP"),AD307,"")</f>
        <v/>
      </c>
      <c r="AH307">
        <f>IF(AND($E307=TRUE,$C307="DEF"),AD307,"")</f>
        <v/>
      </c>
      <c r="AI307">
        <f>IF(AND($E307=TRUE,$C307="MID"),AD307,"")</f>
        <v/>
      </c>
      <c r="AJ307">
        <f>IF(AND($E307=TRUE,$C307="FWD"),AD307,"")</f>
        <v/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b">
        <v>1</v>
      </c>
      <c r="F308" s="2" t="n">
        <v>4</v>
      </c>
      <c r="G308" t="inlineStr">
        <is>
          <t>a</t>
        </is>
      </c>
      <c r="I308" s="2" t="n">
        <v>565</v>
      </c>
      <c r="J308" t="n">
        <v>26</v>
      </c>
      <c r="K308" s="3" t="n">
        <v>406</v>
      </c>
      <c r="L308" t="inlineStr">
        <is>
          <t>flat</t>
        </is>
      </c>
      <c r="M308" s="4" t="n">
        <v>565</v>
      </c>
      <c r="N308" s="4" t="n">
        <v>0.29</v>
      </c>
      <c r="O308" s="3" t="n">
        <v>0.0237</v>
      </c>
      <c r="P308" t="inlineStr">
        <is>
          <t>adjusted xGOT</t>
        </is>
      </c>
      <c r="Q308" s="3" t="n">
        <v>0.994</v>
      </c>
      <c r="R308" s="3" t="n">
        <v>0.2</v>
      </c>
      <c r="S308" s="3" t="n">
        <v>0.0188</v>
      </c>
      <c r="T308" s="3" t="n">
        <v>0.2</v>
      </c>
      <c r="U308" s="3" t="n">
        <v>0.1593</v>
      </c>
      <c r="V308" s="3" t="n">
        <v>2.867</v>
      </c>
      <c r="W308" s="3">
        <f>IF(V308="",IFERROR(VLOOKUP($C308,Assumptions!$A$4:$F$7,6,FALSE),0),V308)</f>
        <v/>
      </c>
      <c r="X308" s="3">
        <f>N(O308)*IFERROR(VLOOKUP($C308,Assumptions!$A$4:$F$7,2,FALSE),0)</f>
        <v/>
      </c>
      <c r="Y308" s="3">
        <f>N(S308)*IFERROR(VLOOKUP($C308,Assumptions!$A$4:$F$7,3,FALSE),0)*Assumptions!$B$11</f>
        <v/>
      </c>
      <c r="Z308" s="3">
        <f>N(N308)*IFERROR(VLOOKUP($C308,Assumptions!$A$4:$F$7,4,FALSE),0)</f>
        <v/>
      </c>
      <c r="AA308" s="3">
        <f>N(T308)*IFERROR(VLOOKUP($C308,Assumptions!$A$4:$F$7,5,FALSE),0)</f>
        <v/>
      </c>
      <c r="AB308" s="3">
        <f>N(U308)</f>
        <v/>
      </c>
      <c r="AC308" s="3">
        <f>SUM(W308:AB308)</f>
        <v/>
      </c>
      <c r="AD308" s="3">
        <f>N(AC308)*N(M308)/90</f>
        <v/>
      </c>
      <c r="AE308" s="3">
        <f>IFERROR(AD308-VLOOKUP($C308,Assumptions!$A$29:$C$32,3,FALSE),"")</f>
        <v/>
      </c>
      <c r="AF308" s="3">
        <f>IFERROR(AE308/F308,"")</f>
        <v/>
      </c>
      <c r="AG308">
        <f>IF(AND($E308=TRUE,$C308="GKP"),AD308,"")</f>
        <v/>
      </c>
      <c r="AH308">
        <f>IF(AND($E308=TRUE,$C308="DEF"),AD308,"")</f>
        <v/>
      </c>
      <c r="AI308">
        <f>IF(AND($E308=TRUE,$C308="MID"),AD308,"")</f>
        <v/>
      </c>
      <c r="AJ308">
        <f>IF(AND($E308=TRUE,$C308="FWD"),AD308,"")</f>
        <v/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b">
        <v>1</v>
      </c>
      <c r="F309" s="2" t="n">
        <v>5.5</v>
      </c>
      <c r="G309" t="inlineStr">
        <is>
          <t>a</t>
        </is>
      </c>
      <c r="I309" s="2" t="n">
        <v>549</v>
      </c>
      <c r="J309" t="n">
        <v>26</v>
      </c>
      <c r="K309" s="3" t="n">
        <v>164</v>
      </c>
      <c r="L309" t="inlineStr">
        <is>
          <t>flat</t>
        </is>
      </c>
      <c r="M309" s="4" t="n">
        <v>549</v>
      </c>
      <c r="N309" s="4" t="n">
        <v>0.237</v>
      </c>
      <c r="O309" s="3" t="n">
        <v>0.0851</v>
      </c>
      <c r="P309" t="inlineStr">
        <is>
          <t>adjusted xGOT</t>
        </is>
      </c>
      <c r="Q309" s="3" t="n">
        <v>0.96</v>
      </c>
      <c r="R309" s="3" t="n">
        <v>0.5</v>
      </c>
      <c r="S309" s="3" t="n">
        <v>0.1825</v>
      </c>
      <c r="T309" s="3" t="n">
        <v>0</v>
      </c>
      <c r="U309" s="3" t="n">
        <v>0.1639</v>
      </c>
      <c r="V309" s="3" t="n">
        <v>2.951</v>
      </c>
      <c r="W309" s="3">
        <f>IF(V309="",IFERROR(VLOOKUP($C309,Assumptions!$A$4:$F$7,6,FALSE),0),V309)</f>
        <v/>
      </c>
      <c r="X309" s="3">
        <f>N(O309)*IFERROR(VLOOKUP($C309,Assumptions!$A$4:$F$7,2,FALSE),0)</f>
        <v/>
      </c>
      <c r="Y309" s="3">
        <f>N(S309)*IFERROR(VLOOKUP($C309,Assumptions!$A$4:$F$7,3,FALSE),0)*Assumptions!$B$11</f>
        <v/>
      </c>
      <c r="Z309" s="3">
        <f>N(N309)*IFERROR(VLOOKUP($C309,Assumptions!$A$4:$F$7,4,FALSE),0)</f>
        <v/>
      </c>
      <c r="AA309" s="3">
        <f>N(T309)*IFERROR(VLOOKUP($C309,Assumptions!$A$4:$F$7,5,FALSE),0)</f>
        <v/>
      </c>
      <c r="AB309" s="3">
        <f>N(U309)</f>
        <v/>
      </c>
      <c r="AC309" s="3">
        <f>SUM(W309:AB309)</f>
        <v/>
      </c>
      <c r="AD309" s="3">
        <f>N(AC309)*N(M309)/90</f>
        <v/>
      </c>
      <c r="AE309" s="3">
        <f>IFERROR(AD309-VLOOKUP($C309,Assumptions!$A$29:$C$32,3,FALSE),"")</f>
        <v/>
      </c>
      <c r="AF309" s="3">
        <f>IFERROR(AE309/F309,"")</f>
        <v/>
      </c>
      <c r="AG309">
        <f>IF(AND($E309=TRUE,$C309="GKP"),AD309,"")</f>
        <v/>
      </c>
      <c r="AH309">
        <f>IF(AND($E309=TRUE,$C309="DEF"),AD309,"")</f>
        <v/>
      </c>
      <c r="AI309">
        <f>IF(AND($E309=TRUE,$C309="MID"),AD309,"")</f>
        <v/>
      </c>
      <c r="AJ309">
        <f>IF(AND($E309=TRUE,$C309="FWD"),AD309,"")</f>
        <v/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b">
        <v>1</v>
      </c>
      <c r="F310" s="2" t="n">
        <v>6</v>
      </c>
      <c r="G310" t="inlineStr">
        <is>
          <t>a</t>
        </is>
      </c>
      <c r="I310" s="2" t="n">
        <v>486</v>
      </c>
      <c r="J310" t="n">
        <v>25</v>
      </c>
      <c r="K310" s="3" t="n">
        <v>464</v>
      </c>
      <c r="L310" t="inlineStr">
        <is>
          <t>flat</t>
        </is>
      </c>
      <c r="M310" s="4" t="n">
        <v>486</v>
      </c>
      <c r="N310" s="4" t="n">
        <v>0.237</v>
      </c>
      <c r="O310" s="3" t="n">
        <v>0.138</v>
      </c>
      <c r="P310" t="inlineStr">
        <is>
          <t>adjusted xGOT</t>
        </is>
      </c>
      <c r="Q310" s="3" t="n">
        <v>0.919</v>
      </c>
      <c r="R310" s="3" t="n">
        <v>0.8</v>
      </c>
      <c r="S310" s="3" t="n">
        <v>0.1776</v>
      </c>
      <c r="T310" s="3" t="n">
        <v>0</v>
      </c>
      <c r="U310" s="3" t="n">
        <v>0</v>
      </c>
      <c r="V310" s="3" t="n">
        <v>3.333</v>
      </c>
      <c r="W310" s="3">
        <f>IF(V310="",IFERROR(VLOOKUP($C310,Assumptions!$A$4:$F$7,6,FALSE),0),V310)</f>
        <v/>
      </c>
      <c r="X310" s="3">
        <f>N(O310)*IFERROR(VLOOKUP($C310,Assumptions!$A$4:$F$7,2,FALSE),0)</f>
        <v/>
      </c>
      <c r="Y310" s="3">
        <f>N(S310)*IFERROR(VLOOKUP($C310,Assumptions!$A$4:$F$7,3,FALSE),0)*Assumptions!$B$11</f>
        <v/>
      </c>
      <c r="Z310" s="3">
        <f>N(N310)*IFERROR(VLOOKUP($C310,Assumptions!$A$4:$F$7,4,FALSE),0)</f>
        <v/>
      </c>
      <c r="AA310" s="3">
        <f>N(T310)*IFERROR(VLOOKUP($C310,Assumptions!$A$4:$F$7,5,FALSE),0)</f>
        <v/>
      </c>
      <c r="AB310" s="3">
        <f>N(U310)</f>
        <v/>
      </c>
      <c r="AC310" s="3">
        <f>SUM(W310:AB310)</f>
        <v/>
      </c>
      <c r="AD310" s="3">
        <f>N(AC310)*N(M310)/90</f>
        <v/>
      </c>
      <c r="AE310" s="3">
        <f>IFERROR(AD310-VLOOKUP($C310,Assumptions!$A$29:$C$32,3,FALSE),"")</f>
        <v/>
      </c>
      <c r="AF310" s="3">
        <f>IFERROR(AE310/F310,"")</f>
        <v/>
      </c>
      <c r="AG310">
        <f>IF(AND($E310=TRUE,$C310="GKP"),AD310,"")</f>
        <v/>
      </c>
      <c r="AH310">
        <f>IF(AND($E310=TRUE,$C310="DEF"),AD310,"")</f>
        <v/>
      </c>
      <c r="AI310">
        <f>IF(AND($E310=TRUE,$C310="MID"),AD310,"")</f>
        <v/>
      </c>
      <c r="AJ310">
        <f>IF(AND($E310=TRUE,$C310="FWD"),AD310,"")</f>
        <v/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b">
        <v>1</v>
      </c>
      <c r="F311" s="2" t="n">
        <v>4.5</v>
      </c>
      <c r="G311" t="inlineStr">
        <is>
          <t>a</t>
        </is>
      </c>
      <c r="I311" s="2" t="n">
        <v>429</v>
      </c>
      <c r="J311" t="n">
        <v>25</v>
      </c>
      <c r="K311" s="3" t="n">
        <v>345</v>
      </c>
      <c r="L311" t="inlineStr">
        <is>
          <t>flat</t>
        </is>
      </c>
      <c r="M311" s="4" t="n">
        <v>429</v>
      </c>
      <c r="N311" s="4" t="n">
        <v>0.21</v>
      </c>
      <c r="O311" s="3" t="n">
        <v>0.0409</v>
      </c>
      <c r="P311" t="inlineStr">
        <is>
          <t>adjusted xGOT</t>
        </is>
      </c>
      <c r="Q311" s="3" t="n">
        <v>0.976</v>
      </c>
      <c r="R311" s="3" t="n">
        <v>0.2</v>
      </c>
      <c r="S311" s="3" t="n">
        <v>0.001</v>
      </c>
      <c r="T311" s="3" t="n">
        <v>0.2</v>
      </c>
      <c r="U311" s="3" t="n">
        <v>0</v>
      </c>
      <c r="V311" s="3" t="n">
        <v>3.357</v>
      </c>
      <c r="W311" s="3">
        <f>IF(V311="",IFERROR(VLOOKUP($C311,Assumptions!$A$4:$F$7,6,FALSE),0),V311)</f>
        <v/>
      </c>
      <c r="X311" s="3">
        <f>N(O311)*IFERROR(VLOOKUP($C311,Assumptions!$A$4:$F$7,2,FALSE),0)</f>
        <v/>
      </c>
      <c r="Y311" s="3">
        <f>N(S311)*IFERROR(VLOOKUP($C311,Assumptions!$A$4:$F$7,3,FALSE),0)*Assumptions!$B$11</f>
        <v/>
      </c>
      <c r="Z311" s="3">
        <f>N(N311)*IFERROR(VLOOKUP($C311,Assumptions!$A$4:$F$7,4,FALSE),0)</f>
        <v/>
      </c>
      <c r="AA311" s="3">
        <f>N(T311)*IFERROR(VLOOKUP($C311,Assumptions!$A$4:$F$7,5,FALSE),0)</f>
        <v/>
      </c>
      <c r="AB311" s="3">
        <f>N(U311)</f>
        <v/>
      </c>
      <c r="AC311" s="3">
        <f>SUM(W311:AB311)</f>
        <v/>
      </c>
      <c r="AD311" s="3">
        <f>N(AC311)*N(M311)/90</f>
        <v/>
      </c>
      <c r="AE311" s="3">
        <f>IFERROR(AD311-VLOOKUP($C311,Assumptions!$A$29:$C$32,3,FALSE),"")</f>
        <v/>
      </c>
      <c r="AF311" s="3">
        <f>IFERROR(AE311/F311,"")</f>
        <v/>
      </c>
      <c r="AG311">
        <f>IF(AND($E311=TRUE,$C311="GKP"),AD311,"")</f>
        <v/>
      </c>
      <c r="AH311">
        <f>IF(AND($E311=TRUE,$C311="DEF"),AD311,"")</f>
        <v/>
      </c>
      <c r="AI311">
        <f>IF(AND($E311=TRUE,$C311="MID"),AD311,"")</f>
        <v/>
      </c>
      <c r="AJ311">
        <f>IF(AND($E311=TRUE,$C311="FWD"),AD311,"")</f>
        <v/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b">
        <v>1</v>
      </c>
      <c r="F312" s="2" t="n">
        <v>6</v>
      </c>
      <c r="G312" t="inlineStr">
        <is>
          <t>a</t>
        </is>
      </c>
      <c r="I312" s="2" t="n">
        <v>418</v>
      </c>
      <c r="J312" t="n">
        <v>24</v>
      </c>
      <c r="K312" s="3" t="n">
        <v>86</v>
      </c>
      <c r="L312" t="inlineStr">
        <is>
          <t>flat</t>
        </is>
      </c>
      <c r="M312" s="4" t="n">
        <v>418</v>
      </c>
      <c r="N312" s="4" t="n">
        <v>0.5</v>
      </c>
      <c r="O312" s="3" t="n">
        <v>0.509</v>
      </c>
      <c r="P312" t="inlineStr">
        <is>
          <t>adjusted xGOT</t>
        </is>
      </c>
      <c r="Q312" s="3" t="n">
        <v>0.872</v>
      </c>
      <c r="R312" s="3" t="n">
        <v>26.3</v>
      </c>
      <c r="S312" s="3" t="n">
        <v>0.0504</v>
      </c>
      <c r="T312" s="3" t="n">
        <v>0</v>
      </c>
      <c r="U312" s="3" t="n">
        <v>0</v>
      </c>
      <c r="V312" s="3" t="n">
        <v>3.23</v>
      </c>
      <c r="W312" s="3">
        <f>IF(V312="",IFERROR(VLOOKUP($C312,Assumptions!$A$4:$F$7,6,FALSE),0),V312)</f>
        <v/>
      </c>
      <c r="X312" s="3">
        <f>N(O312)*IFERROR(VLOOKUP($C312,Assumptions!$A$4:$F$7,2,FALSE),0)</f>
        <v/>
      </c>
      <c r="Y312" s="3">
        <f>N(S312)*IFERROR(VLOOKUP($C312,Assumptions!$A$4:$F$7,3,FALSE),0)*Assumptions!$B$11</f>
        <v/>
      </c>
      <c r="Z312" s="3">
        <f>N(N312)*IFERROR(VLOOKUP($C312,Assumptions!$A$4:$F$7,4,FALSE),0)</f>
        <v/>
      </c>
      <c r="AA312" s="3">
        <f>N(T312)*IFERROR(VLOOKUP($C312,Assumptions!$A$4:$F$7,5,FALSE),0)</f>
        <v/>
      </c>
      <c r="AB312" s="3">
        <f>N(U312)</f>
        <v/>
      </c>
      <c r="AC312" s="3">
        <f>SUM(W312:AB312)</f>
        <v/>
      </c>
      <c r="AD312" s="3">
        <f>N(AC312)*N(M312)/90</f>
        <v/>
      </c>
      <c r="AE312" s="3">
        <f>IFERROR(AD312-VLOOKUP($C312,Assumptions!$A$29:$C$32,3,FALSE),"")</f>
        <v/>
      </c>
      <c r="AF312" s="3">
        <f>IFERROR(AE312/F312,"")</f>
        <v/>
      </c>
      <c r="AG312">
        <f>IF(AND($E312=TRUE,$C312="GKP"),AD312,"")</f>
        <v/>
      </c>
      <c r="AH312">
        <f>IF(AND($E312=TRUE,$C312="DEF"),AD312,"")</f>
        <v/>
      </c>
      <c r="AI312">
        <f>IF(AND($E312=TRUE,$C312="MID"),AD312,"")</f>
        <v/>
      </c>
      <c r="AJ312">
        <f>IF(AND($E312=TRUE,$C312="FWD"),AD312,"")</f>
        <v/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b">
        <v>1</v>
      </c>
      <c r="F313" s="2" t="n">
        <v>5</v>
      </c>
      <c r="G313" t="inlineStr">
        <is>
          <t>a</t>
        </is>
      </c>
      <c r="I313" s="2" t="n">
        <v>547</v>
      </c>
      <c r="J313" t="n">
        <v>23</v>
      </c>
      <c r="K313" s="3" t="n">
        <v>429</v>
      </c>
      <c r="L313" t="inlineStr">
        <is>
          <t>flat</t>
        </is>
      </c>
      <c r="M313" s="4" t="n">
        <v>547</v>
      </c>
      <c r="N313" s="4" t="n">
        <v>0.21</v>
      </c>
      <c r="O313" s="3" t="n">
        <v>0.1466</v>
      </c>
      <c r="P313" t="inlineStr">
        <is>
          <t>adjusted xGOT</t>
        </is>
      </c>
      <c r="Q313" s="3" t="n">
        <v>0.979</v>
      </c>
      <c r="R313" s="3" t="n">
        <v>2.9</v>
      </c>
      <c r="S313" s="3" t="n">
        <v>0.0987</v>
      </c>
      <c r="T313" s="3" t="n">
        <v>0</v>
      </c>
      <c r="U313" s="3" t="n">
        <v>0</v>
      </c>
      <c r="V313" s="3" t="n">
        <v>3.62</v>
      </c>
      <c r="W313" s="3">
        <f>IF(V313="",IFERROR(VLOOKUP($C313,Assumptions!$A$4:$F$7,6,FALSE),0),V313)</f>
        <v/>
      </c>
      <c r="X313" s="3">
        <f>N(O313)*IFERROR(VLOOKUP($C313,Assumptions!$A$4:$F$7,2,FALSE),0)</f>
        <v/>
      </c>
      <c r="Y313" s="3">
        <f>N(S313)*IFERROR(VLOOKUP($C313,Assumptions!$A$4:$F$7,3,FALSE),0)*Assumptions!$B$11</f>
        <v/>
      </c>
      <c r="Z313" s="3">
        <f>N(N313)*IFERROR(VLOOKUP($C313,Assumptions!$A$4:$F$7,4,FALSE),0)</f>
        <v/>
      </c>
      <c r="AA313" s="3">
        <f>N(T313)*IFERROR(VLOOKUP($C313,Assumptions!$A$4:$F$7,5,FALSE),0)</f>
        <v/>
      </c>
      <c r="AB313" s="3">
        <f>N(U313)</f>
        <v/>
      </c>
      <c r="AC313" s="3">
        <f>SUM(W313:AB313)</f>
        <v/>
      </c>
      <c r="AD313" s="3">
        <f>N(AC313)*N(M313)/90</f>
        <v/>
      </c>
      <c r="AE313" s="3">
        <f>IFERROR(AD313-VLOOKUP($C313,Assumptions!$A$29:$C$32,3,FALSE),"")</f>
        <v/>
      </c>
      <c r="AF313" s="3">
        <f>IFERROR(AE313/F313,"")</f>
        <v/>
      </c>
      <c r="AG313">
        <f>IF(AND($E313=TRUE,$C313="GKP"),AD313,"")</f>
        <v/>
      </c>
      <c r="AH313">
        <f>IF(AND($E313=TRUE,$C313="DEF"),AD313,"")</f>
        <v/>
      </c>
      <c r="AI313">
        <f>IF(AND($E313=TRUE,$C313="MID"),AD313,"")</f>
        <v/>
      </c>
      <c r="AJ313">
        <f>IF(AND($E313=TRUE,$C313="FWD"),AD313,"")</f>
        <v/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b">
        <v>1</v>
      </c>
      <c r="F314" s="2" t="n">
        <v>5.5</v>
      </c>
      <c r="G314" t="inlineStr">
        <is>
          <t>a</t>
        </is>
      </c>
      <c r="I314" s="2" t="n">
        <v>414</v>
      </c>
      <c r="J314" t="n">
        <v>23</v>
      </c>
      <c r="K314" s="3" t="n">
        <v>266</v>
      </c>
      <c r="L314" t="inlineStr">
        <is>
          <t>flat</t>
        </is>
      </c>
      <c r="M314" s="4" t="n">
        <v>414</v>
      </c>
      <c r="N314" s="4" t="n">
        <v>0.316</v>
      </c>
      <c r="O314" s="3" t="n">
        <v>0.335</v>
      </c>
      <c r="P314" t="inlineStr">
        <is>
          <t>adjusted xGOT</t>
        </is>
      </c>
      <c r="Q314" s="3" t="n">
        <v>0.871</v>
      </c>
      <c r="R314" s="3" t="n">
        <v>20.2</v>
      </c>
      <c r="S314" s="3" t="n">
        <v>0.1544</v>
      </c>
      <c r="T314" s="3" t="n">
        <v>0</v>
      </c>
      <c r="U314" s="3" t="n">
        <v>0.6522</v>
      </c>
      <c r="V314" s="3" t="n">
        <v>3.043</v>
      </c>
      <c r="W314" s="3">
        <f>IF(V314="",IFERROR(VLOOKUP($C314,Assumptions!$A$4:$F$7,6,FALSE),0),V314)</f>
        <v/>
      </c>
      <c r="X314" s="3">
        <f>N(O314)*IFERROR(VLOOKUP($C314,Assumptions!$A$4:$F$7,2,FALSE),0)</f>
        <v/>
      </c>
      <c r="Y314" s="3">
        <f>N(S314)*IFERROR(VLOOKUP($C314,Assumptions!$A$4:$F$7,3,FALSE),0)*Assumptions!$B$11</f>
        <v/>
      </c>
      <c r="Z314" s="3">
        <f>N(N314)*IFERROR(VLOOKUP($C314,Assumptions!$A$4:$F$7,4,FALSE),0)</f>
        <v/>
      </c>
      <c r="AA314" s="3">
        <f>N(T314)*IFERROR(VLOOKUP($C314,Assumptions!$A$4:$F$7,5,FALSE),0)</f>
        <v/>
      </c>
      <c r="AB314" s="3">
        <f>N(U314)</f>
        <v/>
      </c>
      <c r="AC314" s="3">
        <f>SUM(W314:AB314)</f>
        <v/>
      </c>
      <c r="AD314" s="3">
        <f>N(AC314)*N(M314)/90</f>
        <v/>
      </c>
      <c r="AE314" s="3">
        <f>IFERROR(AD314-VLOOKUP($C314,Assumptions!$A$29:$C$32,3,FALSE),"")</f>
        <v/>
      </c>
      <c r="AF314" s="3">
        <f>IFERROR(AE314/F314,"")</f>
        <v/>
      </c>
      <c r="AG314">
        <f>IF(AND($E314=TRUE,$C314="GKP"),AD314,"")</f>
        <v/>
      </c>
      <c r="AH314">
        <f>IF(AND($E314=TRUE,$C314="DEF"),AD314,"")</f>
        <v/>
      </c>
      <c r="AI314">
        <f>IF(AND($E314=TRUE,$C314="MID"),AD314,"")</f>
        <v/>
      </c>
      <c r="AJ314">
        <f>IF(AND($E314=TRUE,$C314="FWD"),AD314,"")</f>
        <v/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b">
        <v>1</v>
      </c>
      <c r="F315" s="2" t="n">
        <v>5.5</v>
      </c>
      <c r="G315" t="inlineStr">
        <is>
          <t>a</t>
        </is>
      </c>
      <c r="I315" s="2" t="n">
        <v>278</v>
      </c>
      <c r="J315" t="n">
        <v>23</v>
      </c>
      <c r="K315" s="3" t="n">
        <v>280</v>
      </c>
      <c r="L315" t="inlineStr">
        <is>
          <t>flat</t>
        </is>
      </c>
      <c r="M315" s="4" t="n">
        <v>278</v>
      </c>
      <c r="N315" s="4" t="n">
        <v>0.237</v>
      </c>
      <c r="O315" s="3" t="n">
        <v>0.6604</v>
      </c>
      <c r="P315" t="inlineStr">
        <is>
          <t>adjusted xGOT</t>
        </is>
      </c>
      <c r="Q315" s="3" t="n">
        <v>0.995</v>
      </c>
      <c r="R315" s="3" t="n">
        <v>2</v>
      </c>
      <c r="S315" s="3" t="n">
        <v>0.07920000000000001</v>
      </c>
      <c r="T315" s="3" t="n">
        <v>0</v>
      </c>
      <c r="U315" s="3" t="n">
        <v>0.6475</v>
      </c>
      <c r="V315" s="3" t="n">
        <v>4.209</v>
      </c>
      <c r="W315" s="3">
        <f>IF(V315="",IFERROR(VLOOKUP($C315,Assumptions!$A$4:$F$7,6,FALSE),0),V315)</f>
        <v/>
      </c>
      <c r="X315" s="3">
        <f>N(O315)*IFERROR(VLOOKUP($C315,Assumptions!$A$4:$F$7,2,FALSE),0)</f>
        <v/>
      </c>
      <c r="Y315" s="3">
        <f>N(S315)*IFERROR(VLOOKUP($C315,Assumptions!$A$4:$F$7,3,FALSE),0)*Assumptions!$B$11</f>
        <v/>
      </c>
      <c r="Z315" s="3">
        <f>N(N315)*IFERROR(VLOOKUP($C315,Assumptions!$A$4:$F$7,4,FALSE),0)</f>
        <v/>
      </c>
      <c r="AA315" s="3">
        <f>N(T315)*IFERROR(VLOOKUP($C315,Assumptions!$A$4:$F$7,5,FALSE),0)</f>
        <v/>
      </c>
      <c r="AB315" s="3">
        <f>N(U315)</f>
        <v/>
      </c>
      <c r="AC315" s="3">
        <f>SUM(W315:AB315)</f>
        <v/>
      </c>
      <c r="AD315" s="3">
        <f>N(AC315)*N(M315)/90</f>
        <v/>
      </c>
      <c r="AE315" s="3">
        <f>IFERROR(AD315-VLOOKUP($C315,Assumptions!$A$29:$C$32,3,FALSE),"")</f>
        <v/>
      </c>
      <c r="AF315" s="3">
        <f>IFERROR(AE315/F315,"")</f>
        <v/>
      </c>
      <c r="AG315">
        <f>IF(AND($E315=TRUE,$C315="GKP"),AD315,"")</f>
        <v/>
      </c>
      <c r="AH315">
        <f>IF(AND($E315=TRUE,$C315="DEF"),AD315,"")</f>
        <v/>
      </c>
      <c r="AI315">
        <f>IF(AND($E315=TRUE,$C315="MID"),AD315,"")</f>
        <v/>
      </c>
      <c r="AJ315">
        <f>IF(AND($E315=TRUE,$C315="FWD"),AD315,"")</f>
        <v/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b">
        <v>1</v>
      </c>
      <c r="F316" s="2" t="n">
        <v>4.5</v>
      </c>
      <c r="G316" t="inlineStr">
        <is>
          <t>a</t>
        </is>
      </c>
      <c r="I316" s="2" t="n">
        <v>238</v>
      </c>
      <c r="J316" t="n">
        <v>22</v>
      </c>
      <c r="K316" s="3" t="n">
        <v>140</v>
      </c>
      <c r="L316" t="inlineStr">
        <is>
          <t>flat</t>
        </is>
      </c>
      <c r="M316" s="4" t="n">
        <v>238</v>
      </c>
      <c r="N316" s="4" t="n">
        <v>0.29</v>
      </c>
      <c r="O316" s="3" t="n">
        <v>0.0106</v>
      </c>
      <c r="P316" t="inlineStr">
        <is>
          <t>adjusted xGOT</t>
        </is>
      </c>
      <c r="Q316" s="3" t="n">
        <v>0.93</v>
      </c>
      <c r="R316" s="3" t="n">
        <v>0.9</v>
      </c>
      <c r="S316" s="3" t="n">
        <v>0.0076</v>
      </c>
      <c r="T316" s="3" t="n">
        <v>0.667</v>
      </c>
      <c r="U316" s="3" t="n">
        <v>0</v>
      </c>
      <c r="V316" s="3" t="n">
        <v>3.782</v>
      </c>
      <c r="W316" s="3">
        <f>IF(V316="",IFERROR(VLOOKUP($C316,Assumptions!$A$4:$F$7,6,FALSE),0),V316)</f>
        <v/>
      </c>
      <c r="X316" s="3">
        <f>N(O316)*IFERROR(VLOOKUP($C316,Assumptions!$A$4:$F$7,2,FALSE),0)</f>
        <v/>
      </c>
      <c r="Y316" s="3">
        <f>N(S316)*IFERROR(VLOOKUP($C316,Assumptions!$A$4:$F$7,3,FALSE),0)*Assumptions!$B$11</f>
        <v/>
      </c>
      <c r="Z316" s="3">
        <f>N(N316)*IFERROR(VLOOKUP($C316,Assumptions!$A$4:$F$7,4,FALSE),0)</f>
        <v/>
      </c>
      <c r="AA316" s="3">
        <f>N(T316)*IFERROR(VLOOKUP($C316,Assumptions!$A$4:$F$7,5,FALSE),0)</f>
        <v/>
      </c>
      <c r="AB316" s="3">
        <f>N(U316)</f>
        <v/>
      </c>
      <c r="AC316" s="3">
        <f>SUM(W316:AB316)</f>
        <v/>
      </c>
      <c r="AD316" s="3">
        <f>N(AC316)*N(M316)/90</f>
        <v/>
      </c>
      <c r="AE316" s="3">
        <f>IFERROR(AD316-VLOOKUP($C316,Assumptions!$A$29:$C$32,3,FALSE),"")</f>
        <v/>
      </c>
      <c r="AF316" s="3">
        <f>IFERROR(AE316/F316,"")</f>
        <v/>
      </c>
      <c r="AG316">
        <f>IF(AND($E316=TRUE,$C316="GKP"),AD316,"")</f>
        <v/>
      </c>
      <c r="AH316">
        <f>IF(AND($E316=TRUE,$C316="DEF"),AD316,"")</f>
        <v/>
      </c>
      <c r="AI316">
        <f>IF(AND($E316=TRUE,$C316="MID"),AD316,"")</f>
        <v/>
      </c>
      <c r="AJ316">
        <f>IF(AND($E316=TRUE,$C316="FWD"),AD316,"")</f>
        <v/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b">
        <v>1</v>
      </c>
      <c r="F317" s="2" t="n">
        <v>5.5</v>
      </c>
      <c r="G317" t="inlineStr">
        <is>
          <t>a</t>
        </is>
      </c>
      <c r="I317" s="2" t="n">
        <v>450</v>
      </c>
      <c r="J317" t="n">
        <v>21</v>
      </c>
      <c r="K317" s="3" t="n">
        <v>111</v>
      </c>
      <c r="L317" t="inlineStr">
        <is>
          <t>flat</t>
        </is>
      </c>
      <c r="M317" s="4" t="n">
        <v>450</v>
      </c>
      <c r="N317" s="4" t="n">
        <v>0.237</v>
      </c>
      <c r="O317" s="3" t="n">
        <v>0.081</v>
      </c>
      <c r="P317" t="inlineStr">
        <is>
          <t>adjusted xGOT</t>
        </is>
      </c>
      <c r="Q317" s="3" t="n">
        <v>0.8100000000000001</v>
      </c>
      <c r="R317" s="3" t="n">
        <v>13.9</v>
      </c>
      <c r="S317" s="3" t="n">
        <v>0.2577</v>
      </c>
      <c r="T317" s="3" t="n">
        <v>0</v>
      </c>
      <c r="U317" s="3" t="n">
        <v>0</v>
      </c>
      <c r="V317" s="3" t="n">
        <v>3.2</v>
      </c>
      <c r="W317" s="3">
        <f>IF(V317="",IFERROR(VLOOKUP($C317,Assumptions!$A$4:$F$7,6,FALSE),0),V317)</f>
        <v/>
      </c>
      <c r="X317" s="3">
        <f>N(O317)*IFERROR(VLOOKUP($C317,Assumptions!$A$4:$F$7,2,FALSE),0)</f>
        <v/>
      </c>
      <c r="Y317" s="3">
        <f>N(S317)*IFERROR(VLOOKUP($C317,Assumptions!$A$4:$F$7,3,FALSE),0)*Assumptions!$B$11</f>
        <v/>
      </c>
      <c r="Z317" s="3">
        <f>N(N317)*IFERROR(VLOOKUP($C317,Assumptions!$A$4:$F$7,4,FALSE),0)</f>
        <v/>
      </c>
      <c r="AA317" s="3">
        <f>N(T317)*IFERROR(VLOOKUP($C317,Assumptions!$A$4:$F$7,5,FALSE),0)</f>
        <v/>
      </c>
      <c r="AB317" s="3">
        <f>N(U317)</f>
        <v/>
      </c>
      <c r="AC317" s="3">
        <f>SUM(W317:AB317)</f>
        <v/>
      </c>
      <c r="AD317" s="3">
        <f>N(AC317)*N(M317)/90</f>
        <v/>
      </c>
      <c r="AE317" s="3">
        <f>IFERROR(AD317-VLOOKUP($C317,Assumptions!$A$29:$C$32,3,FALSE),"")</f>
        <v/>
      </c>
      <c r="AF317" s="3">
        <f>IFERROR(AE317/F317,"")</f>
        <v/>
      </c>
      <c r="AG317">
        <f>IF(AND($E317=TRUE,$C317="GKP"),AD317,"")</f>
        <v/>
      </c>
      <c r="AH317">
        <f>IF(AND($E317=TRUE,$C317="DEF"),AD317,"")</f>
        <v/>
      </c>
      <c r="AI317">
        <f>IF(AND($E317=TRUE,$C317="MID"),AD317,"")</f>
        <v/>
      </c>
      <c r="AJ317">
        <f>IF(AND($E317=TRUE,$C317="FWD"),AD317,"")</f>
        <v/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b">
        <v>1</v>
      </c>
      <c r="F318" s="2" t="n">
        <v>5</v>
      </c>
      <c r="G318" t="inlineStr">
        <is>
          <t>a</t>
        </is>
      </c>
      <c r="I318" s="2" t="n">
        <v>524</v>
      </c>
      <c r="J318" t="n">
        <v>21</v>
      </c>
      <c r="K318" s="3" t="n">
        <v>357</v>
      </c>
      <c r="L318" t="inlineStr">
        <is>
          <t>flat</t>
        </is>
      </c>
      <c r="M318" s="4" t="n">
        <v>524</v>
      </c>
      <c r="N318" s="4" t="n">
        <v>0.29</v>
      </c>
      <c r="O318" s="3" t="n">
        <v>0.1304</v>
      </c>
      <c r="P318" t="inlineStr">
        <is>
          <t>adjusted xGOT</t>
        </is>
      </c>
      <c r="Q318" s="3" t="n">
        <v>0.961</v>
      </c>
      <c r="R318" s="3" t="n">
        <v>1.2</v>
      </c>
      <c r="S318" s="3" t="n">
        <v>0.0293</v>
      </c>
      <c r="T318" s="3" t="n">
        <v>0.167</v>
      </c>
      <c r="U318" s="3" t="n">
        <v>0</v>
      </c>
      <c r="V318" s="3" t="n">
        <v>3.092</v>
      </c>
      <c r="W318" s="3">
        <f>IF(V318="",IFERROR(VLOOKUP($C318,Assumptions!$A$4:$F$7,6,FALSE),0),V318)</f>
        <v/>
      </c>
      <c r="X318" s="3">
        <f>N(O318)*IFERROR(VLOOKUP($C318,Assumptions!$A$4:$F$7,2,FALSE),0)</f>
        <v/>
      </c>
      <c r="Y318" s="3">
        <f>N(S318)*IFERROR(VLOOKUP($C318,Assumptions!$A$4:$F$7,3,FALSE),0)*Assumptions!$B$11</f>
        <v/>
      </c>
      <c r="Z318" s="3">
        <f>N(N318)*IFERROR(VLOOKUP($C318,Assumptions!$A$4:$F$7,4,FALSE),0)</f>
        <v/>
      </c>
      <c r="AA318" s="3">
        <f>N(T318)*IFERROR(VLOOKUP($C318,Assumptions!$A$4:$F$7,5,FALSE),0)</f>
        <v/>
      </c>
      <c r="AB318" s="3">
        <f>N(U318)</f>
        <v/>
      </c>
      <c r="AC318" s="3">
        <f>SUM(W318:AB318)</f>
        <v/>
      </c>
      <c r="AD318" s="3">
        <f>N(AC318)*N(M318)/90</f>
        <v/>
      </c>
      <c r="AE318" s="3">
        <f>IFERROR(AD318-VLOOKUP($C318,Assumptions!$A$29:$C$32,3,FALSE),"")</f>
        <v/>
      </c>
      <c r="AF318" s="3">
        <f>IFERROR(AE318/F318,"")</f>
        <v/>
      </c>
      <c r="AG318">
        <f>IF(AND($E318=TRUE,$C318="GKP"),AD318,"")</f>
        <v/>
      </c>
      <c r="AH318">
        <f>IF(AND($E318=TRUE,$C318="DEF"),AD318,"")</f>
        <v/>
      </c>
      <c r="AI318">
        <f>IF(AND($E318=TRUE,$C318="MID"),AD318,"")</f>
        <v/>
      </c>
      <c r="AJ318">
        <f>IF(AND($E318=TRUE,$C318="FWD"),AD318,"")</f>
        <v/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b">
        <v>1</v>
      </c>
      <c r="F319" s="2" t="n">
        <v>4.5</v>
      </c>
      <c r="G319" t="inlineStr">
        <is>
          <t>a</t>
        </is>
      </c>
      <c r="I319" s="2" t="n">
        <v>630</v>
      </c>
      <c r="J319" t="n">
        <v>20</v>
      </c>
      <c r="K319" s="3" t="n">
        <v>3385</v>
      </c>
      <c r="L319" t="inlineStr">
        <is>
          <t>flat</t>
        </is>
      </c>
      <c r="M319" s="4" t="n">
        <v>630</v>
      </c>
      <c r="N319" s="4" t="n">
        <v>0.237</v>
      </c>
      <c r="O319" s="3" t="n">
        <v>0</v>
      </c>
      <c r="P319" t="inlineStr">
        <is>
          <t>blended xG</t>
        </is>
      </c>
      <c r="Q319" s="3" t="n">
        <v>1</v>
      </c>
      <c r="R319" s="3" t="n">
        <v>0</v>
      </c>
      <c r="S319" s="3" t="n">
        <v>0</v>
      </c>
      <c r="T319" s="3" t="n">
        <v>0</v>
      </c>
      <c r="U319" s="3" t="n">
        <v>0</v>
      </c>
      <c r="V319" s="3" t="n">
        <v>2</v>
      </c>
      <c r="W319" s="3">
        <f>IF(V319="",IFERROR(VLOOKUP($C319,Assumptions!$A$4:$F$7,6,FALSE),0),V319)</f>
        <v/>
      </c>
      <c r="X319" s="3">
        <f>N(O319)*IFERROR(VLOOKUP($C319,Assumptions!$A$4:$F$7,2,FALSE),0)</f>
        <v/>
      </c>
      <c r="Y319" s="3">
        <f>N(S319)*IFERROR(VLOOKUP($C319,Assumptions!$A$4:$F$7,3,FALSE),0)*Assumptions!$B$11</f>
        <v/>
      </c>
      <c r="Z319" s="3">
        <f>N(N319)*IFERROR(VLOOKUP($C319,Assumptions!$A$4:$F$7,4,FALSE),0)</f>
        <v/>
      </c>
      <c r="AA319" s="3">
        <f>N(T319)*IFERROR(VLOOKUP($C319,Assumptions!$A$4:$F$7,5,FALSE),0)</f>
        <v/>
      </c>
      <c r="AB319" s="3">
        <f>N(U319)</f>
        <v/>
      </c>
      <c r="AC319" s="3">
        <f>SUM(W319:AB319)</f>
        <v/>
      </c>
      <c r="AD319" s="3">
        <f>N(AC319)*N(M319)/90</f>
        <v/>
      </c>
      <c r="AE319" s="3">
        <f>IFERROR(AD319-VLOOKUP($C319,Assumptions!$A$29:$C$32,3,FALSE),"")</f>
        <v/>
      </c>
      <c r="AF319" s="3">
        <f>IFERROR(AE319/F319,"")</f>
        <v/>
      </c>
      <c r="AG319">
        <f>IF(AND($E319=TRUE,$C319="GKP"),AD319,"")</f>
        <v/>
      </c>
      <c r="AH319">
        <f>IF(AND($E319=TRUE,$C319="DEF"),AD319,"")</f>
        <v/>
      </c>
      <c r="AI319">
        <f>IF(AND($E319=TRUE,$C319="MID"),AD319,"")</f>
        <v/>
      </c>
      <c r="AJ319">
        <f>IF(AND($E319=TRUE,$C319="FWD"),AD319,"")</f>
        <v/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b">
        <v>1</v>
      </c>
      <c r="F320" s="2" t="n">
        <v>4.5</v>
      </c>
      <c r="G320" t="inlineStr">
        <is>
          <t>a</t>
        </is>
      </c>
      <c r="I320" s="2" t="n">
        <v>550</v>
      </c>
      <c r="J320" t="n">
        <v>20</v>
      </c>
      <c r="K320" s="3" t="n">
        <v>356</v>
      </c>
      <c r="L320" t="inlineStr">
        <is>
          <t>flat</t>
        </is>
      </c>
      <c r="M320" s="4" t="n">
        <v>550</v>
      </c>
      <c r="N320" s="4" t="n">
        <v>0.316</v>
      </c>
      <c r="O320" s="3" t="n">
        <v>0.0532</v>
      </c>
      <c r="P320" t="inlineStr">
        <is>
          <t>adjusted xGOT</t>
        </is>
      </c>
      <c r="Q320" s="3" t="n">
        <v>0.984</v>
      </c>
      <c r="R320" s="3" t="n">
        <v>0.3</v>
      </c>
      <c r="S320" s="3" t="n">
        <v>0.0456</v>
      </c>
      <c r="T320" s="3" t="n">
        <v>0.167</v>
      </c>
      <c r="U320" s="3" t="n">
        <v>0</v>
      </c>
      <c r="V320" s="3" t="n">
        <v>2.455</v>
      </c>
      <c r="W320" s="3">
        <f>IF(V320="",IFERROR(VLOOKUP($C320,Assumptions!$A$4:$F$7,6,FALSE),0),V320)</f>
        <v/>
      </c>
      <c r="X320" s="3">
        <f>N(O320)*IFERROR(VLOOKUP($C320,Assumptions!$A$4:$F$7,2,FALSE),0)</f>
        <v/>
      </c>
      <c r="Y320" s="3">
        <f>N(S320)*IFERROR(VLOOKUP($C320,Assumptions!$A$4:$F$7,3,FALSE),0)*Assumptions!$B$11</f>
        <v/>
      </c>
      <c r="Z320" s="3">
        <f>N(N320)*IFERROR(VLOOKUP($C320,Assumptions!$A$4:$F$7,4,FALSE),0)</f>
        <v/>
      </c>
      <c r="AA320" s="3">
        <f>N(T320)*IFERROR(VLOOKUP($C320,Assumptions!$A$4:$F$7,5,FALSE),0)</f>
        <v/>
      </c>
      <c r="AB320" s="3">
        <f>N(U320)</f>
        <v/>
      </c>
      <c r="AC320" s="3">
        <f>SUM(W320:AB320)</f>
        <v/>
      </c>
      <c r="AD320" s="3">
        <f>N(AC320)*N(M320)/90</f>
        <v/>
      </c>
      <c r="AE320" s="3">
        <f>IFERROR(AD320-VLOOKUP($C320,Assumptions!$A$29:$C$32,3,FALSE),"")</f>
        <v/>
      </c>
      <c r="AF320" s="3">
        <f>IFERROR(AE320/F320,"")</f>
        <v/>
      </c>
      <c r="AG320">
        <f>IF(AND($E320=TRUE,$C320="GKP"),AD320,"")</f>
        <v/>
      </c>
      <c r="AH320">
        <f>IF(AND($E320=TRUE,$C320="DEF"),AD320,"")</f>
        <v/>
      </c>
      <c r="AI320">
        <f>IF(AND($E320=TRUE,$C320="MID"),AD320,"")</f>
        <v/>
      </c>
      <c r="AJ320">
        <f>IF(AND($E320=TRUE,$C320="FWD"),AD320,"")</f>
        <v/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b">
        <v>1</v>
      </c>
      <c r="F321" s="2" t="n">
        <v>4.5</v>
      </c>
      <c r="G321" t="inlineStr">
        <is>
          <t>a</t>
        </is>
      </c>
      <c r="I321" s="2" t="n">
        <v>1139</v>
      </c>
      <c r="J321" t="n">
        <v>19</v>
      </c>
      <c r="K321" s="3" t="n">
        <v>1151</v>
      </c>
      <c r="L321" t="inlineStr">
        <is>
          <t>flat</t>
        </is>
      </c>
      <c r="M321" s="4" t="n">
        <v>1139</v>
      </c>
      <c r="N321" s="4" t="n">
        <v>0.237</v>
      </c>
      <c r="O321" s="3" t="n">
        <v>0.0228</v>
      </c>
      <c r="P321" t="inlineStr">
        <is>
          <t>adjusted xGOT</t>
        </is>
      </c>
      <c r="Q321" s="3" t="n">
        <v>0.964</v>
      </c>
      <c r="R321" s="3" t="n">
        <v>0.3</v>
      </c>
      <c r="S321" s="3" t="n">
        <v>0.0521</v>
      </c>
      <c r="T321" s="3" t="n">
        <v>0.083</v>
      </c>
      <c r="U321" s="3" t="n">
        <v>0</v>
      </c>
      <c r="V321" s="3" t="n">
        <v>2.529</v>
      </c>
      <c r="W321" s="3">
        <f>IF(V321="",IFERROR(VLOOKUP($C321,Assumptions!$A$4:$F$7,6,FALSE),0),V321)</f>
        <v/>
      </c>
      <c r="X321" s="3">
        <f>N(O321)*IFERROR(VLOOKUP($C321,Assumptions!$A$4:$F$7,2,FALSE),0)</f>
        <v/>
      </c>
      <c r="Y321" s="3">
        <f>N(S321)*IFERROR(VLOOKUP($C321,Assumptions!$A$4:$F$7,3,FALSE),0)*Assumptions!$B$11</f>
        <v/>
      </c>
      <c r="Z321" s="3">
        <f>N(N321)*IFERROR(VLOOKUP($C321,Assumptions!$A$4:$F$7,4,FALSE),0)</f>
        <v/>
      </c>
      <c r="AA321" s="3">
        <f>N(T321)*IFERROR(VLOOKUP($C321,Assumptions!$A$4:$F$7,5,FALSE),0)</f>
        <v/>
      </c>
      <c r="AB321" s="3">
        <f>N(U321)</f>
        <v/>
      </c>
      <c r="AC321" s="3">
        <f>SUM(W321:AB321)</f>
        <v/>
      </c>
      <c r="AD321" s="3">
        <f>N(AC321)*N(M321)/90</f>
        <v/>
      </c>
      <c r="AE321" s="3">
        <f>IFERROR(AD321-VLOOKUP($C321,Assumptions!$A$29:$C$32,3,FALSE),"")</f>
        <v/>
      </c>
      <c r="AF321" s="3">
        <f>IFERROR(AE321/F321,"")</f>
        <v/>
      </c>
      <c r="AG321">
        <f>IF(AND($E321=TRUE,$C321="GKP"),AD321,"")</f>
        <v/>
      </c>
      <c r="AH321">
        <f>IF(AND($E321=TRUE,$C321="DEF"),AD321,"")</f>
        <v/>
      </c>
      <c r="AI321">
        <f>IF(AND($E321=TRUE,$C321="MID"),AD321,"")</f>
        <v/>
      </c>
      <c r="AJ321">
        <f>IF(AND($E321=TRUE,$C321="FWD"),AD321,"")</f>
        <v/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b">
        <v>1</v>
      </c>
      <c r="F322" s="2" t="n">
        <v>4.5</v>
      </c>
      <c r="G322" t="inlineStr">
        <is>
          <t>a</t>
        </is>
      </c>
      <c r="I322" s="2" t="n">
        <v>401</v>
      </c>
      <c r="J322" t="n">
        <v>19</v>
      </c>
      <c r="K322" s="3" t="n">
        <v>50</v>
      </c>
      <c r="L322" t="inlineStr">
        <is>
          <t>flat</t>
        </is>
      </c>
      <c r="M322" s="4" t="n">
        <v>401</v>
      </c>
      <c r="N322" s="4" t="n">
        <v>0.421</v>
      </c>
      <c r="O322" s="3" t="n">
        <v>0.0462</v>
      </c>
      <c r="P322" t="inlineStr">
        <is>
          <t>adjusted xGOT</t>
        </is>
      </c>
      <c r="Q322" s="3" t="n">
        <v>1.082</v>
      </c>
      <c r="R322" s="3" t="n">
        <v>2.4</v>
      </c>
      <c r="S322" s="3" t="n">
        <v>0.3304</v>
      </c>
      <c r="T322" s="3" t="n">
        <v>0</v>
      </c>
      <c r="U322" s="3" t="n">
        <v>0.4489</v>
      </c>
      <c r="V322" s="3" t="n">
        <v>3.367</v>
      </c>
      <c r="W322" s="3">
        <f>IF(V322="",IFERROR(VLOOKUP($C322,Assumptions!$A$4:$F$7,6,FALSE),0),V322)</f>
        <v/>
      </c>
      <c r="X322" s="3">
        <f>N(O322)*IFERROR(VLOOKUP($C322,Assumptions!$A$4:$F$7,2,FALSE),0)</f>
        <v/>
      </c>
      <c r="Y322" s="3">
        <f>N(S322)*IFERROR(VLOOKUP($C322,Assumptions!$A$4:$F$7,3,FALSE),0)*Assumptions!$B$11</f>
        <v/>
      </c>
      <c r="Z322" s="3">
        <f>N(N322)*IFERROR(VLOOKUP($C322,Assumptions!$A$4:$F$7,4,FALSE),0)</f>
        <v/>
      </c>
      <c r="AA322" s="3">
        <f>N(T322)*IFERROR(VLOOKUP($C322,Assumptions!$A$4:$F$7,5,FALSE),0)</f>
        <v/>
      </c>
      <c r="AB322" s="3">
        <f>N(U322)</f>
        <v/>
      </c>
      <c r="AC322" s="3">
        <f>SUM(W322:AB322)</f>
        <v/>
      </c>
      <c r="AD322" s="3">
        <f>N(AC322)*N(M322)/90</f>
        <v/>
      </c>
      <c r="AE322" s="3">
        <f>IFERROR(AD322-VLOOKUP($C322,Assumptions!$A$29:$C$32,3,FALSE),"")</f>
        <v/>
      </c>
      <c r="AF322" s="3">
        <f>IFERROR(AE322/F322,"")</f>
        <v/>
      </c>
      <c r="AG322">
        <f>IF(AND($E322=TRUE,$C322="GKP"),AD322,"")</f>
        <v/>
      </c>
      <c r="AH322">
        <f>IF(AND($E322=TRUE,$C322="DEF"),AD322,"")</f>
        <v/>
      </c>
      <c r="AI322">
        <f>IF(AND($E322=TRUE,$C322="MID"),AD322,"")</f>
        <v/>
      </c>
      <c r="AJ322">
        <f>IF(AND($E322=TRUE,$C322="FWD"),AD322,"")</f>
        <v/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b">
        <v>1</v>
      </c>
      <c r="F323" s="2" t="n">
        <v>5</v>
      </c>
      <c r="G323" t="inlineStr">
        <is>
          <t>i</t>
        </is>
      </c>
      <c r="H323" t="inlineStr">
        <is>
          <t>Unspecified injury - Unknown return date</t>
        </is>
      </c>
      <c r="I323" s="2" t="n">
        <v>367</v>
      </c>
      <c r="J323" t="n">
        <v>19</v>
      </c>
      <c r="K323" s="3" t="n">
        <v>101</v>
      </c>
      <c r="L323" t="inlineStr">
        <is>
          <t>flat</t>
        </is>
      </c>
      <c r="M323" s="4" t="n">
        <v>367</v>
      </c>
      <c r="N323" s="4" t="n">
        <v>0.29</v>
      </c>
      <c r="O323" s="3" t="n">
        <v>0.036</v>
      </c>
      <c r="P323" t="inlineStr">
        <is>
          <t>adjusted xGOT</t>
        </is>
      </c>
      <c r="Q323" s="3" t="n">
        <v>0.982</v>
      </c>
      <c r="R323" s="3" t="n">
        <v>0.2</v>
      </c>
      <c r="S323" s="3" t="n">
        <v>0.0315</v>
      </c>
      <c r="T323" s="3" t="n">
        <v>0.75</v>
      </c>
      <c r="U323" s="3" t="n">
        <v>0</v>
      </c>
      <c r="V323" s="3" t="n">
        <v>2.698</v>
      </c>
      <c r="W323" s="3">
        <f>IF(V323="",IFERROR(VLOOKUP($C323,Assumptions!$A$4:$F$7,6,FALSE),0),V323)</f>
        <v/>
      </c>
      <c r="X323" s="3">
        <f>N(O323)*IFERROR(VLOOKUP($C323,Assumptions!$A$4:$F$7,2,FALSE),0)</f>
        <v/>
      </c>
      <c r="Y323" s="3">
        <f>N(S323)*IFERROR(VLOOKUP($C323,Assumptions!$A$4:$F$7,3,FALSE),0)*Assumptions!$B$11</f>
        <v/>
      </c>
      <c r="Z323" s="3">
        <f>N(N323)*IFERROR(VLOOKUP($C323,Assumptions!$A$4:$F$7,4,FALSE),0)</f>
        <v/>
      </c>
      <c r="AA323" s="3">
        <f>N(T323)*IFERROR(VLOOKUP($C323,Assumptions!$A$4:$F$7,5,FALSE),0)</f>
        <v/>
      </c>
      <c r="AB323" s="3">
        <f>N(U323)</f>
        <v/>
      </c>
      <c r="AC323" s="3">
        <f>SUM(W323:AB323)</f>
        <v/>
      </c>
      <c r="AD323" s="3">
        <f>N(AC323)*N(M323)/90</f>
        <v/>
      </c>
      <c r="AE323" s="3">
        <f>IFERROR(AD323-VLOOKUP($C323,Assumptions!$A$29:$C$32,3,FALSE),"")</f>
        <v/>
      </c>
      <c r="AF323" s="3">
        <f>IFERROR(AE323/F323,"")</f>
        <v/>
      </c>
      <c r="AG323">
        <f>IF(AND($E323=TRUE,$C323="GKP"),AD323,"")</f>
        <v/>
      </c>
      <c r="AH323">
        <f>IF(AND($E323=TRUE,$C323="DEF"),AD323,"")</f>
        <v/>
      </c>
      <c r="AI323">
        <f>IF(AND($E323=TRUE,$C323="MID"),AD323,"")</f>
        <v/>
      </c>
      <c r="AJ323">
        <f>IF(AND($E323=TRUE,$C323="FWD"),AD323,"")</f>
        <v/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b">
        <v>1</v>
      </c>
      <c r="F324" s="2" t="n">
        <v>5.5</v>
      </c>
      <c r="G324" t="inlineStr">
        <is>
          <t>a</t>
        </is>
      </c>
      <c r="I324" s="2" t="n">
        <v>349</v>
      </c>
      <c r="J324" t="n">
        <v>18</v>
      </c>
      <c r="K324" s="3" t="n">
        <v>274</v>
      </c>
      <c r="L324" t="inlineStr">
        <is>
          <t>flat</t>
        </is>
      </c>
      <c r="M324" s="4" t="n">
        <v>349</v>
      </c>
      <c r="N324" s="4" t="n">
        <v>0.29</v>
      </c>
      <c r="O324" s="3" t="n">
        <v>0.05</v>
      </c>
      <c r="P324" t="inlineStr">
        <is>
          <t>adjusted xGOT</t>
        </is>
      </c>
      <c r="Q324" s="3" t="n">
        <v>0.972</v>
      </c>
      <c r="R324" s="3" t="n">
        <v>2.8</v>
      </c>
      <c r="S324" s="3" t="n">
        <v>0.0455</v>
      </c>
      <c r="T324" s="3" t="n">
        <v>0.25</v>
      </c>
      <c r="U324" s="3" t="n">
        <v>0</v>
      </c>
      <c r="V324" s="3" t="n">
        <v>4.126</v>
      </c>
      <c r="W324" s="3">
        <f>IF(V324="",IFERROR(VLOOKUP($C324,Assumptions!$A$4:$F$7,6,FALSE),0),V324)</f>
        <v/>
      </c>
      <c r="X324" s="3">
        <f>N(O324)*IFERROR(VLOOKUP($C324,Assumptions!$A$4:$F$7,2,FALSE),0)</f>
        <v/>
      </c>
      <c r="Y324" s="3">
        <f>N(S324)*IFERROR(VLOOKUP($C324,Assumptions!$A$4:$F$7,3,FALSE),0)*Assumptions!$B$11</f>
        <v/>
      </c>
      <c r="Z324" s="3">
        <f>N(N324)*IFERROR(VLOOKUP($C324,Assumptions!$A$4:$F$7,4,FALSE),0)</f>
        <v/>
      </c>
      <c r="AA324" s="3">
        <f>N(T324)*IFERROR(VLOOKUP($C324,Assumptions!$A$4:$F$7,5,FALSE),0)</f>
        <v/>
      </c>
      <c r="AB324" s="3">
        <f>N(U324)</f>
        <v/>
      </c>
      <c r="AC324" s="3">
        <f>SUM(W324:AB324)</f>
        <v/>
      </c>
      <c r="AD324" s="3">
        <f>N(AC324)*N(M324)/90</f>
        <v/>
      </c>
      <c r="AE324" s="3">
        <f>IFERROR(AD324-VLOOKUP($C324,Assumptions!$A$29:$C$32,3,FALSE),"")</f>
        <v/>
      </c>
      <c r="AF324" s="3">
        <f>IFERROR(AE324/F324,"")</f>
        <v/>
      </c>
      <c r="AG324">
        <f>IF(AND($E324=TRUE,$C324="GKP"),AD324,"")</f>
        <v/>
      </c>
      <c r="AH324">
        <f>IF(AND($E324=TRUE,$C324="DEF"),AD324,"")</f>
        <v/>
      </c>
      <c r="AI324">
        <f>IF(AND($E324=TRUE,$C324="MID"),AD324,"")</f>
        <v/>
      </c>
      <c r="AJ324">
        <f>IF(AND($E324=TRUE,$C324="FWD"),AD324,"")</f>
        <v/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b">
        <v>1</v>
      </c>
      <c r="F325" s="2" t="n">
        <v>5</v>
      </c>
      <c r="G325" t="inlineStr">
        <is>
          <t>u</t>
        </is>
      </c>
      <c r="H325" t="inlineStr">
        <is>
          <t>has returned to Getafe CF</t>
        </is>
      </c>
      <c r="I325" s="2" t="n">
        <v>159</v>
      </c>
      <c r="J325" t="n">
        <v>17</v>
      </c>
      <c r="K325" s="3" t="n"/>
      <c r="M325" s="4" t="n">
        <v>159</v>
      </c>
      <c r="N325" s="4" t="n">
        <v>0.316</v>
      </c>
      <c r="O325" s="3" t="n">
        <v>0.2745</v>
      </c>
      <c r="P325" t="inlineStr">
        <is>
          <t>adjusted xGOT</t>
        </is>
      </c>
      <c r="Q325" s="3" t="n">
        <v>0.989</v>
      </c>
      <c r="R325" s="3" t="n">
        <v>0.5</v>
      </c>
      <c r="S325" s="3" t="n">
        <v>0.0028</v>
      </c>
      <c r="T325" s="3" t="n"/>
      <c r="U325" s="3" t="n">
        <v>0</v>
      </c>
      <c r="V325" s="3" t="n">
        <v>7.925</v>
      </c>
      <c r="W325" s="3">
        <f>IF(V325="",IFERROR(VLOOKUP($C325,Assumptions!$A$4:$F$7,6,FALSE),0),V325)</f>
        <v/>
      </c>
      <c r="X325" s="3">
        <f>N(O325)*IFERROR(VLOOKUP($C325,Assumptions!$A$4:$F$7,2,FALSE),0)</f>
        <v/>
      </c>
      <c r="Y325" s="3">
        <f>N(S325)*IFERROR(VLOOKUP($C325,Assumptions!$A$4:$F$7,3,FALSE),0)*Assumptions!$B$11</f>
        <v/>
      </c>
      <c r="Z325" s="3">
        <f>N(N325)*IFERROR(VLOOKUP($C325,Assumptions!$A$4:$F$7,4,FALSE),0)</f>
        <v/>
      </c>
      <c r="AA325" s="3">
        <f>N(T325)*IFERROR(VLOOKUP($C325,Assumptions!$A$4:$F$7,5,FALSE),0)</f>
        <v/>
      </c>
      <c r="AB325" s="3">
        <f>N(U325)</f>
        <v/>
      </c>
      <c r="AC325" s="3">
        <f>SUM(W325:AB325)</f>
        <v/>
      </c>
      <c r="AD325" s="3">
        <f>N(AC325)*N(M325)/90</f>
        <v/>
      </c>
      <c r="AE325" s="3">
        <f>IFERROR(AD325-VLOOKUP($C325,Assumptions!$A$29:$C$32,3,FALSE),"")</f>
        <v/>
      </c>
      <c r="AF325" s="3">
        <f>IFERROR(AE325/F325,"")</f>
        <v/>
      </c>
      <c r="AG325">
        <f>IF(AND($E325=TRUE,$C325="GKP"),AD325,"")</f>
        <v/>
      </c>
      <c r="AH325">
        <f>IF(AND($E325=TRUE,$C325="DEF"),AD325,"")</f>
        <v/>
      </c>
      <c r="AI325">
        <f>IF(AND($E325=TRUE,$C325="MID"),AD325,"")</f>
        <v/>
      </c>
      <c r="AJ325">
        <f>IF(AND($E325=TRUE,$C325="FWD"),AD325,"")</f>
        <v/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b">
        <v>1</v>
      </c>
      <c r="F326" s="2" t="n">
        <v>5</v>
      </c>
      <c r="G326" t="inlineStr">
        <is>
          <t>a</t>
        </is>
      </c>
      <c r="I326" s="2" t="n">
        <v>244</v>
      </c>
      <c r="J326" t="n">
        <v>17</v>
      </c>
      <c r="K326" s="3" t="n">
        <v>15</v>
      </c>
      <c r="L326" t="inlineStr">
        <is>
          <t>flat</t>
        </is>
      </c>
      <c r="M326" s="4" t="n">
        <v>244</v>
      </c>
      <c r="N326" s="4" t="n">
        <v>0.21</v>
      </c>
      <c r="O326" s="3" t="n">
        <v>0.3172</v>
      </c>
      <c r="P326" t="inlineStr">
        <is>
          <t>adjusted xGOT</t>
        </is>
      </c>
      <c r="Q326" s="3" t="n">
        <v>0.955</v>
      </c>
      <c r="R326" s="3" t="n">
        <v>0.9</v>
      </c>
      <c r="S326" s="3" t="n">
        <v>0.0398</v>
      </c>
      <c r="T326" s="3" t="n">
        <v>0</v>
      </c>
      <c r="U326" s="3" t="n">
        <v>0</v>
      </c>
      <c r="V326" s="3" t="n">
        <v>6.27</v>
      </c>
      <c r="W326" s="3">
        <f>IF(V326="",IFERROR(VLOOKUP($C326,Assumptions!$A$4:$F$7,6,FALSE),0),V326)</f>
        <v/>
      </c>
      <c r="X326" s="3">
        <f>N(O326)*IFERROR(VLOOKUP($C326,Assumptions!$A$4:$F$7,2,FALSE),0)</f>
        <v/>
      </c>
      <c r="Y326" s="3">
        <f>N(S326)*IFERROR(VLOOKUP($C326,Assumptions!$A$4:$F$7,3,FALSE),0)*Assumptions!$B$11</f>
        <v/>
      </c>
      <c r="Z326" s="3">
        <f>N(N326)*IFERROR(VLOOKUP($C326,Assumptions!$A$4:$F$7,4,FALSE),0)</f>
        <v/>
      </c>
      <c r="AA326" s="3">
        <f>N(T326)*IFERROR(VLOOKUP($C326,Assumptions!$A$4:$F$7,5,FALSE),0)</f>
        <v/>
      </c>
      <c r="AB326" s="3">
        <f>N(U326)</f>
        <v/>
      </c>
      <c r="AC326" s="3">
        <f>SUM(W326:AB326)</f>
        <v/>
      </c>
      <c r="AD326" s="3">
        <f>N(AC326)*N(M326)/90</f>
        <v/>
      </c>
      <c r="AE326" s="3">
        <f>IFERROR(AD326-VLOOKUP($C326,Assumptions!$A$29:$C$32,3,FALSE),"")</f>
        <v/>
      </c>
      <c r="AF326" s="3">
        <f>IFERROR(AE326/F326,"")</f>
        <v/>
      </c>
      <c r="AG326">
        <f>IF(AND($E326=TRUE,$C326="GKP"),AD326,"")</f>
        <v/>
      </c>
      <c r="AH326">
        <f>IF(AND($E326=TRUE,$C326="DEF"),AD326,"")</f>
        <v/>
      </c>
      <c r="AI326">
        <f>IF(AND($E326=TRUE,$C326="MID"),AD326,"")</f>
        <v/>
      </c>
      <c r="AJ326">
        <f>IF(AND($E326=TRUE,$C326="FWD"),AD326,"")</f>
        <v/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b">
        <v>1</v>
      </c>
      <c r="F327" s="2" t="n">
        <v>5.5</v>
      </c>
      <c r="G327" t="inlineStr">
        <is>
          <t>a</t>
        </is>
      </c>
      <c r="I327" s="2" t="n">
        <v>288</v>
      </c>
      <c r="J327" t="n">
        <v>17</v>
      </c>
      <c r="K327" s="3" t="n">
        <v>633</v>
      </c>
      <c r="L327" t="inlineStr">
        <is>
          <t>flat</t>
        </is>
      </c>
      <c r="M327" s="4" t="n">
        <v>288</v>
      </c>
      <c r="N327" s="4" t="n">
        <v>0.237</v>
      </c>
      <c r="O327" s="3" t="n">
        <v>0.0572</v>
      </c>
      <c r="P327" t="inlineStr">
        <is>
          <t>adjusted xGOT</t>
        </is>
      </c>
      <c r="Q327" s="3" t="n">
        <v>1.017</v>
      </c>
      <c r="R327" s="3" t="n">
        <v>6</v>
      </c>
      <c r="S327" s="3" t="n">
        <v>0.1925</v>
      </c>
      <c r="T327" s="3" t="n">
        <v>0</v>
      </c>
      <c r="U327" s="3" t="n">
        <v>0</v>
      </c>
      <c r="V327" s="3" t="n">
        <v>4.688</v>
      </c>
      <c r="W327" s="3">
        <f>IF(V327="",IFERROR(VLOOKUP($C327,Assumptions!$A$4:$F$7,6,FALSE),0),V327)</f>
        <v/>
      </c>
      <c r="X327" s="3">
        <f>N(O327)*IFERROR(VLOOKUP($C327,Assumptions!$A$4:$F$7,2,FALSE),0)</f>
        <v/>
      </c>
      <c r="Y327" s="3">
        <f>N(S327)*IFERROR(VLOOKUP($C327,Assumptions!$A$4:$F$7,3,FALSE),0)*Assumptions!$B$11</f>
        <v/>
      </c>
      <c r="Z327" s="3">
        <f>N(N327)*IFERROR(VLOOKUP($C327,Assumptions!$A$4:$F$7,4,FALSE),0)</f>
        <v/>
      </c>
      <c r="AA327" s="3">
        <f>N(T327)*IFERROR(VLOOKUP($C327,Assumptions!$A$4:$F$7,5,FALSE),0)</f>
        <v/>
      </c>
      <c r="AB327" s="3">
        <f>N(U327)</f>
        <v/>
      </c>
      <c r="AC327" s="3">
        <f>SUM(W327:AB327)</f>
        <v/>
      </c>
      <c r="AD327" s="3">
        <f>N(AC327)*N(M327)/90</f>
        <v/>
      </c>
      <c r="AE327" s="3">
        <f>IFERROR(AD327-VLOOKUP($C327,Assumptions!$A$29:$C$32,3,FALSE),"")</f>
        <v/>
      </c>
      <c r="AF327" s="3">
        <f>IFERROR(AE327/F327,"")</f>
        <v/>
      </c>
      <c r="AG327">
        <f>IF(AND($E327=TRUE,$C327="GKP"),AD327,"")</f>
        <v/>
      </c>
      <c r="AH327">
        <f>IF(AND($E327=TRUE,$C327="DEF"),AD327,"")</f>
        <v/>
      </c>
      <c r="AI327">
        <f>IF(AND($E327=TRUE,$C327="MID"),AD327,"")</f>
        <v/>
      </c>
      <c r="AJ327">
        <f>IF(AND($E327=TRUE,$C327="FWD"),AD327,"")</f>
        <v/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b">
        <v>1</v>
      </c>
      <c r="F328" s="2" t="n">
        <v>5.5</v>
      </c>
      <c r="G328" t="inlineStr">
        <is>
          <t>d</t>
        </is>
      </c>
      <c r="H328" t="inlineStr">
        <is>
          <t>Knee injury - 75% chance of playing</t>
        </is>
      </c>
      <c r="I328" s="2" t="n">
        <v>132</v>
      </c>
      <c r="J328" t="n">
        <v>16</v>
      </c>
      <c r="K328" s="3" t="n">
        <v>268</v>
      </c>
      <c r="L328" t="inlineStr">
        <is>
          <t>flat</t>
        </is>
      </c>
      <c r="M328" s="4" t="n">
        <v>132</v>
      </c>
      <c r="N328" s="4" t="n">
        <v>0.263</v>
      </c>
      <c r="O328" s="3" t="n">
        <v>0.3055</v>
      </c>
      <c r="P328" t="inlineStr">
        <is>
          <t>adjusted xGOT</t>
        </is>
      </c>
      <c r="Q328" s="3" t="n">
        <v>1.019</v>
      </c>
      <c r="R328" s="3" t="n">
        <v>0.4</v>
      </c>
      <c r="S328" s="3" t="n">
        <v>0.1685</v>
      </c>
      <c r="T328" s="3" t="n">
        <v>0</v>
      </c>
      <c r="U328" s="3" t="n">
        <v>0</v>
      </c>
      <c r="V328" s="3" t="n">
        <v>6.136</v>
      </c>
      <c r="W328" s="3">
        <f>IF(V328="",IFERROR(VLOOKUP($C328,Assumptions!$A$4:$F$7,6,FALSE),0),V328)</f>
        <v/>
      </c>
      <c r="X328" s="3">
        <f>N(O328)*IFERROR(VLOOKUP($C328,Assumptions!$A$4:$F$7,2,FALSE),0)</f>
        <v/>
      </c>
      <c r="Y328" s="3">
        <f>N(S328)*IFERROR(VLOOKUP($C328,Assumptions!$A$4:$F$7,3,FALSE),0)*Assumptions!$B$11</f>
        <v/>
      </c>
      <c r="Z328" s="3">
        <f>N(N328)*IFERROR(VLOOKUP($C328,Assumptions!$A$4:$F$7,4,FALSE),0)</f>
        <v/>
      </c>
      <c r="AA328" s="3">
        <f>N(T328)*IFERROR(VLOOKUP($C328,Assumptions!$A$4:$F$7,5,FALSE),0)</f>
        <v/>
      </c>
      <c r="AB328" s="3">
        <f>N(U328)</f>
        <v/>
      </c>
      <c r="AC328" s="3">
        <f>SUM(W328:AB328)</f>
        <v/>
      </c>
      <c r="AD328" s="3">
        <f>N(AC328)*N(M328)/90</f>
        <v/>
      </c>
      <c r="AE328" s="3">
        <f>IFERROR(AD328-VLOOKUP($C328,Assumptions!$A$29:$C$32,3,FALSE),"")</f>
        <v/>
      </c>
      <c r="AF328" s="3">
        <f>IFERROR(AE328/F328,"")</f>
        <v/>
      </c>
      <c r="AG328">
        <f>IF(AND($E328=TRUE,$C328="GKP"),AD328,"")</f>
        <v/>
      </c>
      <c r="AH328">
        <f>IF(AND($E328=TRUE,$C328="DEF"),AD328,"")</f>
        <v/>
      </c>
      <c r="AI328">
        <f>IF(AND($E328=TRUE,$C328="MID"),AD328,"")</f>
        <v/>
      </c>
      <c r="AJ328">
        <f>IF(AND($E328=TRUE,$C328="FWD"),AD328,"")</f>
        <v/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b">
        <v>1</v>
      </c>
      <c r="F329" s="2" t="n">
        <v>4.5</v>
      </c>
      <c r="G329" t="inlineStr">
        <is>
          <t>a</t>
        </is>
      </c>
      <c r="I329" s="2" t="n">
        <v>270</v>
      </c>
      <c r="J329" t="n">
        <v>16</v>
      </c>
      <c r="K329" s="3" t="n">
        <v>0</v>
      </c>
      <c r="L329" t="inlineStr">
        <is>
          <t>flat</t>
        </is>
      </c>
      <c r="M329" s="4" t="n">
        <v>270</v>
      </c>
      <c r="N329" s="4" t="n">
        <v>0.29</v>
      </c>
      <c r="O329" s="3" t="n">
        <v>0</v>
      </c>
      <c r="P329" t="inlineStr">
        <is>
          <t>blended xG</t>
        </is>
      </c>
      <c r="Q329" s="3" t="n">
        <v>1</v>
      </c>
      <c r="R329" s="3" t="n">
        <v>0</v>
      </c>
      <c r="S329" s="3" t="n">
        <v>0.0033</v>
      </c>
      <c r="T329" s="3" t="n">
        <v>0</v>
      </c>
      <c r="U329" s="3" t="n">
        <v>1</v>
      </c>
      <c r="V329" s="3" t="n">
        <v>2</v>
      </c>
      <c r="W329" s="3">
        <f>IF(V329="",IFERROR(VLOOKUP($C329,Assumptions!$A$4:$F$7,6,FALSE),0),V329)</f>
        <v/>
      </c>
      <c r="X329" s="3">
        <f>N(O329)*IFERROR(VLOOKUP($C329,Assumptions!$A$4:$F$7,2,FALSE),0)</f>
        <v/>
      </c>
      <c r="Y329" s="3">
        <f>N(S329)*IFERROR(VLOOKUP($C329,Assumptions!$A$4:$F$7,3,FALSE),0)*Assumptions!$B$11</f>
        <v/>
      </c>
      <c r="Z329" s="3">
        <f>N(N329)*IFERROR(VLOOKUP($C329,Assumptions!$A$4:$F$7,4,FALSE),0)</f>
        <v/>
      </c>
      <c r="AA329" s="3">
        <f>N(T329)*IFERROR(VLOOKUP($C329,Assumptions!$A$4:$F$7,5,FALSE),0)</f>
        <v/>
      </c>
      <c r="AB329" s="3">
        <f>N(U329)</f>
        <v/>
      </c>
      <c r="AC329" s="3">
        <f>SUM(W329:AB329)</f>
        <v/>
      </c>
      <c r="AD329" s="3">
        <f>N(AC329)*N(M329)/90</f>
        <v/>
      </c>
      <c r="AE329" s="3">
        <f>IFERROR(AD329-VLOOKUP($C329,Assumptions!$A$29:$C$32,3,FALSE),"")</f>
        <v/>
      </c>
      <c r="AF329" s="3">
        <f>IFERROR(AE329/F329,"")</f>
        <v/>
      </c>
      <c r="AG329">
        <f>IF(AND($E329=TRUE,$C329="GKP"),AD329,"")</f>
        <v/>
      </c>
      <c r="AH329">
        <f>IF(AND($E329=TRUE,$C329="DEF"),AD329,"")</f>
        <v/>
      </c>
      <c r="AI329">
        <f>IF(AND($E329=TRUE,$C329="MID"),AD329,"")</f>
        <v/>
      </c>
      <c r="AJ329">
        <f>IF(AND($E329=TRUE,$C329="FWD"),AD329,"")</f>
        <v/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b">
        <v>1</v>
      </c>
      <c r="F330" s="2" t="n">
        <v>5.5</v>
      </c>
      <c r="G330" t="inlineStr">
        <is>
          <t>a</t>
        </is>
      </c>
      <c r="I330" s="2" t="n">
        <v>202</v>
      </c>
      <c r="J330" t="n">
        <v>16</v>
      </c>
      <c r="K330" s="3" t="n">
        <v>0</v>
      </c>
      <c r="L330" t="inlineStr">
        <is>
          <t>flat</t>
        </is>
      </c>
      <c r="M330" s="4" t="n">
        <v>202</v>
      </c>
      <c r="N330" s="4" t="n">
        <v>0.263</v>
      </c>
      <c r="O330" s="3" t="n">
        <v>0.5133</v>
      </c>
      <c r="P330" t="inlineStr">
        <is>
          <t>adjusted xGOT</t>
        </is>
      </c>
      <c r="Q330" s="3" t="n">
        <v>0.952</v>
      </c>
      <c r="R330" s="3" t="n">
        <v>4</v>
      </c>
      <c r="S330" s="3" t="n">
        <v>0.07340000000000001</v>
      </c>
      <c r="T330" s="3" t="n">
        <v>0</v>
      </c>
      <c r="U330" s="3" t="n">
        <v>0.8911</v>
      </c>
      <c r="V330" s="3" t="n">
        <v>3.564</v>
      </c>
      <c r="W330" s="3">
        <f>IF(V330="",IFERROR(VLOOKUP($C330,Assumptions!$A$4:$F$7,6,FALSE),0),V330)</f>
        <v/>
      </c>
      <c r="X330" s="3">
        <f>N(O330)*IFERROR(VLOOKUP($C330,Assumptions!$A$4:$F$7,2,FALSE),0)</f>
        <v/>
      </c>
      <c r="Y330" s="3">
        <f>N(S330)*IFERROR(VLOOKUP($C330,Assumptions!$A$4:$F$7,3,FALSE),0)*Assumptions!$B$11</f>
        <v/>
      </c>
      <c r="Z330" s="3">
        <f>N(N330)*IFERROR(VLOOKUP($C330,Assumptions!$A$4:$F$7,4,FALSE),0)</f>
        <v/>
      </c>
      <c r="AA330" s="3">
        <f>N(T330)*IFERROR(VLOOKUP($C330,Assumptions!$A$4:$F$7,5,FALSE),0)</f>
        <v/>
      </c>
      <c r="AB330" s="3">
        <f>N(U330)</f>
        <v/>
      </c>
      <c r="AC330" s="3">
        <f>SUM(W330:AB330)</f>
        <v/>
      </c>
      <c r="AD330" s="3">
        <f>N(AC330)*N(M330)/90</f>
        <v/>
      </c>
      <c r="AE330" s="3">
        <f>IFERROR(AD330-VLOOKUP($C330,Assumptions!$A$29:$C$32,3,FALSE),"")</f>
        <v/>
      </c>
      <c r="AF330" s="3">
        <f>IFERROR(AE330/F330,"")</f>
        <v/>
      </c>
      <c r="AG330">
        <f>IF(AND($E330=TRUE,$C330="GKP"),AD330,"")</f>
        <v/>
      </c>
      <c r="AH330">
        <f>IF(AND($E330=TRUE,$C330="DEF"),AD330,"")</f>
        <v/>
      </c>
      <c r="AI330">
        <f>IF(AND($E330=TRUE,$C330="MID"),AD330,"")</f>
        <v/>
      </c>
      <c r="AJ330">
        <f>IF(AND($E330=TRUE,$C330="FWD"),AD330,"")</f>
        <v/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b">
        <v>1</v>
      </c>
      <c r="F331" s="2" t="n">
        <v>5.5</v>
      </c>
      <c r="G331" t="inlineStr">
        <is>
          <t>a</t>
        </is>
      </c>
      <c r="I331" s="2" t="n">
        <v>351</v>
      </c>
      <c r="J331" t="n">
        <v>16</v>
      </c>
      <c r="K331" s="3" t="n">
        <v>885</v>
      </c>
      <c r="L331" t="inlineStr">
        <is>
          <t>flat</t>
        </is>
      </c>
      <c r="M331" s="4" t="n">
        <v>351</v>
      </c>
      <c r="N331" s="4" t="n">
        <v>0.29</v>
      </c>
      <c r="O331" s="3" t="n">
        <v>0.1821</v>
      </c>
      <c r="P331" t="inlineStr">
        <is>
          <t>adjusted xGOT</t>
        </is>
      </c>
      <c r="Q331" s="3" t="n">
        <v>1.109</v>
      </c>
      <c r="R331" s="3" t="n">
        <v>0.8</v>
      </c>
      <c r="S331" s="3" t="n">
        <v>0.3246</v>
      </c>
      <c r="T331" s="3" t="n">
        <v>0</v>
      </c>
      <c r="U331" s="3" t="n">
        <v>0</v>
      </c>
      <c r="V331" s="3" t="n">
        <v>4.359</v>
      </c>
      <c r="W331" s="3">
        <f>IF(V331="",IFERROR(VLOOKUP($C331,Assumptions!$A$4:$F$7,6,FALSE),0),V331)</f>
        <v/>
      </c>
      <c r="X331" s="3">
        <f>N(O331)*IFERROR(VLOOKUP($C331,Assumptions!$A$4:$F$7,2,FALSE),0)</f>
        <v/>
      </c>
      <c r="Y331" s="3">
        <f>N(S331)*IFERROR(VLOOKUP($C331,Assumptions!$A$4:$F$7,3,FALSE),0)*Assumptions!$B$11</f>
        <v/>
      </c>
      <c r="Z331" s="3">
        <f>N(N331)*IFERROR(VLOOKUP($C331,Assumptions!$A$4:$F$7,4,FALSE),0)</f>
        <v/>
      </c>
      <c r="AA331" s="3">
        <f>N(T331)*IFERROR(VLOOKUP($C331,Assumptions!$A$4:$F$7,5,FALSE),0)</f>
        <v/>
      </c>
      <c r="AB331" s="3">
        <f>N(U331)</f>
        <v/>
      </c>
      <c r="AC331" s="3">
        <f>SUM(W331:AB331)</f>
        <v/>
      </c>
      <c r="AD331" s="3">
        <f>N(AC331)*N(M331)/90</f>
        <v/>
      </c>
      <c r="AE331" s="3">
        <f>IFERROR(AD331-VLOOKUP($C331,Assumptions!$A$29:$C$32,3,FALSE),"")</f>
        <v/>
      </c>
      <c r="AF331" s="3">
        <f>IFERROR(AE331/F331,"")</f>
        <v/>
      </c>
      <c r="AG331">
        <f>IF(AND($E331=TRUE,$C331="GKP"),AD331,"")</f>
        <v/>
      </c>
      <c r="AH331">
        <f>IF(AND($E331=TRUE,$C331="DEF"),AD331,"")</f>
        <v/>
      </c>
      <c r="AI331">
        <f>IF(AND($E331=TRUE,$C331="MID"),AD331,"")</f>
        <v/>
      </c>
      <c r="AJ331">
        <f>IF(AND($E331=TRUE,$C331="FWD"),AD331,"")</f>
        <v/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b">
        <v>1</v>
      </c>
      <c r="F332" s="2" t="n">
        <v>4.5</v>
      </c>
      <c r="G332" t="inlineStr">
        <is>
          <t>a</t>
        </is>
      </c>
      <c r="I332" s="2" t="n">
        <v>585</v>
      </c>
      <c r="J332" t="n">
        <v>16</v>
      </c>
      <c r="K332" s="3" t="n">
        <v>35</v>
      </c>
      <c r="L332" t="inlineStr">
        <is>
          <t>flat</t>
        </is>
      </c>
      <c r="M332" s="4" t="n">
        <v>585</v>
      </c>
      <c r="N332" s="4" t="n">
        <v>0.237</v>
      </c>
      <c r="O332" s="3" t="n">
        <v>0</v>
      </c>
      <c r="P332" t="inlineStr">
        <is>
          <t>blended xG</t>
        </is>
      </c>
      <c r="Q332" s="3" t="n">
        <v>1</v>
      </c>
      <c r="R332" s="3" t="n">
        <v>0</v>
      </c>
      <c r="S332" s="3" t="n">
        <v>0</v>
      </c>
      <c r="T332" s="3" t="n">
        <v>0</v>
      </c>
      <c r="U332" s="3" t="n">
        <v>0.1538</v>
      </c>
      <c r="V332" s="3" t="n">
        <v>2</v>
      </c>
      <c r="W332" s="3">
        <f>IF(V332="",IFERROR(VLOOKUP($C332,Assumptions!$A$4:$F$7,6,FALSE),0),V332)</f>
        <v/>
      </c>
      <c r="X332" s="3">
        <f>N(O332)*IFERROR(VLOOKUP($C332,Assumptions!$A$4:$F$7,2,FALSE),0)</f>
        <v/>
      </c>
      <c r="Y332" s="3">
        <f>N(S332)*IFERROR(VLOOKUP($C332,Assumptions!$A$4:$F$7,3,FALSE),0)*Assumptions!$B$11</f>
        <v/>
      </c>
      <c r="Z332" s="3">
        <f>N(N332)*IFERROR(VLOOKUP($C332,Assumptions!$A$4:$F$7,4,FALSE),0)</f>
        <v/>
      </c>
      <c r="AA332" s="3">
        <f>N(T332)*IFERROR(VLOOKUP($C332,Assumptions!$A$4:$F$7,5,FALSE),0)</f>
        <v/>
      </c>
      <c r="AB332" s="3">
        <f>N(U332)</f>
        <v/>
      </c>
      <c r="AC332" s="3">
        <f>SUM(W332:AB332)</f>
        <v/>
      </c>
      <c r="AD332" s="3">
        <f>N(AC332)*N(M332)/90</f>
        <v/>
      </c>
      <c r="AE332" s="3">
        <f>IFERROR(AD332-VLOOKUP($C332,Assumptions!$A$29:$C$32,3,FALSE),"")</f>
        <v/>
      </c>
      <c r="AF332" s="3">
        <f>IFERROR(AE332/F332,"")</f>
        <v/>
      </c>
      <c r="AG332">
        <f>IF(AND($E332=TRUE,$C332="GKP"),AD332,"")</f>
        <v/>
      </c>
      <c r="AH332">
        <f>IF(AND($E332=TRUE,$C332="DEF"),AD332,"")</f>
        <v/>
      </c>
      <c r="AI332">
        <f>IF(AND($E332=TRUE,$C332="MID"),AD332,"")</f>
        <v/>
      </c>
      <c r="AJ332">
        <f>IF(AND($E332=TRUE,$C332="FWD"),AD332,"")</f>
        <v/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b">
        <v>1</v>
      </c>
      <c r="F333" s="2" t="n">
        <v>5.5</v>
      </c>
      <c r="G333" t="inlineStr">
        <is>
          <t>a</t>
        </is>
      </c>
      <c r="I333" s="2" t="n">
        <v>152</v>
      </c>
      <c r="J333" t="n">
        <v>16</v>
      </c>
      <c r="K333" s="3" t="n">
        <v>85</v>
      </c>
      <c r="L333" t="inlineStr">
        <is>
          <t>flat</t>
        </is>
      </c>
      <c r="M333" s="4" t="n">
        <v>152</v>
      </c>
      <c r="N333" s="4" t="n">
        <v>0.5</v>
      </c>
      <c r="O333" s="3" t="n">
        <v>0.6898</v>
      </c>
      <c r="P333" t="inlineStr">
        <is>
          <t>adjusted xGOT</t>
        </is>
      </c>
      <c r="Q333" s="3" t="n">
        <v>0.979</v>
      </c>
      <c r="R333" s="3" t="n">
        <v>1.2</v>
      </c>
      <c r="S333" s="3" t="n">
        <v>0.2764</v>
      </c>
      <c r="T333" s="3" t="n">
        <v>0</v>
      </c>
      <c r="U333" s="3" t="n">
        <v>0</v>
      </c>
      <c r="V333" s="3" t="n">
        <v>4.145</v>
      </c>
      <c r="W333" s="3">
        <f>IF(V333="",IFERROR(VLOOKUP($C333,Assumptions!$A$4:$F$7,6,FALSE),0),V333)</f>
        <v/>
      </c>
      <c r="X333" s="3">
        <f>N(O333)*IFERROR(VLOOKUP($C333,Assumptions!$A$4:$F$7,2,FALSE),0)</f>
        <v/>
      </c>
      <c r="Y333" s="3">
        <f>N(S333)*IFERROR(VLOOKUP($C333,Assumptions!$A$4:$F$7,3,FALSE),0)*Assumptions!$B$11</f>
        <v/>
      </c>
      <c r="Z333" s="3">
        <f>N(N333)*IFERROR(VLOOKUP($C333,Assumptions!$A$4:$F$7,4,FALSE),0)</f>
        <v/>
      </c>
      <c r="AA333" s="3">
        <f>N(T333)*IFERROR(VLOOKUP($C333,Assumptions!$A$4:$F$7,5,FALSE),0)</f>
        <v/>
      </c>
      <c r="AB333" s="3">
        <f>N(U333)</f>
        <v/>
      </c>
      <c r="AC333" s="3">
        <f>SUM(W333:AB333)</f>
        <v/>
      </c>
      <c r="AD333" s="3">
        <f>N(AC333)*N(M333)/90</f>
        <v/>
      </c>
      <c r="AE333" s="3">
        <f>IFERROR(AD333-VLOOKUP($C333,Assumptions!$A$29:$C$32,3,FALSE),"")</f>
        <v/>
      </c>
      <c r="AF333" s="3">
        <f>IFERROR(AE333/F333,"")</f>
        <v/>
      </c>
      <c r="AG333">
        <f>IF(AND($E333=TRUE,$C333="GKP"),AD333,"")</f>
        <v/>
      </c>
      <c r="AH333">
        <f>IF(AND($E333=TRUE,$C333="DEF"),AD333,"")</f>
        <v/>
      </c>
      <c r="AI333">
        <f>IF(AND($E333=TRUE,$C333="MID"),AD333,"")</f>
        <v/>
      </c>
      <c r="AJ333">
        <f>IF(AND($E333=TRUE,$C333="FWD"),AD333,"")</f>
        <v/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b">
        <v>1</v>
      </c>
      <c r="F334" s="2" t="n">
        <v>4.5</v>
      </c>
      <c r="G334" t="inlineStr">
        <is>
          <t>a</t>
        </is>
      </c>
      <c r="I334" s="2" t="n">
        <v>89</v>
      </c>
      <c r="J334" t="n">
        <v>15</v>
      </c>
      <c r="K334" s="3" t="n">
        <v>46</v>
      </c>
      <c r="L334" t="inlineStr">
        <is>
          <t>flat</t>
        </is>
      </c>
      <c r="M334" s="4" t="n">
        <v>89</v>
      </c>
      <c r="N334" s="4" t="n">
        <v>0.237</v>
      </c>
      <c r="O334" s="3" t="n">
        <v>0.1547</v>
      </c>
      <c r="P334" t="inlineStr">
        <is>
          <t>adjusted xGOT</t>
        </is>
      </c>
      <c r="Q334" s="3" t="n">
        <v>1.179</v>
      </c>
      <c r="R334" s="3" t="n">
        <v>2.6</v>
      </c>
      <c r="S334" s="3" t="n">
        <v>0.4313</v>
      </c>
      <c r="T334" s="3" t="n">
        <v>0</v>
      </c>
      <c r="U334" s="3" t="n">
        <v>2.0225</v>
      </c>
      <c r="V334" s="3" t="n">
        <v>8.09</v>
      </c>
      <c r="W334" s="3">
        <f>IF(V334="",IFERROR(VLOOKUP($C334,Assumptions!$A$4:$F$7,6,FALSE),0),V334)</f>
        <v/>
      </c>
      <c r="X334" s="3">
        <f>N(O334)*IFERROR(VLOOKUP($C334,Assumptions!$A$4:$F$7,2,FALSE),0)</f>
        <v/>
      </c>
      <c r="Y334" s="3">
        <f>N(S334)*IFERROR(VLOOKUP($C334,Assumptions!$A$4:$F$7,3,FALSE),0)*Assumptions!$B$11</f>
        <v/>
      </c>
      <c r="Z334" s="3">
        <f>N(N334)*IFERROR(VLOOKUP($C334,Assumptions!$A$4:$F$7,4,FALSE),0)</f>
        <v/>
      </c>
      <c r="AA334" s="3">
        <f>N(T334)*IFERROR(VLOOKUP($C334,Assumptions!$A$4:$F$7,5,FALSE),0)</f>
        <v/>
      </c>
      <c r="AB334" s="3">
        <f>N(U334)</f>
        <v/>
      </c>
      <c r="AC334" s="3">
        <f>SUM(W334:AB334)</f>
        <v/>
      </c>
      <c r="AD334" s="3">
        <f>N(AC334)*N(M334)/90</f>
        <v/>
      </c>
      <c r="AE334" s="3">
        <f>IFERROR(AD334-VLOOKUP($C334,Assumptions!$A$29:$C$32,3,FALSE),"")</f>
        <v/>
      </c>
      <c r="AF334" s="3">
        <f>IFERROR(AE334/F334,"")</f>
        <v/>
      </c>
      <c r="AG334">
        <f>IF(AND($E334=TRUE,$C334="GKP"),AD334,"")</f>
        <v/>
      </c>
      <c r="AH334">
        <f>IF(AND($E334=TRUE,$C334="DEF"),AD334,"")</f>
        <v/>
      </c>
      <c r="AI334">
        <f>IF(AND($E334=TRUE,$C334="MID"),AD334,"")</f>
        <v/>
      </c>
      <c r="AJ334">
        <f>IF(AND($E334=TRUE,$C334="FWD"),AD334,"")</f>
        <v/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b">
        <v>1</v>
      </c>
      <c r="F335" s="2" t="n">
        <v>5</v>
      </c>
      <c r="G335" t="inlineStr">
        <is>
          <t>a</t>
        </is>
      </c>
      <c r="I335" s="2" t="n">
        <v>399</v>
      </c>
      <c r="J335" t="n">
        <v>14</v>
      </c>
      <c r="K335" s="3" t="n">
        <v>52</v>
      </c>
      <c r="L335" t="inlineStr">
        <is>
          <t>flat</t>
        </is>
      </c>
      <c r="M335" s="4" t="n">
        <v>399</v>
      </c>
      <c r="N335" s="4" t="n">
        <v>0.29</v>
      </c>
      <c r="O335" s="3" t="n">
        <v>0.1791</v>
      </c>
      <c r="P335" t="inlineStr">
        <is>
          <t>adjusted xGOT</t>
        </is>
      </c>
      <c r="Q335" s="3" t="n">
        <v>0.913</v>
      </c>
      <c r="R335" s="3" t="n">
        <v>0.9</v>
      </c>
      <c r="S335" s="3" t="n">
        <v>0.0561</v>
      </c>
      <c r="T335" s="3" t="n">
        <v>0</v>
      </c>
      <c r="U335" s="3" t="n">
        <v>0</v>
      </c>
      <c r="V335" s="3" t="n">
        <v>3.383</v>
      </c>
      <c r="W335" s="3">
        <f>IF(V335="",IFERROR(VLOOKUP($C335,Assumptions!$A$4:$F$7,6,FALSE),0),V335)</f>
        <v/>
      </c>
      <c r="X335" s="3">
        <f>N(O335)*IFERROR(VLOOKUP($C335,Assumptions!$A$4:$F$7,2,FALSE),0)</f>
        <v/>
      </c>
      <c r="Y335" s="3">
        <f>N(S335)*IFERROR(VLOOKUP($C335,Assumptions!$A$4:$F$7,3,FALSE),0)*Assumptions!$B$11</f>
        <v/>
      </c>
      <c r="Z335" s="3">
        <f>N(N335)*IFERROR(VLOOKUP($C335,Assumptions!$A$4:$F$7,4,FALSE),0)</f>
        <v/>
      </c>
      <c r="AA335" s="3">
        <f>N(T335)*IFERROR(VLOOKUP($C335,Assumptions!$A$4:$F$7,5,FALSE),0)</f>
        <v/>
      </c>
      <c r="AB335" s="3">
        <f>N(U335)</f>
        <v/>
      </c>
      <c r="AC335" s="3">
        <f>SUM(W335:AB335)</f>
        <v/>
      </c>
      <c r="AD335" s="3">
        <f>N(AC335)*N(M335)/90</f>
        <v/>
      </c>
      <c r="AE335" s="3">
        <f>IFERROR(AD335-VLOOKUP($C335,Assumptions!$A$29:$C$32,3,FALSE),"")</f>
        <v/>
      </c>
      <c r="AF335" s="3">
        <f>IFERROR(AE335/F335,"")</f>
        <v/>
      </c>
      <c r="AG335">
        <f>IF(AND($E335=TRUE,$C335="GKP"),AD335,"")</f>
        <v/>
      </c>
      <c r="AH335">
        <f>IF(AND($E335=TRUE,$C335="DEF"),AD335,"")</f>
        <v/>
      </c>
      <c r="AI335">
        <f>IF(AND($E335=TRUE,$C335="MID"),AD335,"")</f>
        <v/>
      </c>
      <c r="AJ335">
        <f>IF(AND($E335=TRUE,$C335="FWD"),AD335,"")</f>
        <v/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b">
        <v>1</v>
      </c>
      <c r="F336" s="2" t="n">
        <v>4.5</v>
      </c>
      <c r="G336" t="inlineStr">
        <is>
          <t>a</t>
        </is>
      </c>
      <c r="I336" s="2" t="n">
        <v>318</v>
      </c>
      <c r="J336" t="n">
        <v>14</v>
      </c>
      <c r="K336" s="3" t="n">
        <v>0</v>
      </c>
      <c r="L336" t="inlineStr">
        <is>
          <t>flat</t>
        </is>
      </c>
      <c r="M336" s="4" t="n">
        <v>318</v>
      </c>
      <c r="N336" s="4" t="n">
        <v>0.263</v>
      </c>
      <c r="O336" s="3" t="n">
        <v>0.0028</v>
      </c>
      <c r="P336" t="inlineStr">
        <is>
          <t>adjusted xGOT</t>
        </is>
      </c>
      <c r="Q336" s="3" t="n">
        <v>1.034</v>
      </c>
      <c r="R336" s="3" t="n">
        <v>5.8</v>
      </c>
      <c r="S336" s="3" t="n">
        <v>0.008500000000000001</v>
      </c>
      <c r="T336" s="3" t="n">
        <v>0.5</v>
      </c>
      <c r="U336" s="3" t="n">
        <v>0.5659999999999999</v>
      </c>
      <c r="V336" s="3" t="n">
        <v>2.264</v>
      </c>
      <c r="W336" s="3">
        <f>IF(V336="",IFERROR(VLOOKUP($C336,Assumptions!$A$4:$F$7,6,FALSE),0),V336)</f>
        <v/>
      </c>
      <c r="X336" s="3">
        <f>N(O336)*IFERROR(VLOOKUP($C336,Assumptions!$A$4:$F$7,2,FALSE),0)</f>
        <v/>
      </c>
      <c r="Y336" s="3">
        <f>N(S336)*IFERROR(VLOOKUP($C336,Assumptions!$A$4:$F$7,3,FALSE),0)*Assumptions!$B$11</f>
        <v/>
      </c>
      <c r="Z336" s="3">
        <f>N(N336)*IFERROR(VLOOKUP($C336,Assumptions!$A$4:$F$7,4,FALSE),0)</f>
        <v/>
      </c>
      <c r="AA336" s="3">
        <f>N(T336)*IFERROR(VLOOKUP($C336,Assumptions!$A$4:$F$7,5,FALSE),0)</f>
        <v/>
      </c>
      <c r="AB336" s="3">
        <f>N(U336)</f>
        <v/>
      </c>
      <c r="AC336" s="3">
        <f>SUM(W336:AB336)</f>
        <v/>
      </c>
      <c r="AD336" s="3">
        <f>N(AC336)*N(M336)/90</f>
        <v/>
      </c>
      <c r="AE336" s="3">
        <f>IFERROR(AD336-VLOOKUP($C336,Assumptions!$A$29:$C$32,3,FALSE),"")</f>
        <v/>
      </c>
      <c r="AF336" s="3">
        <f>IFERROR(AE336/F336,"")</f>
        <v/>
      </c>
      <c r="AG336">
        <f>IF(AND($E336=TRUE,$C336="GKP"),AD336,"")</f>
        <v/>
      </c>
      <c r="AH336">
        <f>IF(AND($E336=TRUE,$C336="DEF"),AD336,"")</f>
        <v/>
      </c>
      <c r="AI336">
        <f>IF(AND($E336=TRUE,$C336="MID"),AD336,"")</f>
        <v/>
      </c>
      <c r="AJ336">
        <f>IF(AND($E336=TRUE,$C336="FWD"),AD336,"")</f>
        <v/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b">
        <v>1</v>
      </c>
      <c r="F337" s="2" t="n">
        <v>5</v>
      </c>
      <c r="G337" t="inlineStr">
        <is>
          <t>a</t>
        </is>
      </c>
      <c r="I337" s="2" t="n">
        <v>265</v>
      </c>
      <c r="J337" t="n">
        <v>13</v>
      </c>
      <c r="K337" s="3" t="n">
        <v>0</v>
      </c>
      <c r="L337" t="inlineStr">
        <is>
          <t>flat</t>
        </is>
      </c>
      <c r="M337" s="4" t="n">
        <v>265</v>
      </c>
      <c r="N337" s="4" t="n">
        <v>0.237</v>
      </c>
      <c r="O337" s="3" t="n">
        <v>0.4442</v>
      </c>
      <c r="P337" t="inlineStr">
        <is>
          <t>adjusted xGOT</t>
        </is>
      </c>
      <c r="Q337" s="3" t="n">
        <v>0.849</v>
      </c>
      <c r="R337" s="3" t="n">
        <v>1.5</v>
      </c>
      <c r="S337" s="3" t="n">
        <v>0.1781</v>
      </c>
      <c r="T337" s="3" t="n">
        <v>0</v>
      </c>
      <c r="U337" s="3" t="n">
        <v>0</v>
      </c>
      <c r="V337" s="3" t="n">
        <v>3.736</v>
      </c>
      <c r="W337" s="3">
        <f>IF(V337="",IFERROR(VLOOKUP($C337,Assumptions!$A$4:$F$7,6,FALSE),0),V337)</f>
        <v/>
      </c>
      <c r="X337" s="3">
        <f>N(O337)*IFERROR(VLOOKUP($C337,Assumptions!$A$4:$F$7,2,FALSE),0)</f>
        <v/>
      </c>
      <c r="Y337" s="3">
        <f>N(S337)*IFERROR(VLOOKUP($C337,Assumptions!$A$4:$F$7,3,FALSE),0)*Assumptions!$B$11</f>
        <v/>
      </c>
      <c r="Z337" s="3">
        <f>N(N337)*IFERROR(VLOOKUP($C337,Assumptions!$A$4:$F$7,4,FALSE),0)</f>
        <v/>
      </c>
      <c r="AA337" s="3">
        <f>N(T337)*IFERROR(VLOOKUP($C337,Assumptions!$A$4:$F$7,5,FALSE),0)</f>
        <v/>
      </c>
      <c r="AB337" s="3">
        <f>N(U337)</f>
        <v/>
      </c>
      <c r="AC337" s="3">
        <f>SUM(W337:AB337)</f>
        <v/>
      </c>
      <c r="AD337" s="3">
        <f>N(AC337)*N(M337)/90</f>
        <v/>
      </c>
      <c r="AE337" s="3">
        <f>IFERROR(AD337-VLOOKUP($C337,Assumptions!$A$29:$C$32,3,FALSE),"")</f>
        <v/>
      </c>
      <c r="AF337" s="3">
        <f>IFERROR(AE337/F337,"")</f>
        <v/>
      </c>
      <c r="AG337">
        <f>IF(AND($E337=TRUE,$C337="GKP"),AD337,"")</f>
        <v/>
      </c>
      <c r="AH337">
        <f>IF(AND($E337=TRUE,$C337="DEF"),AD337,"")</f>
        <v/>
      </c>
      <c r="AI337">
        <f>IF(AND($E337=TRUE,$C337="MID"),AD337,"")</f>
        <v/>
      </c>
      <c r="AJ337">
        <f>IF(AND($E337=TRUE,$C337="FWD"),AD337,"")</f>
        <v/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b">
        <v>1</v>
      </c>
      <c r="F338" s="2" t="n">
        <v>4.5</v>
      </c>
      <c r="G338" t="inlineStr">
        <is>
          <t>a</t>
        </is>
      </c>
      <c r="I338" s="2" t="n">
        <v>514</v>
      </c>
      <c r="J338" t="n">
        <v>13</v>
      </c>
      <c r="K338" s="3" t="n">
        <v>249</v>
      </c>
      <c r="L338" t="inlineStr">
        <is>
          <t>flat</t>
        </is>
      </c>
      <c r="M338" s="4" t="n">
        <v>514</v>
      </c>
      <c r="N338" s="4" t="n">
        <v>0.237</v>
      </c>
      <c r="O338" s="3" t="n">
        <v>0.0462</v>
      </c>
      <c r="P338" t="inlineStr">
        <is>
          <t>adjusted xGOT</t>
        </is>
      </c>
      <c r="Q338" s="3" t="n">
        <v>0.979</v>
      </c>
      <c r="R338" s="3" t="n">
        <v>0.3</v>
      </c>
      <c r="S338" s="3" t="n">
        <v>0.0122</v>
      </c>
      <c r="T338" s="3" t="n">
        <v>0.167</v>
      </c>
      <c r="U338" s="3" t="n">
        <v>0</v>
      </c>
      <c r="V338" s="3" t="n">
        <v>2.276</v>
      </c>
      <c r="W338" s="3">
        <f>IF(V338="",IFERROR(VLOOKUP($C338,Assumptions!$A$4:$F$7,6,FALSE),0),V338)</f>
        <v/>
      </c>
      <c r="X338" s="3">
        <f>N(O338)*IFERROR(VLOOKUP($C338,Assumptions!$A$4:$F$7,2,FALSE),0)</f>
        <v/>
      </c>
      <c r="Y338" s="3">
        <f>N(S338)*IFERROR(VLOOKUP($C338,Assumptions!$A$4:$F$7,3,FALSE),0)*Assumptions!$B$11</f>
        <v/>
      </c>
      <c r="Z338" s="3">
        <f>N(N338)*IFERROR(VLOOKUP($C338,Assumptions!$A$4:$F$7,4,FALSE),0)</f>
        <v/>
      </c>
      <c r="AA338" s="3">
        <f>N(T338)*IFERROR(VLOOKUP($C338,Assumptions!$A$4:$F$7,5,FALSE),0)</f>
        <v/>
      </c>
      <c r="AB338" s="3">
        <f>N(U338)</f>
        <v/>
      </c>
      <c r="AC338" s="3">
        <f>SUM(W338:AB338)</f>
        <v/>
      </c>
      <c r="AD338" s="3">
        <f>N(AC338)*N(M338)/90</f>
        <v/>
      </c>
      <c r="AE338" s="3">
        <f>IFERROR(AD338-VLOOKUP($C338,Assumptions!$A$29:$C$32,3,FALSE),"")</f>
        <v/>
      </c>
      <c r="AF338" s="3">
        <f>IFERROR(AE338/F338,"")</f>
        <v/>
      </c>
      <c r="AG338">
        <f>IF(AND($E338=TRUE,$C338="GKP"),AD338,"")</f>
        <v/>
      </c>
      <c r="AH338">
        <f>IF(AND($E338=TRUE,$C338="DEF"),AD338,"")</f>
        <v/>
      </c>
      <c r="AI338">
        <f>IF(AND($E338=TRUE,$C338="MID"),AD338,"")</f>
        <v/>
      </c>
      <c r="AJ338">
        <f>IF(AND($E338=TRUE,$C338="FWD"),AD338,"")</f>
        <v/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b">
        <v>1</v>
      </c>
      <c r="F339" s="2" t="n">
        <v>5</v>
      </c>
      <c r="G339" t="inlineStr">
        <is>
          <t>a</t>
        </is>
      </c>
      <c r="I339" s="2" t="n">
        <v>374</v>
      </c>
      <c r="J339" t="n">
        <v>13</v>
      </c>
      <c r="K339" s="3" t="n">
        <v>128</v>
      </c>
      <c r="L339" t="inlineStr">
        <is>
          <t>flat</t>
        </is>
      </c>
      <c r="M339" s="4" t="n">
        <v>374</v>
      </c>
      <c r="N339" s="4" t="n">
        <v>0.237</v>
      </c>
      <c r="O339" s="3" t="n">
        <v>0.0484</v>
      </c>
      <c r="P339" t="inlineStr">
        <is>
          <t>adjusted xGOT</t>
        </is>
      </c>
      <c r="Q339" s="3" t="n">
        <v>0.957</v>
      </c>
      <c r="R339" s="3" t="n">
        <v>0.9</v>
      </c>
      <c r="S339" s="3" t="n">
        <v>0.1161</v>
      </c>
      <c r="T339" s="3" t="n">
        <v>0</v>
      </c>
      <c r="U339" s="3" t="n">
        <v>0</v>
      </c>
      <c r="V339" s="3" t="n">
        <v>3.128</v>
      </c>
      <c r="W339" s="3">
        <f>IF(V339="",IFERROR(VLOOKUP($C339,Assumptions!$A$4:$F$7,6,FALSE),0),V339)</f>
        <v/>
      </c>
      <c r="X339" s="3">
        <f>N(O339)*IFERROR(VLOOKUP($C339,Assumptions!$A$4:$F$7,2,FALSE),0)</f>
        <v/>
      </c>
      <c r="Y339" s="3">
        <f>N(S339)*IFERROR(VLOOKUP($C339,Assumptions!$A$4:$F$7,3,FALSE),0)*Assumptions!$B$11</f>
        <v/>
      </c>
      <c r="Z339" s="3">
        <f>N(N339)*IFERROR(VLOOKUP($C339,Assumptions!$A$4:$F$7,4,FALSE),0)</f>
        <v/>
      </c>
      <c r="AA339" s="3">
        <f>N(T339)*IFERROR(VLOOKUP($C339,Assumptions!$A$4:$F$7,5,FALSE),0)</f>
        <v/>
      </c>
      <c r="AB339" s="3">
        <f>N(U339)</f>
        <v/>
      </c>
      <c r="AC339" s="3">
        <f>SUM(W339:AB339)</f>
        <v/>
      </c>
      <c r="AD339" s="3">
        <f>N(AC339)*N(M339)/90</f>
        <v/>
      </c>
      <c r="AE339" s="3">
        <f>IFERROR(AD339-VLOOKUP($C339,Assumptions!$A$29:$C$32,3,FALSE),"")</f>
        <v/>
      </c>
      <c r="AF339" s="3">
        <f>IFERROR(AE339/F339,"")</f>
        <v/>
      </c>
      <c r="AG339">
        <f>IF(AND($E339=TRUE,$C339="GKP"),AD339,"")</f>
        <v/>
      </c>
      <c r="AH339">
        <f>IF(AND($E339=TRUE,$C339="DEF"),AD339,"")</f>
        <v/>
      </c>
      <c r="AI339">
        <f>IF(AND($E339=TRUE,$C339="MID"),AD339,"")</f>
        <v/>
      </c>
      <c r="AJ339">
        <f>IF(AND($E339=TRUE,$C339="FWD"),AD339,"")</f>
        <v/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b">
        <v>1</v>
      </c>
      <c r="F340" s="2" t="n">
        <v>5</v>
      </c>
      <c r="G340" t="inlineStr">
        <is>
          <t>a</t>
        </is>
      </c>
      <c r="I340" s="2" t="n">
        <v>401</v>
      </c>
      <c r="J340" t="n">
        <v>13</v>
      </c>
      <c r="K340" s="3" t="n">
        <v>648</v>
      </c>
      <c r="L340" t="inlineStr">
        <is>
          <t>flat</t>
        </is>
      </c>
      <c r="M340" s="4" t="n">
        <v>401</v>
      </c>
      <c r="N340" s="4" t="n">
        <v>0.29</v>
      </c>
      <c r="O340" s="3" t="n">
        <v>0.1674</v>
      </c>
      <c r="P340" t="inlineStr">
        <is>
          <t>adjusted xGOT</t>
        </is>
      </c>
      <c r="Q340" s="3" t="n">
        <v>0.969</v>
      </c>
      <c r="R340" s="3" t="n">
        <v>0.8</v>
      </c>
      <c r="S340" s="3" t="n">
        <v>0.0194</v>
      </c>
      <c r="T340" s="3" t="n">
        <v>0</v>
      </c>
      <c r="U340" s="3" t="n">
        <v>0</v>
      </c>
      <c r="V340" s="3" t="n">
        <v>2.918</v>
      </c>
      <c r="W340" s="3">
        <f>IF(V340="",IFERROR(VLOOKUP($C340,Assumptions!$A$4:$F$7,6,FALSE),0),V340)</f>
        <v/>
      </c>
      <c r="X340" s="3">
        <f>N(O340)*IFERROR(VLOOKUP($C340,Assumptions!$A$4:$F$7,2,FALSE),0)</f>
        <v/>
      </c>
      <c r="Y340" s="3">
        <f>N(S340)*IFERROR(VLOOKUP($C340,Assumptions!$A$4:$F$7,3,FALSE),0)*Assumptions!$B$11</f>
        <v/>
      </c>
      <c r="Z340" s="3">
        <f>N(N340)*IFERROR(VLOOKUP($C340,Assumptions!$A$4:$F$7,4,FALSE),0)</f>
        <v/>
      </c>
      <c r="AA340" s="3">
        <f>N(T340)*IFERROR(VLOOKUP($C340,Assumptions!$A$4:$F$7,5,FALSE),0)</f>
        <v/>
      </c>
      <c r="AB340" s="3">
        <f>N(U340)</f>
        <v/>
      </c>
      <c r="AC340" s="3">
        <f>SUM(W340:AB340)</f>
        <v/>
      </c>
      <c r="AD340" s="3">
        <f>N(AC340)*N(M340)/90</f>
        <v/>
      </c>
      <c r="AE340" s="3">
        <f>IFERROR(AD340-VLOOKUP($C340,Assumptions!$A$29:$C$32,3,FALSE),"")</f>
        <v/>
      </c>
      <c r="AF340" s="3">
        <f>IFERROR(AE340/F340,"")</f>
        <v/>
      </c>
      <c r="AG340">
        <f>IF(AND($E340=TRUE,$C340="GKP"),AD340,"")</f>
        <v/>
      </c>
      <c r="AH340">
        <f>IF(AND($E340=TRUE,$C340="DEF"),AD340,"")</f>
        <v/>
      </c>
      <c r="AI340">
        <f>IF(AND($E340=TRUE,$C340="MID"),AD340,"")</f>
        <v/>
      </c>
      <c r="AJ340">
        <f>IF(AND($E340=TRUE,$C340="FWD"),AD340,"")</f>
        <v/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b">
        <v>1</v>
      </c>
      <c r="F341" s="2" t="n">
        <v>5</v>
      </c>
      <c r="G341" t="inlineStr">
        <is>
          <t>a</t>
        </is>
      </c>
      <c r="I341" s="2" t="n">
        <v>100</v>
      </c>
      <c r="J341" t="n">
        <v>13</v>
      </c>
      <c r="K341" s="3" t="n">
        <v>10</v>
      </c>
      <c r="L341" t="inlineStr">
        <is>
          <t>flat</t>
        </is>
      </c>
      <c r="M341" s="4" t="n">
        <v>100</v>
      </c>
      <c r="N341" s="4" t="n">
        <v>0.263</v>
      </c>
      <c r="O341" s="3" t="n">
        <v>0.63</v>
      </c>
      <c r="P341" t="inlineStr">
        <is>
          <t>adjusted xGOT</t>
        </is>
      </c>
      <c r="Q341" s="3" t="n">
        <v>1</v>
      </c>
      <c r="R341" s="3" t="n">
        <v>4.3</v>
      </c>
      <c r="S341" s="3" t="n">
        <v>0.0135</v>
      </c>
      <c r="T341" s="3" t="n">
        <v>0</v>
      </c>
      <c r="U341" s="3" t="n">
        <v>0.9</v>
      </c>
      <c r="V341" s="3" t="n">
        <v>6.3</v>
      </c>
      <c r="W341" s="3">
        <f>IF(V341="",IFERROR(VLOOKUP($C341,Assumptions!$A$4:$F$7,6,FALSE),0),V341)</f>
        <v/>
      </c>
      <c r="X341" s="3">
        <f>N(O341)*IFERROR(VLOOKUP($C341,Assumptions!$A$4:$F$7,2,FALSE),0)</f>
        <v/>
      </c>
      <c r="Y341" s="3">
        <f>N(S341)*IFERROR(VLOOKUP($C341,Assumptions!$A$4:$F$7,3,FALSE),0)*Assumptions!$B$11</f>
        <v/>
      </c>
      <c r="Z341" s="3">
        <f>N(N341)*IFERROR(VLOOKUP($C341,Assumptions!$A$4:$F$7,4,FALSE),0)</f>
        <v/>
      </c>
      <c r="AA341" s="3">
        <f>N(T341)*IFERROR(VLOOKUP($C341,Assumptions!$A$4:$F$7,5,FALSE),0)</f>
        <v/>
      </c>
      <c r="AB341" s="3">
        <f>N(U341)</f>
        <v/>
      </c>
      <c r="AC341" s="3">
        <f>SUM(W341:AB341)</f>
        <v/>
      </c>
      <c r="AD341" s="3">
        <f>N(AC341)*N(M341)/90</f>
        <v/>
      </c>
      <c r="AE341" s="3">
        <f>IFERROR(AD341-VLOOKUP($C341,Assumptions!$A$29:$C$32,3,FALSE),"")</f>
        <v/>
      </c>
      <c r="AF341" s="3">
        <f>IFERROR(AE341/F341,"")</f>
        <v/>
      </c>
      <c r="AG341">
        <f>IF(AND($E341=TRUE,$C341="GKP"),AD341,"")</f>
        <v/>
      </c>
      <c r="AH341">
        <f>IF(AND($E341=TRUE,$C341="DEF"),AD341,"")</f>
        <v/>
      </c>
      <c r="AI341">
        <f>IF(AND($E341=TRUE,$C341="MID"),AD341,"")</f>
        <v/>
      </c>
      <c r="AJ341">
        <f>IF(AND($E341=TRUE,$C341="FWD"),AD341,"")</f>
        <v/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b">
        <v>1</v>
      </c>
      <c r="F342" s="2" t="n">
        <v>5.5</v>
      </c>
      <c r="G342" t="inlineStr">
        <is>
          <t>a</t>
        </is>
      </c>
      <c r="I342" s="2" t="n">
        <v>118</v>
      </c>
      <c r="J342" t="n">
        <v>13</v>
      </c>
      <c r="K342" s="3" t="n">
        <v>0</v>
      </c>
      <c r="L342" t="inlineStr">
        <is>
          <t>flat</t>
        </is>
      </c>
      <c r="M342" s="4" t="n">
        <v>118</v>
      </c>
      <c r="N342" s="4" t="n">
        <v>0.5</v>
      </c>
      <c r="O342" s="3" t="n">
        <v>0.6079</v>
      </c>
      <c r="P342" t="inlineStr">
        <is>
          <t>adjusted xGOT</t>
        </is>
      </c>
      <c r="Q342" s="3" t="n">
        <v>1.122</v>
      </c>
      <c r="R342" s="3" t="n">
        <v>3</v>
      </c>
      <c r="S342" s="3" t="n">
        <v>0.0645</v>
      </c>
      <c r="T342" s="3" t="n"/>
      <c r="U342" s="3" t="n">
        <v>0</v>
      </c>
      <c r="V342" s="3" t="n">
        <v>7.627</v>
      </c>
      <c r="W342" s="3">
        <f>IF(V342="",IFERROR(VLOOKUP($C342,Assumptions!$A$4:$F$7,6,FALSE),0),V342)</f>
        <v/>
      </c>
      <c r="X342" s="3">
        <f>N(O342)*IFERROR(VLOOKUP($C342,Assumptions!$A$4:$F$7,2,FALSE),0)</f>
        <v/>
      </c>
      <c r="Y342" s="3">
        <f>N(S342)*IFERROR(VLOOKUP($C342,Assumptions!$A$4:$F$7,3,FALSE),0)*Assumptions!$B$11</f>
        <v/>
      </c>
      <c r="Z342" s="3">
        <f>N(N342)*IFERROR(VLOOKUP($C342,Assumptions!$A$4:$F$7,4,FALSE),0)</f>
        <v/>
      </c>
      <c r="AA342" s="3">
        <f>N(T342)*IFERROR(VLOOKUP($C342,Assumptions!$A$4:$F$7,5,FALSE),0)</f>
        <v/>
      </c>
      <c r="AB342" s="3">
        <f>N(U342)</f>
        <v/>
      </c>
      <c r="AC342" s="3">
        <f>SUM(W342:AB342)</f>
        <v/>
      </c>
      <c r="AD342" s="3">
        <f>N(AC342)*N(M342)/90</f>
        <v/>
      </c>
      <c r="AE342" s="3">
        <f>IFERROR(AD342-VLOOKUP($C342,Assumptions!$A$29:$C$32,3,FALSE),"")</f>
        <v/>
      </c>
      <c r="AF342" s="3">
        <f>IFERROR(AE342/F342,"")</f>
        <v/>
      </c>
      <c r="AG342">
        <f>IF(AND($E342=TRUE,$C342="GKP"),AD342,"")</f>
        <v/>
      </c>
      <c r="AH342">
        <f>IF(AND($E342=TRUE,$C342="DEF"),AD342,"")</f>
        <v/>
      </c>
      <c r="AI342">
        <f>IF(AND($E342=TRUE,$C342="MID"),AD342,"")</f>
        <v/>
      </c>
      <c r="AJ342">
        <f>IF(AND($E342=TRUE,$C342="FWD"),AD342,"")</f>
        <v/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b">
        <v>1</v>
      </c>
      <c r="F343" s="2" t="n">
        <v>5</v>
      </c>
      <c r="G343" t="inlineStr">
        <is>
          <t>a</t>
        </is>
      </c>
      <c r="I343" s="2" t="n">
        <v>360</v>
      </c>
      <c r="J343" t="n">
        <v>13</v>
      </c>
      <c r="K343" s="3" t="n">
        <v>3385</v>
      </c>
      <c r="L343" t="inlineStr">
        <is>
          <t>flat</t>
        </is>
      </c>
      <c r="M343" s="4" t="n">
        <v>360</v>
      </c>
      <c r="N343" s="4" t="n">
        <v>0.21</v>
      </c>
      <c r="O343" s="3" t="n">
        <v>0</v>
      </c>
      <c r="P343" t="inlineStr">
        <is>
          <t>blended xG</t>
        </is>
      </c>
      <c r="Q343" s="3" t="n">
        <v>1</v>
      </c>
      <c r="R343" s="3" t="n">
        <v>0</v>
      </c>
      <c r="S343" s="3" t="n">
        <v>0</v>
      </c>
      <c r="T343" s="3" t="n">
        <v>0</v>
      </c>
      <c r="U343" s="3" t="n">
        <v>0</v>
      </c>
      <c r="V343" s="3" t="n">
        <v>2</v>
      </c>
      <c r="W343" s="3">
        <f>IF(V343="",IFERROR(VLOOKUP($C343,Assumptions!$A$4:$F$7,6,FALSE),0),V343)</f>
        <v/>
      </c>
      <c r="X343" s="3">
        <f>N(O343)*IFERROR(VLOOKUP($C343,Assumptions!$A$4:$F$7,2,FALSE),0)</f>
        <v/>
      </c>
      <c r="Y343" s="3">
        <f>N(S343)*IFERROR(VLOOKUP($C343,Assumptions!$A$4:$F$7,3,FALSE),0)*Assumptions!$B$11</f>
        <v/>
      </c>
      <c r="Z343" s="3">
        <f>N(N343)*IFERROR(VLOOKUP($C343,Assumptions!$A$4:$F$7,4,FALSE),0)</f>
        <v/>
      </c>
      <c r="AA343" s="3">
        <f>N(T343)*IFERROR(VLOOKUP($C343,Assumptions!$A$4:$F$7,5,FALSE),0)</f>
        <v/>
      </c>
      <c r="AB343" s="3">
        <f>N(U343)</f>
        <v/>
      </c>
      <c r="AC343" s="3">
        <f>SUM(W343:AB343)</f>
        <v/>
      </c>
      <c r="AD343" s="3">
        <f>N(AC343)*N(M343)/90</f>
        <v/>
      </c>
      <c r="AE343" s="3">
        <f>IFERROR(AD343-VLOOKUP($C343,Assumptions!$A$29:$C$32,3,FALSE),"")</f>
        <v/>
      </c>
      <c r="AF343" s="3">
        <f>IFERROR(AE343/F343,"")</f>
        <v/>
      </c>
      <c r="AG343">
        <f>IF(AND($E343=TRUE,$C343="GKP"),AD343,"")</f>
        <v/>
      </c>
      <c r="AH343">
        <f>IF(AND($E343=TRUE,$C343="DEF"),AD343,"")</f>
        <v/>
      </c>
      <c r="AI343">
        <f>IF(AND($E343=TRUE,$C343="MID"),AD343,"")</f>
        <v/>
      </c>
      <c r="AJ343">
        <f>IF(AND($E343=TRUE,$C343="FWD"),AD343,"")</f>
        <v/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b">
        <v>1</v>
      </c>
      <c r="F344" s="2" t="n">
        <v>5</v>
      </c>
      <c r="G344" t="inlineStr">
        <is>
          <t>u</t>
        </is>
      </c>
      <c r="H344" t="inlineStr">
        <is>
          <t>Has joined New England Revolution permanently</t>
        </is>
      </c>
      <c r="I344" s="2" t="n">
        <v>262</v>
      </c>
      <c r="J344" t="n">
        <v>12</v>
      </c>
      <c r="K344" s="3" t="n"/>
      <c r="M344" s="4" t="n">
        <v>262</v>
      </c>
      <c r="N344" s="4" t="n">
        <v>0.21</v>
      </c>
      <c r="O344" s="3" t="n">
        <v>0.0814</v>
      </c>
      <c r="P344" t="inlineStr">
        <is>
          <t>adjusted xGOT</t>
        </is>
      </c>
      <c r="Q344" s="3" t="n">
        <v>0.845</v>
      </c>
      <c r="R344" s="3" t="n">
        <v>12.9</v>
      </c>
      <c r="S344" s="3" t="n">
        <v>0.09760000000000001</v>
      </c>
      <c r="T344" s="3" t="n">
        <v>0</v>
      </c>
      <c r="U344" s="3" t="n">
        <v>0</v>
      </c>
      <c r="V344" s="3" t="n">
        <v>4.122</v>
      </c>
      <c r="W344" s="3">
        <f>IF(V344="",IFERROR(VLOOKUP($C344,Assumptions!$A$4:$F$7,6,FALSE),0),V344)</f>
        <v/>
      </c>
      <c r="X344" s="3">
        <f>N(O344)*IFERROR(VLOOKUP($C344,Assumptions!$A$4:$F$7,2,FALSE),0)</f>
        <v/>
      </c>
      <c r="Y344" s="3">
        <f>N(S344)*IFERROR(VLOOKUP($C344,Assumptions!$A$4:$F$7,3,FALSE),0)*Assumptions!$B$11</f>
        <v/>
      </c>
      <c r="Z344" s="3">
        <f>N(N344)*IFERROR(VLOOKUP($C344,Assumptions!$A$4:$F$7,4,FALSE),0)</f>
        <v/>
      </c>
      <c r="AA344" s="3">
        <f>N(T344)*IFERROR(VLOOKUP($C344,Assumptions!$A$4:$F$7,5,FALSE),0)</f>
        <v/>
      </c>
      <c r="AB344" s="3">
        <f>N(U344)</f>
        <v/>
      </c>
      <c r="AC344" s="3">
        <f>SUM(W344:AB344)</f>
        <v/>
      </c>
      <c r="AD344" s="3">
        <f>N(AC344)*N(M344)/90</f>
        <v/>
      </c>
      <c r="AE344" s="3">
        <f>IFERROR(AD344-VLOOKUP($C344,Assumptions!$A$29:$C$32,3,FALSE),"")</f>
        <v/>
      </c>
      <c r="AF344" s="3">
        <f>IFERROR(AE344/F344,"")</f>
        <v/>
      </c>
      <c r="AG344">
        <f>IF(AND($E344=TRUE,$C344="GKP"),AD344,"")</f>
        <v/>
      </c>
      <c r="AH344">
        <f>IF(AND($E344=TRUE,$C344="DEF"),AD344,"")</f>
        <v/>
      </c>
      <c r="AI344">
        <f>IF(AND($E344=TRUE,$C344="MID"),AD344,"")</f>
        <v/>
      </c>
      <c r="AJ344">
        <f>IF(AND($E344=TRUE,$C344="FWD"),AD344,"")</f>
        <v/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b">
        <v>1</v>
      </c>
      <c r="F345" s="2" t="n">
        <v>5</v>
      </c>
      <c r="G345" t="inlineStr">
        <is>
          <t>a</t>
        </is>
      </c>
      <c r="I345" s="2" t="n">
        <v>170</v>
      </c>
      <c r="J345" t="n">
        <v>12</v>
      </c>
      <c r="K345" s="3" t="n">
        <v>76</v>
      </c>
      <c r="L345" t="inlineStr">
        <is>
          <t>flat</t>
        </is>
      </c>
      <c r="M345" s="4" t="n">
        <v>170</v>
      </c>
      <c r="N345" s="4" t="n">
        <v>0.263</v>
      </c>
      <c r="O345" s="3" t="n">
        <v>0.0222</v>
      </c>
      <c r="P345" t="inlineStr">
        <is>
          <t>adjusted xGOT</t>
        </is>
      </c>
      <c r="Q345" s="3" t="n">
        <v>1.041</v>
      </c>
      <c r="R345" s="3" t="n">
        <v>0.6</v>
      </c>
      <c r="S345" s="3" t="n">
        <v>0.05</v>
      </c>
      <c r="T345" s="3" t="n">
        <v>0</v>
      </c>
      <c r="U345" s="3" t="n">
        <v>0</v>
      </c>
      <c r="V345" s="3" t="n">
        <v>4.765</v>
      </c>
      <c r="W345" s="3">
        <f>IF(V345="",IFERROR(VLOOKUP($C345,Assumptions!$A$4:$F$7,6,FALSE),0),V345)</f>
        <v/>
      </c>
      <c r="X345" s="3">
        <f>N(O345)*IFERROR(VLOOKUP($C345,Assumptions!$A$4:$F$7,2,FALSE),0)</f>
        <v/>
      </c>
      <c r="Y345" s="3">
        <f>N(S345)*IFERROR(VLOOKUP($C345,Assumptions!$A$4:$F$7,3,FALSE),0)*Assumptions!$B$11</f>
        <v/>
      </c>
      <c r="Z345" s="3">
        <f>N(N345)*IFERROR(VLOOKUP($C345,Assumptions!$A$4:$F$7,4,FALSE),0)</f>
        <v/>
      </c>
      <c r="AA345" s="3">
        <f>N(T345)*IFERROR(VLOOKUP($C345,Assumptions!$A$4:$F$7,5,FALSE),0)</f>
        <v/>
      </c>
      <c r="AB345" s="3">
        <f>N(U345)</f>
        <v/>
      </c>
      <c r="AC345" s="3">
        <f>SUM(W345:AB345)</f>
        <v/>
      </c>
      <c r="AD345" s="3">
        <f>N(AC345)*N(M345)/90</f>
        <v/>
      </c>
      <c r="AE345" s="3">
        <f>IFERROR(AD345-VLOOKUP($C345,Assumptions!$A$29:$C$32,3,FALSE),"")</f>
        <v/>
      </c>
      <c r="AF345" s="3">
        <f>IFERROR(AE345/F345,"")</f>
        <v/>
      </c>
      <c r="AG345">
        <f>IF(AND($E345=TRUE,$C345="GKP"),AD345,"")</f>
        <v/>
      </c>
      <c r="AH345">
        <f>IF(AND($E345=TRUE,$C345="DEF"),AD345,"")</f>
        <v/>
      </c>
      <c r="AI345">
        <f>IF(AND($E345=TRUE,$C345="MID"),AD345,"")</f>
        <v/>
      </c>
      <c r="AJ345">
        <f>IF(AND($E345=TRUE,$C345="FWD"),AD345,"")</f>
        <v/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b">
        <v>1</v>
      </c>
      <c r="F346" s="2" t="n">
        <v>5</v>
      </c>
      <c r="G346" t="inlineStr">
        <is>
          <t>a</t>
        </is>
      </c>
      <c r="I346" s="2" t="n">
        <v>88</v>
      </c>
      <c r="J346" t="n">
        <v>12</v>
      </c>
      <c r="K346" s="3" t="n">
        <v>480</v>
      </c>
      <c r="L346" t="inlineStr">
        <is>
          <t>flat</t>
        </is>
      </c>
      <c r="M346" s="4" t="n">
        <v>88</v>
      </c>
      <c r="N346" s="4" t="n"/>
      <c r="O346" s="3" t="n">
        <v>0</v>
      </c>
      <c r="P346" t="inlineStr">
        <is>
          <t>adjusted xGOT</t>
        </is>
      </c>
      <c r="Q346" s="3" t="n">
        <v>0.908</v>
      </c>
      <c r="R346" s="3" t="n">
        <v>3.1</v>
      </c>
      <c r="S346" s="3" t="n">
        <v>0.3736</v>
      </c>
      <c r="T346" s="3" t="n"/>
      <c r="U346" s="3" t="n">
        <v>0</v>
      </c>
      <c r="V346" s="3" t="n">
        <v>6.136</v>
      </c>
      <c r="W346" s="3">
        <f>IF(V346="",IFERROR(VLOOKUP($C346,Assumptions!$A$4:$F$7,6,FALSE),0),V346)</f>
        <v/>
      </c>
      <c r="X346" s="3">
        <f>N(O346)*IFERROR(VLOOKUP($C346,Assumptions!$A$4:$F$7,2,FALSE),0)</f>
        <v/>
      </c>
      <c r="Y346" s="3">
        <f>N(S346)*IFERROR(VLOOKUP($C346,Assumptions!$A$4:$F$7,3,FALSE),0)*Assumptions!$B$11</f>
        <v/>
      </c>
      <c r="Z346" s="3">
        <f>N(N346)*IFERROR(VLOOKUP($C346,Assumptions!$A$4:$F$7,4,FALSE),0)</f>
        <v/>
      </c>
      <c r="AA346" s="3">
        <f>N(T346)*IFERROR(VLOOKUP($C346,Assumptions!$A$4:$F$7,5,FALSE),0)</f>
        <v/>
      </c>
      <c r="AB346" s="3">
        <f>N(U346)</f>
        <v/>
      </c>
      <c r="AC346" s="3">
        <f>SUM(W346:AB346)</f>
        <v/>
      </c>
      <c r="AD346" s="3">
        <f>N(AC346)*N(M346)/90</f>
        <v/>
      </c>
      <c r="AE346" s="3">
        <f>IFERROR(AD346-VLOOKUP($C346,Assumptions!$A$29:$C$32,3,FALSE),"")</f>
        <v/>
      </c>
      <c r="AF346" s="3">
        <f>IFERROR(AE346/F346,"")</f>
        <v/>
      </c>
      <c r="AG346">
        <f>IF(AND($E346=TRUE,$C346="GKP"),AD346,"")</f>
        <v/>
      </c>
      <c r="AH346">
        <f>IF(AND($E346=TRUE,$C346="DEF"),AD346,"")</f>
        <v/>
      </c>
      <c r="AI346">
        <f>IF(AND($E346=TRUE,$C346="MID"),AD346,"")</f>
        <v/>
      </c>
      <c r="AJ346">
        <f>IF(AND($E346=TRUE,$C346="FWD"),AD346,"")</f>
        <v/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b">
        <v>1</v>
      </c>
      <c r="F347" s="2" t="n">
        <v>4.5</v>
      </c>
      <c r="G347" t="inlineStr">
        <is>
          <t>u</t>
        </is>
      </c>
      <c r="H347" t="inlineStr">
        <is>
          <t>Has joined Celta Vigo on loan for the rest of the season</t>
        </is>
      </c>
      <c r="I347" s="2" t="n">
        <v>540</v>
      </c>
      <c r="J347" t="n">
        <v>11</v>
      </c>
      <c r="K347" s="3" t="n"/>
      <c r="M347" s="4" t="n">
        <v>540</v>
      </c>
      <c r="N347" s="4" t="n">
        <v>0.21</v>
      </c>
      <c r="O347" s="3" t="n">
        <v>0</v>
      </c>
      <c r="P347" t="inlineStr">
        <is>
          <t>blended xG</t>
        </is>
      </c>
      <c r="Q347" s="3" t="n">
        <v>1</v>
      </c>
      <c r="R347" s="3" t="n">
        <v>0</v>
      </c>
      <c r="S347" s="3" t="n">
        <v>0.0287</v>
      </c>
      <c r="T347" s="3" t="n">
        <v>0</v>
      </c>
      <c r="U347" s="3" t="n">
        <v>0</v>
      </c>
      <c r="V347" s="3" t="n">
        <v>2</v>
      </c>
      <c r="W347" s="3">
        <f>IF(V347="",IFERROR(VLOOKUP($C347,Assumptions!$A$4:$F$7,6,FALSE),0),V347)</f>
        <v/>
      </c>
      <c r="X347" s="3">
        <f>N(O347)*IFERROR(VLOOKUP($C347,Assumptions!$A$4:$F$7,2,FALSE),0)</f>
        <v/>
      </c>
      <c r="Y347" s="3">
        <f>N(S347)*IFERROR(VLOOKUP($C347,Assumptions!$A$4:$F$7,3,FALSE),0)*Assumptions!$B$11</f>
        <v/>
      </c>
      <c r="Z347" s="3">
        <f>N(N347)*IFERROR(VLOOKUP($C347,Assumptions!$A$4:$F$7,4,FALSE),0)</f>
        <v/>
      </c>
      <c r="AA347" s="3">
        <f>N(T347)*IFERROR(VLOOKUP($C347,Assumptions!$A$4:$F$7,5,FALSE),0)</f>
        <v/>
      </c>
      <c r="AB347" s="3">
        <f>N(U347)</f>
        <v/>
      </c>
      <c r="AC347" s="3">
        <f>SUM(W347:AB347)</f>
        <v/>
      </c>
      <c r="AD347" s="3">
        <f>N(AC347)*N(M347)/90</f>
        <v/>
      </c>
      <c r="AE347" s="3">
        <f>IFERROR(AD347-VLOOKUP($C347,Assumptions!$A$29:$C$32,3,FALSE),"")</f>
        <v/>
      </c>
      <c r="AF347" s="3">
        <f>IFERROR(AE347/F347,"")</f>
        <v/>
      </c>
      <c r="AG347">
        <f>IF(AND($E347=TRUE,$C347="GKP"),AD347,"")</f>
        <v/>
      </c>
      <c r="AH347">
        <f>IF(AND($E347=TRUE,$C347="DEF"),AD347,"")</f>
        <v/>
      </c>
      <c r="AI347">
        <f>IF(AND($E347=TRUE,$C347="MID"),AD347,"")</f>
        <v/>
      </c>
      <c r="AJ347">
        <f>IF(AND($E347=TRUE,$C347="FWD"),AD347,"")</f>
        <v/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b">
        <v>1</v>
      </c>
      <c r="F348" s="2" t="n">
        <v>5</v>
      </c>
      <c r="G348" t="inlineStr">
        <is>
          <t>a</t>
        </is>
      </c>
      <c r="I348" s="2" t="n">
        <v>105</v>
      </c>
      <c r="J348" t="n">
        <v>11</v>
      </c>
      <c r="K348" s="3" t="n">
        <v>160</v>
      </c>
      <c r="L348" t="inlineStr">
        <is>
          <t>flat</t>
        </is>
      </c>
      <c r="M348" s="4" t="n">
        <v>105</v>
      </c>
      <c r="N348" s="4" t="n">
        <v>0.29</v>
      </c>
      <c r="O348" s="3" t="n">
        <v>0.2186</v>
      </c>
      <c r="P348" t="inlineStr">
        <is>
          <t>adjusted xGOT</t>
        </is>
      </c>
      <c r="Q348" s="3" t="n">
        <v>0.981</v>
      </c>
      <c r="R348" s="3" t="n">
        <v>0.3</v>
      </c>
      <c r="S348" s="3" t="n">
        <v>0.2516</v>
      </c>
      <c r="T348" s="3" t="n"/>
      <c r="U348" s="3" t="n">
        <v>0</v>
      </c>
      <c r="V348" s="3" t="n">
        <v>6.857</v>
      </c>
      <c r="W348" s="3">
        <f>IF(V348="",IFERROR(VLOOKUP($C348,Assumptions!$A$4:$F$7,6,FALSE),0),V348)</f>
        <v/>
      </c>
      <c r="X348" s="3">
        <f>N(O348)*IFERROR(VLOOKUP($C348,Assumptions!$A$4:$F$7,2,FALSE),0)</f>
        <v/>
      </c>
      <c r="Y348" s="3">
        <f>N(S348)*IFERROR(VLOOKUP($C348,Assumptions!$A$4:$F$7,3,FALSE),0)*Assumptions!$B$11</f>
        <v/>
      </c>
      <c r="Z348" s="3">
        <f>N(N348)*IFERROR(VLOOKUP($C348,Assumptions!$A$4:$F$7,4,FALSE),0)</f>
        <v/>
      </c>
      <c r="AA348" s="3">
        <f>N(T348)*IFERROR(VLOOKUP($C348,Assumptions!$A$4:$F$7,5,FALSE),0)</f>
        <v/>
      </c>
      <c r="AB348" s="3">
        <f>N(U348)</f>
        <v/>
      </c>
      <c r="AC348" s="3">
        <f>SUM(W348:AB348)</f>
        <v/>
      </c>
      <c r="AD348" s="3">
        <f>N(AC348)*N(M348)/90</f>
        <v/>
      </c>
      <c r="AE348" s="3">
        <f>IFERROR(AD348-VLOOKUP($C348,Assumptions!$A$29:$C$32,3,FALSE),"")</f>
        <v/>
      </c>
      <c r="AF348" s="3">
        <f>IFERROR(AE348/F348,"")</f>
        <v/>
      </c>
      <c r="AG348">
        <f>IF(AND($E348=TRUE,$C348="GKP"),AD348,"")</f>
        <v/>
      </c>
      <c r="AH348">
        <f>IF(AND($E348=TRUE,$C348="DEF"),AD348,"")</f>
        <v/>
      </c>
      <c r="AI348">
        <f>IF(AND($E348=TRUE,$C348="MID"),AD348,"")</f>
        <v/>
      </c>
      <c r="AJ348">
        <f>IF(AND($E348=TRUE,$C348="FWD"),AD348,"")</f>
        <v/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b">
        <v>1</v>
      </c>
      <c r="F349" s="2" t="n">
        <v>4.5</v>
      </c>
      <c r="G349" t="inlineStr">
        <is>
          <t>a</t>
        </is>
      </c>
      <c r="I349" s="2" t="n">
        <v>437</v>
      </c>
      <c r="J349" t="n">
        <v>11</v>
      </c>
      <c r="K349" s="3" t="n">
        <v>35</v>
      </c>
      <c r="L349" t="inlineStr">
        <is>
          <t>flat</t>
        </is>
      </c>
      <c r="M349" s="4" t="n">
        <v>437</v>
      </c>
      <c r="N349" s="4" t="n">
        <v>0.237</v>
      </c>
      <c r="O349" s="3" t="n">
        <v>0</v>
      </c>
      <c r="P349" t="inlineStr">
        <is>
          <t>blended xG</t>
        </is>
      </c>
      <c r="Q349" s="3" t="n">
        <v>1</v>
      </c>
      <c r="R349" s="3" t="n">
        <v>0</v>
      </c>
      <c r="S349" s="3" t="n">
        <v>0</v>
      </c>
      <c r="T349" s="3" t="n">
        <v>0</v>
      </c>
      <c r="U349" s="3" t="n">
        <v>0</v>
      </c>
      <c r="V349" s="3" t="n">
        <v>2.059</v>
      </c>
      <c r="W349" s="3">
        <f>IF(V349="",IFERROR(VLOOKUP($C349,Assumptions!$A$4:$F$7,6,FALSE),0),V349)</f>
        <v/>
      </c>
      <c r="X349" s="3">
        <f>N(O349)*IFERROR(VLOOKUP($C349,Assumptions!$A$4:$F$7,2,FALSE),0)</f>
        <v/>
      </c>
      <c r="Y349" s="3">
        <f>N(S349)*IFERROR(VLOOKUP($C349,Assumptions!$A$4:$F$7,3,FALSE),0)*Assumptions!$B$11</f>
        <v/>
      </c>
      <c r="Z349" s="3">
        <f>N(N349)*IFERROR(VLOOKUP($C349,Assumptions!$A$4:$F$7,4,FALSE),0)</f>
        <v/>
      </c>
      <c r="AA349" s="3">
        <f>N(T349)*IFERROR(VLOOKUP($C349,Assumptions!$A$4:$F$7,5,FALSE),0)</f>
        <v/>
      </c>
      <c r="AB349" s="3">
        <f>N(U349)</f>
        <v/>
      </c>
      <c r="AC349" s="3">
        <f>SUM(W349:AB349)</f>
        <v/>
      </c>
      <c r="AD349" s="3">
        <f>N(AC349)*N(M349)/90</f>
        <v/>
      </c>
      <c r="AE349" s="3">
        <f>IFERROR(AD349-VLOOKUP($C349,Assumptions!$A$29:$C$32,3,FALSE),"")</f>
        <v/>
      </c>
      <c r="AF349" s="3">
        <f>IFERROR(AE349/F349,"")</f>
        <v/>
      </c>
      <c r="AG349">
        <f>IF(AND($E349=TRUE,$C349="GKP"),AD349,"")</f>
        <v/>
      </c>
      <c r="AH349">
        <f>IF(AND($E349=TRUE,$C349="DEF"),AD349,"")</f>
        <v/>
      </c>
      <c r="AI349">
        <f>IF(AND($E349=TRUE,$C349="MID"),AD349,"")</f>
        <v/>
      </c>
      <c r="AJ349">
        <f>IF(AND($E349=TRUE,$C349="FWD"),AD349,"")</f>
        <v/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b">
        <v>1</v>
      </c>
      <c r="F350" s="2" t="n">
        <v>4.5</v>
      </c>
      <c r="G350" t="inlineStr">
        <is>
          <t>a</t>
        </is>
      </c>
      <c r="I350" s="2" t="n">
        <v>353</v>
      </c>
      <c r="J350" t="n">
        <v>11</v>
      </c>
      <c r="K350" s="3" t="n">
        <v>115</v>
      </c>
      <c r="L350" t="inlineStr">
        <is>
          <t>flat</t>
        </is>
      </c>
      <c r="M350" s="4" t="n">
        <v>353</v>
      </c>
      <c r="N350" s="4" t="n">
        <v>0.237</v>
      </c>
      <c r="O350" s="3" t="n">
        <v>0</v>
      </c>
      <c r="P350" t="inlineStr">
        <is>
          <t>blended xG</t>
        </is>
      </c>
      <c r="Q350" s="3" t="n">
        <v>1</v>
      </c>
      <c r="R350" s="3" t="n">
        <v>0</v>
      </c>
      <c r="S350" s="3" t="n">
        <v>0.0648</v>
      </c>
      <c r="T350" s="3" t="n">
        <v>0.333</v>
      </c>
      <c r="U350" s="3" t="n">
        <v>0</v>
      </c>
      <c r="V350" s="3" t="n">
        <v>2.55</v>
      </c>
      <c r="W350" s="3">
        <f>IF(V350="",IFERROR(VLOOKUP($C350,Assumptions!$A$4:$F$7,6,FALSE),0),V350)</f>
        <v/>
      </c>
      <c r="X350" s="3">
        <f>N(O350)*IFERROR(VLOOKUP($C350,Assumptions!$A$4:$F$7,2,FALSE),0)</f>
        <v/>
      </c>
      <c r="Y350" s="3">
        <f>N(S350)*IFERROR(VLOOKUP($C350,Assumptions!$A$4:$F$7,3,FALSE),0)*Assumptions!$B$11</f>
        <v/>
      </c>
      <c r="Z350" s="3">
        <f>N(N350)*IFERROR(VLOOKUP($C350,Assumptions!$A$4:$F$7,4,FALSE),0)</f>
        <v/>
      </c>
      <c r="AA350" s="3">
        <f>N(T350)*IFERROR(VLOOKUP($C350,Assumptions!$A$4:$F$7,5,FALSE),0)</f>
        <v/>
      </c>
      <c r="AB350" s="3">
        <f>N(U350)</f>
        <v/>
      </c>
      <c r="AC350" s="3">
        <f>SUM(W350:AB350)</f>
        <v/>
      </c>
      <c r="AD350" s="3">
        <f>N(AC350)*N(M350)/90</f>
        <v/>
      </c>
      <c r="AE350" s="3">
        <f>IFERROR(AD350-VLOOKUP($C350,Assumptions!$A$29:$C$32,3,FALSE),"")</f>
        <v/>
      </c>
      <c r="AF350" s="3">
        <f>IFERROR(AE350/F350,"")</f>
        <v/>
      </c>
      <c r="AG350">
        <f>IF(AND($E350=TRUE,$C350="GKP"),AD350,"")</f>
        <v/>
      </c>
      <c r="AH350">
        <f>IF(AND($E350=TRUE,$C350="DEF"),AD350,"")</f>
        <v/>
      </c>
      <c r="AI350">
        <f>IF(AND($E350=TRUE,$C350="MID"),AD350,"")</f>
        <v/>
      </c>
      <c r="AJ350">
        <f>IF(AND($E350=TRUE,$C350="FWD"),AD350,"")</f>
        <v/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b">
        <v>1</v>
      </c>
      <c r="F351" s="2" t="n">
        <v>4</v>
      </c>
      <c r="G351" t="inlineStr">
        <is>
          <t>a</t>
        </is>
      </c>
      <c r="I351" s="2" t="n">
        <v>136</v>
      </c>
      <c r="J351" t="n">
        <v>10</v>
      </c>
      <c r="K351" s="3" t="n">
        <v>108</v>
      </c>
      <c r="L351" t="inlineStr">
        <is>
          <t>flat</t>
        </is>
      </c>
      <c r="M351" s="4" t="n">
        <v>136</v>
      </c>
      <c r="N351" s="4" t="n">
        <v>0.237</v>
      </c>
      <c r="O351" s="3" t="n">
        <v>0.3051</v>
      </c>
      <c r="P351" t="inlineStr">
        <is>
          <t>adjusted xGOT</t>
        </is>
      </c>
      <c r="Q351" s="3" t="n">
        <v>0.9409999999999999</v>
      </c>
      <c r="R351" s="3" t="n">
        <v>4.1</v>
      </c>
      <c r="S351" s="3" t="n">
        <v>0.0313</v>
      </c>
      <c r="T351" s="3" t="n">
        <v>0</v>
      </c>
      <c r="U351" s="3" t="n">
        <v>0.6618000000000001</v>
      </c>
      <c r="V351" s="3" t="n">
        <v>2.647</v>
      </c>
      <c r="W351" s="3">
        <f>IF(V351="",IFERROR(VLOOKUP($C351,Assumptions!$A$4:$F$7,6,FALSE),0),V351)</f>
        <v/>
      </c>
      <c r="X351" s="3">
        <f>N(O351)*IFERROR(VLOOKUP($C351,Assumptions!$A$4:$F$7,2,FALSE),0)</f>
        <v/>
      </c>
      <c r="Y351" s="3">
        <f>N(S351)*IFERROR(VLOOKUP($C351,Assumptions!$A$4:$F$7,3,FALSE),0)*Assumptions!$B$11</f>
        <v/>
      </c>
      <c r="Z351" s="3">
        <f>N(N351)*IFERROR(VLOOKUP($C351,Assumptions!$A$4:$F$7,4,FALSE),0)</f>
        <v/>
      </c>
      <c r="AA351" s="3">
        <f>N(T351)*IFERROR(VLOOKUP($C351,Assumptions!$A$4:$F$7,5,FALSE),0)</f>
        <v/>
      </c>
      <c r="AB351" s="3">
        <f>N(U351)</f>
        <v/>
      </c>
      <c r="AC351" s="3">
        <f>SUM(W351:AB351)</f>
        <v/>
      </c>
      <c r="AD351" s="3">
        <f>N(AC351)*N(M351)/90</f>
        <v/>
      </c>
      <c r="AE351" s="3">
        <f>IFERROR(AD351-VLOOKUP($C351,Assumptions!$A$29:$C$32,3,FALSE),"")</f>
        <v/>
      </c>
      <c r="AF351" s="3">
        <f>IFERROR(AE351/F351,"")</f>
        <v/>
      </c>
      <c r="AG351">
        <f>IF(AND($E351=TRUE,$C351="GKP"),AD351,"")</f>
        <v/>
      </c>
      <c r="AH351">
        <f>IF(AND($E351=TRUE,$C351="DEF"),AD351,"")</f>
        <v/>
      </c>
      <c r="AI351">
        <f>IF(AND($E351=TRUE,$C351="MID"),AD351,"")</f>
        <v/>
      </c>
      <c r="AJ351">
        <f>IF(AND($E351=TRUE,$C351="FWD"),AD351,"")</f>
        <v/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b">
        <v>1</v>
      </c>
      <c r="F352" s="2" t="n">
        <v>4.5</v>
      </c>
      <c r="G352" t="inlineStr">
        <is>
          <t>a</t>
        </is>
      </c>
      <c r="I352" s="2" t="n">
        <v>193</v>
      </c>
      <c r="J352" t="n">
        <v>10</v>
      </c>
      <c r="K352" s="3" t="n">
        <v>3</v>
      </c>
      <c r="L352" t="inlineStr">
        <is>
          <t>flat</t>
        </is>
      </c>
      <c r="M352" s="4" t="n">
        <v>193</v>
      </c>
      <c r="N352" s="4" t="n">
        <v>0.263</v>
      </c>
      <c r="O352" s="3" t="n">
        <v>0</v>
      </c>
      <c r="P352" t="inlineStr">
        <is>
          <t>blended xG</t>
        </is>
      </c>
      <c r="Q352" s="3" t="n">
        <v>1</v>
      </c>
      <c r="R352" s="3" t="n">
        <v>0</v>
      </c>
      <c r="S352" s="3" t="n">
        <v>0.0023</v>
      </c>
      <c r="T352" s="3" t="n">
        <v>0.5</v>
      </c>
      <c r="U352" s="3" t="n">
        <v>0</v>
      </c>
      <c r="V352" s="3" t="n">
        <v>3.264</v>
      </c>
      <c r="W352" s="3">
        <f>IF(V352="",IFERROR(VLOOKUP($C352,Assumptions!$A$4:$F$7,6,FALSE),0),V352)</f>
        <v/>
      </c>
      <c r="X352" s="3">
        <f>N(O352)*IFERROR(VLOOKUP($C352,Assumptions!$A$4:$F$7,2,FALSE),0)</f>
        <v/>
      </c>
      <c r="Y352" s="3">
        <f>N(S352)*IFERROR(VLOOKUP($C352,Assumptions!$A$4:$F$7,3,FALSE),0)*Assumptions!$B$11</f>
        <v/>
      </c>
      <c r="Z352" s="3">
        <f>N(N352)*IFERROR(VLOOKUP($C352,Assumptions!$A$4:$F$7,4,FALSE),0)</f>
        <v/>
      </c>
      <c r="AA352" s="3">
        <f>N(T352)*IFERROR(VLOOKUP($C352,Assumptions!$A$4:$F$7,5,FALSE),0)</f>
        <v/>
      </c>
      <c r="AB352" s="3">
        <f>N(U352)</f>
        <v/>
      </c>
      <c r="AC352" s="3">
        <f>SUM(W352:AB352)</f>
        <v/>
      </c>
      <c r="AD352" s="3">
        <f>N(AC352)*N(M352)/90</f>
        <v/>
      </c>
      <c r="AE352" s="3">
        <f>IFERROR(AD352-VLOOKUP($C352,Assumptions!$A$29:$C$32,3,FALSE),"")</f>
        <v/>
      </c>
      <c r="AF352" s="3">
        <f>IFERROR(AE352/F352,"")</f>
        <v/>
      </c>
      <c r="AG352">
        <f>IF(AND($E352=TRUE,$C352="GKP"),AD352,"")</f>
        <v/>
      </c>
      <c r="AH352">
        <f>IF(AND($E352=TRUE,$C352="DEF"),AD352,"")</f>
        <v/>
      </c>
      <c r="AI352">
        <f>IF(AND($E352=TRUE,$C352="MID"),AD352,"")</f>
        <v/>
      </c>
      <c r="AJ352">
        <f>IF(AND($E352=TRUE,$C352="FWD"),AD352,"")</f>
        <v/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b">
        <v>1</v>
      </c>
      <c r="F353" s="2" t="n">
        <v>5.5</v>
      </c>
      <c r="G353" t="inlineStr">
        <is>
          <t>a</t>
        </is>
      </c>
      <c r="I353" s="2" t="n">
        <v>125</v>
      </c>
      <c r="J353" t="n">
        <v>9</v>
      </c>
      <c r="K353" s="3" t="n">
        <v>206</v>
      </c>
      <c r="L353" t="inlineStr">
        <is>
          <t>flat</t>
        </is>
      </c>
      <c r="M353" s="4" t="n">
        <v>125</v>
      </c>
      <c r="N353" s="4" t="n">
        <v>0.421</v>
      </c>
      <c r="O353" s="3" t="n">
        <v>0.08210000000000001</v>
      </c>
      <c r="P353" t="inlineStr">
        <is>
          <t>adjusted xGOT</t>
        </is>
      </c>
      <c r="Q353" s="3" t="n">
        <v>0.88</v>
      </c>
      <c r="R353" s="3" t="n">
        <v>5.1</v>
      </c>
      <c r="S353" s="3" t="n">
        <v>0.3051</v>
      </c>
      <c r="T353" s="3" t="n">
        <v>0</v>
      </c>
      <c r="U353" s="3" t="n">
        <v>0</v>
      </c>
      <c r="V353" s="3" t="n">
        <v>4.32</v>
      </c>
      <c r="W353" s="3">
        <f>IF(V353="",IFERROR(VLOOKUP($C353,Assumptions!$A$4:$F$7,6,FALSE),0),V353)</f>
        <v/>
      </c>
      <c r="X353" s="3">
        <f>N(O353)*IFERROR(VLOOKUP($C353,Assumptions!$A$4:$F$7,2,FALSE),0)</f>
        <v/>
      </c>
      <c r="Y353" s="3">
        <f>N(S353)*IFERROR(VLOOKUP($C353,Assumptions!$A$4:$F$7,3,FALSE),0)*Assumptions!$B$11</f>
        <v/>
      </c>
      <c r="Z353" s="3">
        <f>N(N353)*IFERROR(VLOOKUP($C353,Assumptions!$A$4:$F$7,4,FALSE),0)</f>
        <v/>
      </c>
      <c r="AA353" s="3">
        <f>N(T353)*IFERROR(VLOOKUP($C353,Assumptions!$A$4:$F$7,5,FALSE),0)</f>
        <v/>
      </c>
      <c r="AB353" s="3">
        <f>N(U353)</f>
        <v/>
      </c>
      <c r="AC353" s="3">
        <f>SUM(W353:AB353)</f>
        <v/>
      </c>
      <c r="AD353" s="3">
        <f>N(AC353)*N(M353)/90</f>
        <v/>
      </c>
      <c r="AE353" s="3">
        <f>IFERROR(AD353-VLOOKUP($C353,Assumptions!$A$29:$C$32,3,FALSE),"")</f>
        <v/>
      </c>
      <c r="AF353" s="3">
        <f>IFERROR(AE353/F353,"")</f>
        <v/>
      </c>
      <c r="AG353">
        <f>IF(AND($E353=TRUE,$C353="GKP"),AD353,"")</f>
        <v/>
      </c>
      <c r="AH353">
        <f>IF(AND($E353=TRUE,$C353="DEF"),AD353,"")</f>
        <v/>
      </c>
      <c r="AI353">
        <f>IF(AND($E353=TRUE,$C353="MID"),AD353,"")</f>
        <v/>
      </c>
      <c r="AJ353">
        <f>IF(AND($E353=TRUE,$C353="FWD"),AD353,"")</f>
        <v/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b">
        <v>1</v>
      </c>
      <c r="F354" s="2" t="n">
        <v>5.5</v>
      </c>
      <c r="G354" t="inlineStr">
        <is>
          <t>a</t>
        </is>
      </c>
      <c r="I354" s="2" t="n">
        <v>89</v>
      </c>
      <c r="J354" t="n">
        <v>9</v>
      </c>
      <c r="K354" s="3" t="n">
        <v>38</v>
      </c>
      <c r="L354" t="inlineStr">
        <is>
          <t>flat</t>
        </is>
      </c>
      <c r="M354" s="4" t="n">
        <v>89</v>
      </c>
      <c r="N354" s="4" t="n">
        <v>0.237</v>
      </c>
      <c r="O354" s="3" t="n">
        <v>0.4267</v>
      </c>
      <c r="P354" t="inlineStr">
        <is>
          <t>adjusted xGOT</t>
        </is>
      </c>
      <c r="Q354" s="3" t="n">
        <v>0.96</v>
      </c>
      <c r="R354" s="3" t="n">
        <v>0.4</v>
      </c>
      <c r="S354" s="3" t="n">
        <v>0.0159</v>
      </c>
      <c r="T354" s="3" t="n"/>
      <c r="U354" s="3" t="n">
        <v>0</v>
      </c>
      <c r="V354" s="3" t="n">
        <v>9.101000000000001</v>
      </c>
      <c r="W354" s="3">
        <f>IF(V354="",IFERROR(VLOOKUP($C354,Assumptions!$A$4:$F$7,6,FALSE),0),V354)</f>
        <v/>
      </c>
      <c r="X354" s="3">
        <f>N(O354)*IFERROR(VLOOKUP($C354,Assumptions!$A$4:$F$7,2,FALSE),0)</f>
        <v/>
      </c>
      <c r="Y354" s="3">
        <f>N(S354)*IFERROR(VLOOKUP($C354,Assumptions!$A$4:$F$7,3,FALSE),0)*Assumptions!$B$11</f>
        <v/>
      </c>
      <c r="Z354" s="3">
        <f>N(N354)*IFERROR(VLOOKUP($C354,Assumptions!$A$4:$F$7,4,FALSE),0)</f>
        <v/>
      </c>
      <c r="AA354" s="3">
        <f>N(T354)*IFERROR(VLOOKUP($C354,Assumptions!$A$4:$F$7,5,FALSE),0)</f>
        <v/>
      </c>
      <c r="AB354" s="3">
        <f>N(U354)</f>
        <v/>
      </c>
      <c r="AC354" s="3">
        <f>SUM(W354:AB354)</f>
        <v/>
      </c>
      <c r="AD354" s="3">
        <f>N(AC354)*N(M354)/90</f>
        <v/>
      </c>
      <c r="AE354" s="3">
        <f>IFERROR(AD354-VLOOKUP($C354,Assumptions!$A$29:$C$32,3,FALSE),"")</f>
        <v/>
      </c>
      <c r="AF354" s="3">
        <f>IFERROR(AE354/F354,"")</f>
        <v/>
      </c>
      <c r="AG354">
        <f>IF(AND($E354=TRUE,$C354="GKP"),AD354,"")</f>
        <v/>
      </c>
      <c r="AH354">
        <f>IF(AND($E354=TRUE,$C354="DEF"),AD354,"")</f>
        <v/>
      </c>
      <c r="AI354">
        <f>IF(AND($E354=TRUE,$C354="MID"),AD354,"")</f>
        <v/>
      </c>
      <c r="AJ354">
        <f>IF(AND($E354=TRUE,$C354="FWD"),AD354,"")</f>
        <v/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b">
        <v>1</v>
      </c>
      <c r="F355" s="2" t="n">
        <v>5</v>
      </c>
      <c r="G355" t="inlineStr">
        <is>
          <t>u</t>
        </is>
      </c>
      <c r="H355" t="inlineStr">
        <is>
          <t>Has joined RC Strasbourg on loan for the rest of the season</t>
        </is>
      </c>
      <c r="I355" s="2" t="n">
        <v>378</v>
      </c>
      <c r="J355" t="n">
        <v>9</v>
      </c>
      <c r="K355" s="3" t="n"/>
      <c r="M355" s="4" t="n">
        <v>378</v>
      </c>
      <c r="N355" s="4" t="n">
        <v>0.237</v>
      </c>
      <c r="O355" s="3" t="n">
        <v>0</v>
      </c>
      <c r="P355" t="inlineStr">
        <is>
          <t>blended xG</t>
        </is>
      </c>
      <c r="Q355" s="3" t="n">
        <v>1</v>
      </c>
      <c r="R355" s="3" t="n">
        <v>0</v>
      </c>
      <c r="S355" s="3" t="n">
        <v>0</v>
      </c>
      <c r="T355" s="3" t="n">
        <v>0</v>
      </c>
      <c r="U355" s="3" t="n">
        <v>0</v>
      </c>
      <c r="V355" s="3" t="n">
        <v>2.143</v>
      </c>
      <c r="W355" s="3">
        <f>IF(V355="",IFERROR(VLOOKUP($C355,Assumptions!$A$4:$F$7,6,FALSE),0),V355)</f>
        <v/>
      </c>
      <c r="X355" s="3">
        <f>N(O355)*IFERROR(VLOOKUP($C355,Assumptions!$A$4:$F$7,2,FALSE),0)</f>
        <v/>
      </c>
      <c r="Y355" s="3">
        <f>N(S355)*IFERROR(VLOOKUP($C355,Assumptions!$A$4:$F$7,3,FALSE),0)*Assumptions!$B$11</f>
        <v/>
      </c>
      <c r="Z355" s="3">
        <f>N(N355)*IFERROR(VLOOKUP($C355,Assumptions!$A$4:$F$7,4,FALSE),0)</f>
        <v/>
      </c>
      <c r="AA355" s="3">
        <f>N(T355)*IFERROR(VLOOKUP($C355,Assumptions!$A$4:$F$7,5,FALSE),0)</f>
        <v/>
      </c>
      <c r="AB355" s="3">
        <f>N(U355)</f>
        <v/>
      </c>
      <c r="AC355" s="3">
        <f>SUM(W355:AB355)</f>
        <v/>
      </c>
      <c r="AD355" s="3">
        <f>N(AC355)*N(M355)/90</f>
        <v/>
      </c>
      <c r="AE355" s="3">
        <f>IFERROR(AD355-VLOOKUP($C355,Assumptions!$A$29:$C$32,3,FALSE),"")</f>
        <v/>
      </c>
      <c r="AF355" s="3">
        <f>IFERROR(AE355/F355,"")</f>
        <v/>
      </c>
      <c r="AG355">
        <f>IF(AND($E355=TRUE,$C355="GKP"),AD355,"")</f>
        <v/>
      </c>
      <c r="AH355">
        <f>IF(AND($E355=TRUE,$C355="DEF"),AD355,"")</f>
        <v/>
      </c>
      <c r="AI355">
        <f>IF(AND($E355=TRUE,$C355="MID"),AD355,"")</f>
        <v/>
      </c>
      <c r="AJ355">
        <f>IF(AND($E355=TRUE,$C355="FWD"),AD355,"")</f>
        <v/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b">
        <v>1</v>
      </c>
      <c r="F356" s="2" t="n">
        <v>5</v>
      </c>
      <c r="G356" t="inlineStr">
        <is>
          <t>a</t>
        </is>
      </c>
      <c r="I356" s="2" t="n">
        <v>225</v>
      </c>
      <c r="J356" t="n">
        <v>8</v>
      </c>
      <c r="K356" s="3" t="n">
        <v>2576</v>
      </c>
      <c r="L356" t="inlineStr">
        <is>
          <t>flat</t>
        </is>
      </c>
      <c r="M356" s="4" t="n">
        <v>225</v>
      </c>
      <c r="N356" s="4" t="n">
        <v>0.237</v>
      </c>
      <c r="O356" s="3" t="n">
        <v>0</v>
      </c>
      <c r="P356" t="inlineStr">
        <is>
          <t>adjusted xGOT</t>
        </is>
      </c>
      <c r="Q356" s="3" t="n">
        <v>0.951</v>
      </c>
      <c r="R356" s="3" t="n">
        <v>4.6</v>
      </c>
      <c r="S356" s="3" t="n">
        <v>0.024</v>
      </c>
      <c r="T356" s="3" t="n">
        <v>1</v>
      </c>
      <c r="U356" s="3" t="n">
        <v>0</v>
      </c>
      <c r="V356" s="3" t="n">
        <v>2</v>
      </c>
      <c r="W356" s="3">
        <f>IF(V356="",IFERROR(VLOOKUP($C356,Assumptions!$A$4:$F$7,6,FALSE),0),V356)</f>
        <v/>
      </c>
      <c r="X356" s="3">
        <f>N(O356)*IFERROR(VLOOKUP($C356,Assumptions!$A$4:$F$7,2,FALSE),0)</f>
        <v/>
      </c>
      <c r="Y356" s="3">
        <f>N(S356)*IFERROR(VLOOKUP($C356,Assumptions!$A$4:$F$7,3,FALSE),0)*Assumptions!$B$11</f>
        <v/>
      </c>
      <c r="Z356" s="3">
        <f>N(N356)*IFERROR(VLOOKUP($C356,Assumptions!$A$4:$F$7,4,FALSE),0)</f>
        <v/>
      </c>
      <c r="AA356" s="3">
        <f>N(T356)*IFERROR(VLOOKUP($C356,Assumptions!$A$4:$F$7,5,FALSE),0)</f>
        <v/>
      </c>
      <c r="AB356" s="3">
        <f>N(U356)</f>
        <v/>
      </c>
      <c r="AC356" s="3">
        <f>SUM(W356:AB356)</f>
        <v/>
      </c>
      <c r="AD356" s="3">
        <f>N(AC356)*N(M356)/90</f>
        <v/>
      </c>
      <c r="AE356" s="3">
        <f>IFERROR(AD356-VLOOKUP($C356,Assumptions!$A$29:$C$32,3,FALSE),"")</f>
        <v/>
      </c>
      <c r="AF356" s="3">
        <f>IFERROR(AE356/F356,"")</f>
        <v/>
      </c>
      <c r="AG356">
        <f>IF(AND($E356=TRUE,$C356="GKP"),AD356,"")</f>
        <v/>
      </c>
      <c r="AH356">
        <f>IF(AND($E356=TRUE,$C356="DEF"),AD356,"")</f>
        <v/>
      </c>
      <c r="AI356">
        <f>IF(AND($E356=TRUE,$C356="MID"),AD356,"")</f>
        <v/>
      </c>
      <c r="AJ356">
        <f>IF(AND($E356=TRUE,$C356="FWD"),AD356,"")</f>
        <v/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b">
        <v>1</v>
      </c>
      <c r="F357" s="2" t="n">
        <v>5</v>
      </c>
      <c r="G357" t="inlineStr">
        <is>
          <t>a</t>
        </is>
      </c>
      <c r="I357" s="2" t="n">
        <v>135</v>
      </c>
      <c r="J357" t="n">
        <v>8</v>
      </c>
      <c r="K357" s="3" t="n">
        <v>126</v>
      </c>
      <c r="L357" t="inlineStr">
        <is>
          <t>flat</t>
        </is>
      </c>
      <c r="M357" s="4" t="n">
        <v>135</v>
      </c>
      <c r="N357" s="4" t="n">
        <v>0.29</v>
      </c>
      <c r="O357" s="3" t="n">
        <v>0.0727</v>
      </c>
      <c r="P357" t="inlineStr">
        <is>
          <t>adjusted xGOT</t>
        </is>
      </c>
      <c r="Q357" s="3" t="n">
        <v>0.986</v>
      </c>
      <c r="R357" s="3" t="n">
        <v>0.1</v>
      </c>
      <c r="S357" s="3" t="n">
        <v>0.2291</v>
      </c>
      <c r="T357" s="3" t="n">
        <v>0</v>
      </c>
      <c r="U357" s="3" t="n">
        <v>0</v>
      </c>
      <c r="V357" s="3" t="n">
        <v>6</v>
      </c>
      <c r="W357" s="3">
        <f>IF(V357="",IFERROR(VLOOKUP($C357,Assumptions!$A$4:$F$7,6,FALSE),0),V357)</f>
        <v/>
      </c>
      <c r="X357" s="3">
        <f>N(O357)*IFERROR(VLOOKUP($C357,Assumptions!$A$4:$F$7,2,FALSE),0)</f>
        <v/>
      </c>
      <c r="Y357" s="3">
        <f>N(S357)*IFERROR(VLOOKUP($C357,Assumptions!$A$4:$F$7,3,FALSE),0)*Assumptions!$B$11</f>
        <v/>
      </c>
      <c r="Z357" s="3">
        <f>N(N357)*IFERROR(VLOOKUP($C357,Assumptions!$A$4:$F$7,4,FALSE),0)</f>
        <v/>
      </c>
      <c r="AA357" s="3">
        <f>N(T357)*IFERROR(VLOOKUP($C357,Assumptions!$A$4:$F$7,5,FALSE),0)</f>
        <v/>
      </c>
      <c r="AB357" s="3">
        <f>N(U357)</f>
        <v/>
      </c>
      <c r="AC357" s="3">
        <f>SUM(W357:AB357)</f>
        <v/>
      </c>
      <c r="AD357" s="3">
        <f>N(AC357)*N(M357)/90</f>
        <v/>
      </c>
      <c r="AE357" s="3">
        <f>IFERROR(AD357-VLOOKUP($C357,Assumptions!$A$29:$C$32,3,FALSE),"")</f>
        <v/>
      </c>
      <c r="AF357" s="3">
        <f>IFERROR(AE357/F357,"")</f>
        <v/>
      </c>
      <c r="AG357">
        <f>IF(AND($E357=TRUE,$C357="GKP"),AD357,"")</f>
        <v/>
      </c>
      <c r="AH357">
        <f>IF(AND($E357=TRUE,$C357="DEF"),AD357,"")</f>
        <v/>
      </c>
      <c r="AI357">
        <f>IF(AND($E357=TRUE,$C357="MID"),AD357,"")</f>
        <v/>
      </c>
      <c r="AJ357">
        <f>IF(AND($E357=TRUE,$C357="FWD"),AD357,"")</f>
        <v/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b">
        <v>1</v>
      </c>
      <c r="F358" s="2" t="n">
        <v>5.5</v>
      </c>
      <c r="G358" t="inlineStr">
        <is>
          <t>a</t>
        </is>
      </c>
      <c r="I358" s="2" t="n">
        <v>165</v>
      </c>
      <c r="J358" t="n">
        <v>8</v>
      </c>
      <c r="K358" s="3" t="n">
        <v>11</v>
      </c>
      <c r="L358" t="inlineStr">
        <is>
          <t>flat</t>
        </is>
      </c>
      <c r="M358" s="4" t="n">
        <v>165</v>
      </c>
      <c r="N358" s="4" t="n">
        <v>0.5</v>
      </c>
      <c r="O358" s="3" t="n">
        <v>0.1293</v>
      </c>
      <c r="P358" t="inlineStr">
        <is>
          <t>adjusted xGOT</t>
        </is>
      </c>
      <c r="Q358" s="3" t="n">
        <v>1.03</v>
      </c>
      <c r="R358" s="3" t="n">
        <v>1.4</v>
      </c>
      <c r="S358" s="3" t="n">
        <v>0.035</v>
      </c>
      <c r="T358" s="3" t="n"/>
      <c r="U358" s="3" t="n">
        <v>0</v>
      </c>
      <c r="V358" s="3" t="n">
        <v>3.818</v>
      </c>
      <c r="W358" s="3">
        <f>IF(V358="",IFERROR(VLOOKUP($C358,Assumptions!$A$4:$F$7,6,FALSE),0),V358)</f>
        <v/>
      </c>
      <c r="X358" s="3">
        <f>N(O358)*IFERROR(VLOOKUP($C358,Assumptions!$A$4:$F$7,2,FALSE),0)</f>
        <v/>
      </c>
      <c r="Y358" s="3">
        <f>N(S358)*IFERROR(VLOOKUP($C358,Assumptions!$A$4:$F$7,3,FALSE),0)*Assumptions!$B$11</f>
        <v/>
      </c>
      <c r="Z358" s="3">
        <f>N(N358)*IFERROR(VLOOKUP($C358,Assumptions!$A$4:$F$7,4,FALSE),0)</f>
        <v/>
      </c>
      <c r="AA358" s="3">
        <f>N(T358)*IFERROR(VLOOKUP($C358,Assumptions!$A$4:$F$7,5,FALSE),0)</f>
        <v/>
      </c>
      <c r="AB358" s="3">
        <f>N(U358)</f>
        <v/>
      </c>
      <c r="AC358" s="3">
        <f>SUM(W358:AB358)</f>
        <v/>
      </c>
      <c r="AD358" s="3">
        <f>N(AC358)*N(M358)/90</f>
        <v/>
      </c>
      <c r="AE358" s="3">
        <f>IFERROR(AD358-VLOOKUP($C358,Assumptions!$A$29:$C$32,3,FALSE),"")</f>
        <v/>
      </c>
      <c r="AF358" s="3">
        <f>IFERROR(AE358/F358,"")</f>
        <v/>
      </c>
      <c r="AG358">
        <f>IF(AND($E358=TRUE,$C358="GKP"),AD358,"")</f>
        <v/>
      </c>
      <c r="AH358">
        <f>IF(AND($E358=TRUE,$C358="DEF"),AD358,"")</f>
        <v/>
      </c>
      <c r="AI358">
        <f>IF(AND($E358=TRUE,$C358="MID"),AD358,"")</f>
        <v/>
      </c>
      <c r="AJ358">
        <f>IF(AND($E358=TRUE,$C358="FWD"),AD358,"")</f>
        <v/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b">
        <v>1</v>
      </c>
      <c r="F359" s="2" t="n">
        <v>4.5</v>
      </c>
      <c r="G359" t="inlineStr">
        <is>
          <t>a</t>
        </is>
      </c>
      <c r="I359" s="2" t="n">
        <v>90</v>
      </c>
      <c r="J359" t="n">
        <v>7</v>
      </c>
      <c r="K359" s="3" t="n">
        <v>35</v>
      </c>
      <c r="L359" t="inlineStr">
        <is>
          <t>flat</t>
        </is>
      </c>
      <c r="M359" s="4" t="n">
        <v>90</v>
      </c>
      <c r="N359" s="4" t="n">
        <v>0.316</v>
      </c>
      <c r="O359" s="3" t="n">
        <v>0</v>
      </c>
      <c r="P359" t="inlineStr">
        <is>
          <t>blended xG</t>
        </is>
      </c>
      <c r="Q359" s="3" t="n">
        <v>1</v>
      </c>
      <c r="R359" s="3" t="n">
        <v>0</v>
      </c>
      <c r="S359" s="3" t="n">
        <v>0</v>
      </c>
      <c r="T359" s="3" t="n">
        <v>0</v>
      </c>
      <c r="U359" s="3" t="n">
        <v>1</v>
      </c>
      <c r="V359" s="3" t="n">
        <v>2</v>
      </c>
      <c r="W359" s="3">
        <f>IF(V359="",IFERROR(VLOOKUP($C359,Assumptions!$A$4:$F$7,6,FALSE),0),V359)</f>
        <v/>
      </c>
      <c r="X359" s="3">
        <f>N(O359)*IFERROR(VLOOKUP($C359,Assumptions!$A$4:$F$7,2,FALSE),0)</f>
        <v/>
      </c>
      <c r="Y359" s="3">
        <f>N(S359)*IFERROR(VLOOKUP($C359,Assumptions!$A$4:$F$7,3,FALSE),0)*Assumptions!$B$11</f>
        <v/>
      </c>
      <c r="Z359" s="3">
        <f>N(N359)*IFERROR(VLOOKUP($C359,Assumptions!$A$4:$F$7,4,FALSE),0)</f>
        <v/>
      </c>
      <c r="AA359" s="3">
        <f>N(T359)*IFERROR(VLOOKUP($C359,Assumptions!$A$4:$F$7,5,FALSE),0)</f>
        <v/>
      </c>
      <c r="AB359" s="3">
        <f>N(U359)</f>
        <v/>
      </c>
      <c r="AC359" s="3">
        <f>SUM(W359:AB359)</f>
        <v/>
      </c>
      <c r="AD359" s="3">
        <f>N(AC359)*N(M359)/90</f>
        <v/>
      </c>
      <c r="AE359" s="3">
        <f>IFERROR(AD359-VLOOKUP($C359,Assumptions!$A$29:$C$32,3,FALSE),"")</f>
        <v/>
      </c>
      <c r="AF359" s="3">
        <f>IFERROR(AE359/F359,"")</f>
        <v/>
      </c>
      <c r="AG359">
        <f>IF(AND($E359=TRUE,$C359="GKP"),AD359,"")</f>
        <v/>
      </c>
      <c r="AH359">
        <f>IF(AND($E359=TRUE,$C359="DEF"),AD359,"")</f>
        <v/>
      </c>
      <c r="AI359">
        <f>IF(AND($E359=TRUE,$C359="MID"),AD359,"")</f>
        <v/>
      </c>
      <c r="AJ359">
        <f>IF(AND($E359=TRUE,$C359="FWD"),AD359,"")</f>
        <v/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b">
        <v>1</v>
      </c>
      <c r="F360" s="2" t="n">
        <v>5</v>
      </c>
      <c r="G360" t="inlineStr">
        <is>
          <t>a</t>
        </is>
      </c>
      <c r="I360" s="2" t="n">
        <v>101</v>
      </c>
      <c r="J360" t="n">
        <v>7</v>
      </c>
      <c r="K360" s="3" t="n">
        <v>2804</v>
      </c>
      <c r="L360" t="inlineStr">
        <is>
          <t>flat</t>
        </is>
      </c>
      <c r="M360" s="4" t="n">
        <v>101</v>
      </c>
      <c r="N360" s="4" t="n">
        <v>0.29</v>
      </c>
      <c r="O360" s="3" t="n">
        <v>0.0659</v>
      </c>
      <c r="P360" t="inlineStr">
        <is>
          <t>adjusted xGOT</t>
        </is>
      </c>
      <c r="Q360" s="3" t="n">
        <v>0.928</v>
      </c>
      <c r="R360" s="3" t="n">
        <v>9.6</v>
      </c>
      <c r="S360" s="3" t="n">
        <v>0.0178</v>
      </c>
      <c r="T360" s="3" t="n">
        <v>0</v>
      </c>
      <c r="U360" s="3" t="n">
        <v>0</v>
      </c>
      <c r="V360" s="3" t="n">
        <v>6.238</v>
      </c>
      <c r="W360" s="3">
        <f>IF(V360="",IFERROR(VLOOKUP($C360,Assumptions!$A$4:$F$7,6,FALSE),0),V360)</f>
        <v/>
      </c>
      <c r="X360" s="3">
        <f>N(O360)*IFERROR(VLOOKUP($C360,Assumptions!$A$4:$F$7,2,FALSE),0)</f>
        <v/>
      </c>
      <c r="Y360" s="3">
        <f>N(S360)*IFERROR(VLOOKUP($C360,Assumptions!$A$4:$F$7,3,FALSE),0)*Assumptions!$B$11</f>
        <v/>
      </c>
      <c r="Z360" s="3">
        <f>N(N360)*IFERROR(VLOOKUP($C360,Assumptions!$A$4:$F$7,4,FALSE),0)</f>
        <v/>
      </c>
      <c r="AA360" s="3">
        <f>N(T360)*IFERROR(VLOOKUP($C360,Assumptions!$A$4:$F$7,5,FALSE),0)</f>
        <v/>
      </c>
      <c r="AB360" s="3">
        <f>N(U360)</f>
        <v/>
      </c>
      <c r="AC360" s="3">
        <f>SUM(W360:AB360)</f>
        <v/>
      </c>
      <c r="AD360" s="3">
        <f>N(AC360)*N(M360)/90</f>
        <v/>
      </c>
      <c r="AE360" s="3">
        <f>IFERROR(AD360-VLOOKUP($C360,Assumptions!$A$29:$C$32,3,FALSE),"")</f>
        <v/>
      </c>
      <c r="AF360" s="3">
        <f>IFERROR(AE360/F360,"")</f>
        <v/>
      </c>
      <c r="AG360">
        <f>IF(AND($E360=TRUE,$C360="GKP"),AD360,"")</f>
        <v/>
      </c>
      <c r="AH360">
        <f>IF(AND($E360=TRUE,$C360="DEF"),AD360,"")</f>
        <v/>
      </c>
      <c r="AI360">
        <f>IF(AND($E360=TRUE,$C360="MID"),AD360,"")</f>
        <v/>
      </c>
      <c r="AJ360">
        <f>IF(AND($E360=TRUE,$C360="FWD"),AD360,"")</f>
        <v/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b">
        <v>1</v>
      </c>
      <c r="F361" s="2" t="n">
        <v>4.5</v>
      </c>
      <c r="G361" t="inlineStr">
        <is>
          <t>a</t>
        </is>
      </c>
      <c r="I361" s="2" t="n">
        <v>470</v>
      </c>
      <c r="J361" t="n">
        <v>7</v>
      </c>
      <c r="K361" s="3" t="n">
        <v>14</v>
      </c>
      <c r="L361" t="inlineStr">
        <is>
          <t>flat</t>
        </is>
      </c>
      <c r="M361" s="4" t="n">
        <v>470</v>
      </c>
      <c r="N361" s="4" t="n">
        <v>0.237</v>
      </c>
      <c r="O361" s="3" t="n">
        <v>0</v>
      </c>
      <c r="P361" t="inlineStr">
        <is>
          <t>adjusted xGOT</t>
        </is>
      </c>
      <c r="Q361" s="3" t="n">
        <v>0.913</v>
      </c>
      <c r="R361" s="3" t="n">
        <v>1.5</v>
      </c>
      <c r="S361" s="3" t="n">
        <v>0.0057</v>
      </c>
      <c r="T361" s="3" t="n">
        <v>0.167</v>
      </c>
      <c r="U361" s="3" t="n">
        <v>0</v>
      </c>
      <c r="V361" s="3" t="n">
        <v>2.106</v>
      </c>
      <c r="W361" s="3">
        <f>IF(V361="",IFERROR(VLOOKUP($C361,Assumptions!$A$4:$F$7,6,FALSE),0),V361)</f>
        <v/>
      </c>
      <c r="X361" s="3">
        <f>N(O361)*IFERROR(VLOOKUP($C361,Assumptions!$A$4:$F$7,2,FALSE),0)</f>
        <v/>
      </c>
      <c r="Y361" s="3">
        <f>N(S361)*IFERROR(VLOOKUP($C361,Assumptions!$A$4:$F$7,3,FALSE),0)*Assumptions!$B$11</f>
        <v/>
      </c>
      <c r="Z361" s="3">
        <f>N(N361)*IFERROR(VLOOKUP($C361,Assumptions!$A$4:$F$7,4,FALSE),0)</f>
        <v/>
      </c>
      <c r="AA361" s="3">
        <f>N(T361)*IFERROR(VLOOKUP($C361,Assumptions!$A$4:$F$7,5,FALSE),0)</f>
        <v/>
      </c>
      <c r="AB361" s="3">
        <f>N(U361)</f>
        <v/>
      </c>
      <c r="AC361" s="3">
        <f>SUM(W361:AB361)</f>
        <v/>
      </c>
      <c r="AD361" s="3">
        <f>N(AC361)*N(M361)/90</f>
        <v/>
      </c>
      <c r="AE361" s="3">
        <f>IFERROR(AD361-VLOOKUP($C361,Assumptions!$A$29:$C$32,3,FALSE),"")</f>
        <v/>
      </c>
      <c r="AF361" s="3">
        <f>IFERROR(AE361/F361,"")</f>
        <v/>
      </c>
      <c r="AG361">
        <f>IF(AND($E361=TRUE,$C361="GKP"),AD361,"")</f>
        <v/>
      </c>
      <c r="AH361">
        <f>IF(AND($E361=TRUE,$C361="DEF"),AD361,"")</f>
        <v/>
      </c>
      <c r="AI361">
        <f>IF(AND($E361=TRUE,$C361="MID"),AD361,"")</f>
        <v/>
      </c>
      <c r="AJ361">
        <f>IF(AND($E361=TRUE,$C361="FWD"),AD361,"")</f>
        <v/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b">
        <v>1</v>
      </c>
      <c r="F362" s="2" t="n">
        <v>4.5</v>
      </c>
      <c r="G362" t="inlineStr">
        <is>
          <t>a</t>
        </is>
      </c>
      <c r="I362" s="2" t="n">
        <v>103</v>
      </c>
      <c r="J362" t="n">
        <v>6</v>
      </c>
      <c r="K362" s="3" t="n">
        <v>0</v>
      </c>
      <c r="L362" t="inlineStr">
        <is>
          <t>flat</t>
        </is>
      </c>
      <c r="M362" s="4" t="n">
        <v>103</v>
      </c>
      <c r="N362" s="4" t="n">
        <v>0.263</v>
      </c>
      <c r="O362" s="3" t="n">
        <v>0</v>
      </c>
      <c r="P362" t="inlineStr">
        <is>
          <t>adjusted xGOT</t>
        </is>
      </c>
      <c r="Q362" s="3" t="n">
        <v>0.964</v>
      </c>
      <c r="R362" s="3" t="n">
        <v>0.3</v>
      </c>
      <c r="S362" s="3" t="n">
        <v>0.007900000000000001</v>
      </c>
      <c r="T362" s="3" t="n">
        <v>1</v>
      </c>
      <c r="U362" s="3" t="n">
        <v>0</v>
      </c>
      <c r="V362" s="3" t="n">
        <v>4.369</v>
      </c>
      <c r="W362" s="3">
        <f>IF(V362="",IFERROR(VLOOKUP($C362,Assumptions!$A$4:$F$7,6,FALSE),0),V362)</f>
        <v/>
      </c>
      <c r="X362" s="3">
        <f>N(O362)*IFERROR(VLOOKUP($C362,Assumptions!$A$4:$F$7,2,FALSE),0)</f>
        <v/>
      </c>
      <c r="Y362" s="3">
        <f>N(S362)*IFERROR(VLOOKUP($C362,Assumptions!$A$4:$F$7,3,FALSE),0)*Assumptions!$B$11</f>
        <v/>
      </c>
      <c r="Z362" s="3">
        <f>N(N362)*IFERROR(VLOOKUP($C362,Assumptions!$A$4:$F$7,4,FALSE),0)</f>
        <v/>
      </c>
      <c r="AA362" s="3">
        <f>N(T362)*IFERROR(VLOOKUP($C362,Assumptions!$A$4:$F$7,5,FALSE),0)</f>
        <v/>
      </c>
      <c r="AB362" s="3">
        <f>N(U362)</f>
        <v/>
      </c>
      <c r="AC362" s="3">
        <f>SUM(W362:AB362)</f>
        <v/>
      </c>
      <c r="AD362" s="3">
        <f>N(AC362)*N(M362)/90</f>
        <v/>
      </c>
      <c r="AE362" s="3">
        <f>IFERROR(AD362-VLOOKUP($C362,Assumptions!$A$29:$C$32,3,FALSE),"")</f>
        <v/>
      </c>
      <c r="AF362" s="3">
        <f>IFERROR(AE362/F362,"")</f>
        <v/>
      </c>
      <c r="AG362">
        <f>IF(AND($E362=TRUE,$C362="GKP"),AD362,"")</f>
        <v/>
      </c>
      <c r="AH362">
        <f>IF(AND($E362=TRUE,$C362="DEF"),AD362,"")</f>
        <v/>
      </c>
      <c r="AI362">
        <f>IF(AND($E362=TRUE,$C362="MID"),AD362,"")</f>
        <v/>
      </c>
      <c r="AJ362">
        <f>IF(AND($E362=TRUE,$C362="FWD"),AD362,"")</f>
        <v/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b">
        <v>1</v>
      </c>
      <c r="F363" s="2" t="n">
        <v>4</v>
      </c>
      <c r="G363" t="inlineStr">
        <is>
          <t>a</t>
        </is>
      </c>
      <c r="I363" s="2" t="n">
        <v>212</v>
      </c>
      <c r="J363" t="n">
        <v>6</v>
      </c>
      <c r="K363" s="3" t="n">
        <v>0</v>
      </c>
      <c r="L363" t="inlineStr">
        <is>
          <t>flat</t>
        </is>
      </c>
      <c r="M363" s="4" t="n">
        <v>212</v>
      </c>
      <c r="N363" s="4" t="n">
        <v>0.263</v>
      </c>
      <c r="O363" s="3" t="n">
        <v>0</v>
      </c>
      <c r="P363" t="inlineStr">
        <is>
          <t>blended xG</t>
        </is>
      </c>
      <c r="Q363" s="3" t="n">
        <v>1</v>
      </c>
      <c r="R363" s="3" t="n">
        <v>0</v>
      </c>
      <c r="S363" s="3" t="n">
        <v>0</v>
      </c>
      <c r="T363" s="3" t="n">
        <v>0</v>
      </c>
      <c r="U363" s="3" t="n">
        <v>0</v>
      </c>
      <c r="V363" s="3" t="n">
        <v>2.123</v>
      </c>
      <c r="W363" s="3">
        <f>IF(V363="",IFERROR(VLOOKUP($C363,Assumptions!$A$4:$F$7,6,FALSE),0),V363)</f>
        <v/>
      </c>
      <c r="X363" s="3">
        <f>N(O363)*IFERROR(VLOOKUP($C363,Assumptions!$A$4:$F$7,2,FALSE),0)</f>
        <v/>
      </c>
      <c r="Y363" s="3">
        <f>N(S363)*IFERROR(VLOOKUP($C363,Assumptions!$A$4:$F$7,3,FALSE),0)*Assumptions!$B$11</f>
        <v/>
      </c>
      <c r="Z363" s="3">
        <f>N(N363)*IFERROR(VLOOKUP($C363,Assumptions!$A$4:$F$7,4,FALSE),0)</f>
        <v/>
      </c>
      <c r="AA363" s="3">
        <f>N(T363)*IFERROR(VLOOKUP($C363,Assumptions!$A$4:$F$7,5,FALSE),0)</f>
        <v/>
      </c>
      <c r="AB363" s="3">
        <f>N(U363)</f>
        <v/>
      </c>
      <c r="AC363" s="3">
        <f>SUM(W363:AB363)</f>
        <v/>
      </c>
      <c r="AD363" s="3">
        <f>N(AC363)*N(M363)/90</f>
        <v/>
      </c>
      <c r="AE363" s="3">
        <f>IFERROR(AD363-VLOOKUP($C363,Assumptions!$A$29:$C$32,3,FALSE),"")</f>
        <v/>
      </c>
      <c r="AF363" s="3">
        <f>IFERROR(AE363/F363,"")</f>
        <v/>
      </c>
      <c r="AG363">
        <f>IF(AND($E363=TRUE,$C363="GKP"),AD363,"")</f>
        <v/>
      </c>
      <c r="AH363">
        <f>IF(AND($E363=TRUE,$C363="DEF"),AD363,"")</f>
        <v/>
      </c>
      <c r="AI363">
        <f>IF(AND($E363=TRUE,$C363="MID"),AD363,"")</f>
        <v/>
      </c>
      <c r="AJ363">
        <f>IF(AND($E363=TRUE,$C363="FWD"),AD363,"")</f>
        <v/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b">
        <v>1</v>
      </c>
      <c r="F364" s="2" t="n">
        <v>5</v>
      </c>
      <c r="G364" t="inlineStr">
        <is>
          <t>a</t>
        </is>
      </c>
      <c r="I364" s="2" t="n">
        <v>21</v>
      </c>
      <c r="J364" t="n">
        <v>6</v>
      </c>
      <c r="K364" s="3" t="n">
        <v>24</v>
      </c>
      <c r="L364" t="inlineStr">
        <is>
          <t>flat</t>
        </is>
      </c>
      <c r="M364" s="4" t="n">
        <v>21</v>
      </c>
      <c r="N364" s="4" t="n">
        <v>0.263</v>
      </c>
      <c r="O364" s="3" t="n">
        <v>1.5171</v>
      </c>
      <c r="P364" t="inlineStr">
        <is>
          <t>adjusted xGOT</t>
        </is>
      </c>
      <c r="Q364" s="3" t="n">
        <v>0.956</v>
      </c>
      <c r="R364" s="3" t="n">
        <v>0.4</v>
      </c>
      <c r="S364" s="3" t="n">
        <v>0.0857</v>
      </c>
      <c r="T364" s="3" t="n"/>
      <c r="U364" s="3" t="n">
        <v>0</v>
      </c>
      <c r="V364" s="3" t="n">
        <v>25.714</v>
      </c>
      <c r="W364" s="3">
        <f>IF(V364="",IFERROR(VLOOKUP($C364,Assumptions!$A$4:$F$7,6,FALSE),0),V364)</f>
        <v/>
      </c>
      <c r="X364" s="3">
        <f>N(O364)*IFERROR(VLOOKUP($C364,Assumptions!$A$4:$F$7,2,FALSE),0)</f>
        <v/>
      </c>
      <c r="Y364" s="3">
        <f>N(S364)*IFERROR(VLOOKUP($C364,Assumptions!$A$4:$F$7,3,FALSE),0)*Assumptions!$B$11</f>
        <v/>
      </c>
      <c r="Z364" s="3">
        <f>N(N364)*IFERROR(VLOOKUP($C364,Assumptions!$A$4:$F$7,4,FALSE),0)</f>
        <v/>
      </c>
      <c r="AA364" s="3">
        <f>N(T364)*IFERROR(VLOOKUP($C364,Assumptions!$A$4:$F$7,5,FALSE),0)</f>
        <v/>
      </c>
      <c r="AB364" s="3">
        <f>N(U364)</f>
        <v/>
      </c>
      <c r="AC364" s="3">
        <f>SUM(W364:AB364)</f>
        <v/>
      </c>
      <c r="AD364" s="3">
        <f>N(AC364)*N(M364)/90</f>
        <v/>
      </c>
      <c r="AE364" s="3">
        <f>IFERROR(AD364-VLOOKUP($C364,Assumptions!$A$29:$C$32,3,FALSE),"")</f>
        <v/>
      </c>
      <c r="AF364" s="3">
        <f>IFERROR(AE364/F364,"")</f>
        <v/>
      </c>
      <c r="AG364">
        <f>IF(AND($E364=TRUE,$C364="GKP"),AD364,"")</f>
        <v/>
      </c>
      <c r="AH364">
        <f>IF(AND($E364=TRUE,$C364="DEF"),AD364,"")</f>
        <v/>
      </c>
      <c r="AI364">
        <f>IF(AND($E364=TRUE,$C364="MID"),AD364,"")</f>
        <v/>
      </c>
      <c r="AJ364">
        <f>IF(AND($E364=TRUE,$C364="FWD"),AD364,"")</f>
        <v/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b">
        <v>1</v>
      </c>
      <c r="F365" s="2" t="n">
        <v>4.5</v>
      </c>
      <c r="G365" t="inlineStr">
        <is>
          <t>a</t>
        </is>
      </c>
      <c r="I365" s="2" t="n">
        <v>99</v>
      </c>
      <c r="J365" t="n">
        <v>6</v>
      </c>
      <c r="K365" s="3" t="n">
        <v>19</v>
      </c>
      <c r="L365" t="inlineStr">
        <is>
          <t>flat</t>
        </is>
      </c>
      <c r="M365" s="4" t="n">
        <v>99</v>
      </c>
      <c r="N365" s="4" t="n">
        <v>0.316</v>
      </c>
      <c r="O365" s="3" t="n">
        <v>0.0364</v>
      </c>
      <c r="P365" t="inlineStr">
        <is>
          <t>adjusted xGOT</t>
        </is>
      </c>
      <c r="Q365" s="3" t="n">
        <v>0.995</v>
      </c>
      <c r="R365" s="3" t="n">
        <v>0</v>
      </c>
      <c r="S365" s="3" t="n">
        <v>0.0665</v>
      </c>
      <c r="T365" s="3" t="n"/>
      <c r="U365" s="3" t="n">
        <v>0</v>
      </c>
      <c r="V365" s="3" t="n">
        <v>6.364</v>
      </c>
      <c r="W365" s="3">
        <f>IF(V365="",IFERROR(VLOOKUP($C365,Assumptions!$A$4:$F$7,6,FALSE),0),V365)</f>
        <v/>
      </c>
      <c r="X365" s="3">
        <f>N(O365)*IFERROR(VLOOKUP($C365,Assumptions!$A$4:$F$7,2,FALSE),0)</f>
        <v/>
      </c>
      <c r="Y365" s="3">
        <f>N(S365)*IFERROR(VLOOKUP($C365,Assumptions!$A$4:$F$7,3,FALSE),0)*Assumptions!$B$11</f>
        <v/>
      </c>
      <c r="Z365" s="3">
        <f>N(N365)*IFERROR(VLOOKUP($C365,Assumptions!$A$4:$F$7,4,FALSE),0)</f>
        <v/>
      </c>
      <c r="AA365" s="3">
        <f>N(T365)*IFERROR(VLOOKUP($C365,Assumptions!$A$4:$F$7,5,FALSE),0)</f>
        <v/>
      </c>
      <c r="AB365" s="3">
        <f>N(U365)</f>
        <v/>
      </c>
      <c r="AC365" s="3">
        <f>SUM(W365:AB365)</f>
        <v/>
      </c>
      <c r="AD365" s="3">
        <f>N(AC365)*N(M365)/90</f>
        <v/>
      </c>
      <c r="AE365" s="3">
        <f>IFERROR(AD365-VLOOKUP($C365,Assumptions!$A$29:$C$32,3,FALSE),"")</f>
        <v/>
      </c>
      <c r="AF365" s="3">
        <f>IFERROR(AE365/F365,"")</f>
        <v/>
      </c>
      <c r="AG365">
        <f>IF(AND($E365=TRUE,$C365="GKP"),AD365,"")</f>
        <v/>
      </c>
      <c r="AH365">
        <f>IF(AND($E365=TRUE,$C365="DEF"),AD365,"")</f>
        <v/>
      </c>
      <c r="AI365">
        <f>IF(AND($E365=TRUE,$C365="MID"),AD365,"")</f>
        <v/>
      </c>
      <c r="AJ365">
        <f>IF(AND($E365=TRUE,$C365="FWD"),AD365,"")</f>
        <v/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b">
        <v>1</v>
      </c>
      <c r="F366" s="2" t="n">
        <v>4.5</v>
      </c>
      <c r="G366" t="inlineStr">
        <is>
          <t>a</t>
        </is>
      </c>
      <c r="I366" s="2" t="n">
        <v>49</v>
      </c>
      <c r="J366" t="n">
        <v>6</v>
      </c>
      <c r="K366" s="3" t="n">
        <v>42</v>
      </c>
      <c r="L366" t="inlineStr">
        <is>
          <t>flat</t>
        </is>
      </c>
      <c r="M366" s="4" t="n">
        <v>49</v>
      </c>
      <c r="N366" s="4" t="n">
        <v>0.237</v>
      </c>
      <c r="O366" s="3" t="n">
        <v>0</v>
      </c>
      <c r="P366" t="inlineStr">
        <is>
          <t>blended xG</t>
        </is>
      </c>
      <c r="Q366" s="3" t="n">
        <v>1</v>
      </c>
      <c r="R366" s="3" t="n">
        <v>0</v>
      </c>
      <c r="S366" s="3" t="n">
        <v>0.1396</v>
      </c>
      <c r="T366" s="3" t="n"/>
      <c r="U366" s="3" t="n">
        <v>0</v>
      </c>
      <c r="V366" s="3" t="n">
        <v>12.857</v>
      </c>
      <c r="W366" s="3">
        <f>IF(V366="",IFERROR(VLOOKUP($C366,Assumptions!$A$4:$F$7,6,FALSE),0),V366)</f>
        <v/>
      </c>
      <c r="X366" s="3">
        <f>N(O366)*IFERROR(VLOOKUP($C366,Assumptions!$A$4:$F$7,2,FALSE),0)</f>
        <v/>
      </c>
      <c r="Y366" s="3">
        <f>N(S366)*IFERROR(VLOOKUP($C366,Assumptions!$A$4:$F$7,3,FALSE),0)*Assumptions!$B$11</f>
        <v/>
      </c>
      <c r="Z366" s="3">
        <f>N(N366)*IFERROR(VLOOKUP($C366,Assumptions!$A$4:$F$7,4,FALSE),0)</f>
        <v/>
      </c>
      <c r="AA366" s="3">
        <f>N(T366)*IFERROR(VLOOKUP($C366,Assumptions!$A$4:$F$7,5,FALSE),0)</f>
        <v/>
      </c>
      <c r="AB366" s="3">
        <f>N(U366)</f>
        <v/>
      </c>
      <c r="AC366" s="3">
        <f>SUM(W366:AB366)</f>
        <v/>
      </c>
      <c r="AD366" s="3">
        <f>N(AC366)*N(M366)/90</f>
        <v/>
      </c>
      <c r="AE366" s="3">
        <f>IFERROR(AD366-VLOOKUP($C366,Assumptions!$A$29:$C$32,3,FALSE),"")</f>
        <v/>
      </c>
      <c r="AF366" s="3">
        <f>IFERROR(AE366/F366,"")</f>
        <v/>
      </c>
      <c r="AG366">
        <f>IF(AND($E366=TRUE,$C366="GKP"),AD366,"")</f>
        <v/>
      </c>
      <c r="AH366">
        <f>IF(AND($E366=TRUE,$C366="DEF"),AD366,"")</f>
        <v/>
      </c>
      <c r="AI366">
        <f>IF(AND($E366=TRUE,$C366="MID"),AD366,"")</f>
        <v/>
      </c>
      <c r="AJ366">
        <f>IF(AND($E366=TRUE,$C366="FWD"),AD366,"")</f>
        <v/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b">
        <v>1</v>
      </c>
      <c r="F367" s="2" t="n">
        <v>4</v>
      </c>
      <c r="G367" t="inlineStr">
        <is>
          <t>a</t>
        </is>
      </c>
      <c r="I367" s="2" t="n">
        <v>83</v>
      </c>
      <c r="J367" t="n">
        <v>5</v>
      </c>
      <c r="K367" s="3" t="n">
        <v>0</v>
      </c>
      <c r="L367" t="inlineStr">
        <is>
          <t>flat</t>
        </is>
      </c>
      <c r="M367" s="4" t="n">
        <v>83</v>
      </c>
      <c r="N367" s="4" t="n">
        <v>0.237</v>
      </c>
      <c r="O367" s="3" t="n">
        <v>0</v>
      </c>
      <c r="P367" t="inlineStr">
        <is>
          <t>adjusted xGOT</t>
        </is>
      </c>
      <c r="Q367" s="3" t="n">
        <v>0.995</v>
      </c>
      <c r="R367" s="3" t="n">
        <v>0</v>
      </c>
      <c r="S367" s="3" t="n">
        <v>0.0054</v>
      </c>
      <c r="T367" s="3" t="n">
        <v>0</v>
      </c>
      <c r="U367" s="3" t="n">
        <v>0</v>
      </c>
      <c r="V367" s="3" t="n">
        <v>6.506</v>
      </c>
      <c r="W367" s="3">
        <f>IF(V367="",IFERROR(VLOOKUP($C367,Assumptions!$A$4:$F$7,6,FALSE),0),V367)</f>
        <v/>
      </c>
      <c r="X367" s="3">
        <f>N(O367)*IFERROR(VLOOKUP($C367,Assumptions!$A$4:$F$7,2,FALSE),0)</f>
        <v/>
      </c>
      <c r="Y367" s="3">
        <f>N(S367)*IFERROR(VLOOKUP($C367,Assumptions!$A$4:$F$7,3,FALSE),0)*Assumptions!$B$11</f>
        <v/>
      </c>
      <c r="Z367" s="3">
        <f>N(N367)*IFERROR(VLOOKUP($C367,Assumptions!$A$4:$F$7,4,FALSE),0)</f>
        <v/>
      </c>
      <c r="AA367" s="3">
        <f>N(T367)*IFERROR(VLOOKUP($C367,Assumptions!$A$4:$F$7,5,FALSE),0)</f>
        <v/>
      </c>
      <c r="AB367" s="3">
        <f>N(U367)</f>
        <v/>
      </c>
      <c r="AC367" s="3">
        <f>SUM(W367:AB367)</f>
        <v/>
      </c>
      <c r="AD367" s="3">
        <f>N(AC367)*N(M367)/90</f>
        <v/>
      </c>
      <c r="AE367" s="3">
        <f>IFERROR(AD367-VLOOKUP($C367,Assumptions!$A$29:$C$32,3,FALSE),"")</f>
        <v/>
      </c>
      <c r="AF367" s="3">
        <f>IFERROR(AE367/F367,"")</f>
        <v/>
      </c>
      <c r="AG367">
        <f>IF(AND($E367=TRUE,$C367="GKP"),AD367,"")</f>
        <v/>
      </c>
      <c r="AH367">
        <f>IF(AND($E367=TRUE,$C367="DEF"),AD367,"")</f>
        <v/>
      </c>
      <c r="AI367">
        <f>IF(AND($E367=TRUE,$C367="MID"),AD367,"")</f>
        <v/>
      </c>
      <c r="AJ367">
        <f>IF(AND($E367=TRUE,$C367="FWD"),AD367,"")</f>
        <v/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b">
        <v>1</v>
      </c>
      <c r="F368" s="2" t="n">
        <v>5</v>
      </c>
      <c r="G368" t="inlineStr">
        <is>
          <t>a</t>
        </is>
      </c>
      <c r="I368" s="2" t="n">
        <v>135</v>
      </c>
      <c r="J368" t="n">
        <v>5</v>
      </c>
      <c r="K368" s="3" t="n">
        <v>0</v>
      </c>
      <c r="L368" t="inlineStr">
        <is>
          <t>flat</t>
        </is>
      </c>
      <c r="M368" s="4" t="n">
        <v>135</v>
      </c>
      <c r="N368" s="4" t="n">
        <v>0.421</v>
      </c>
      <c r="O368" s="3" t="n">
        <v>0.174</v>
      </c>
      <c r="P368" t="inlineStr">
        <is>
          <t>adjusted xGOT</t>
        </is>
      </c>
      <c r="Q368" s="3" t="n">
        <v>1.005</v>
      </c>
      <c r="R368" s="3" t="n">
        <v>0.3</v>
      </c>
      <c r="S368" s="3" t="n">
        <v>0.0307</v>
      </c>
      <c r="T368" s="3" t="n">
        <v>0.5</v>
      </c>
      <c r="U368" s="3" t="n">
        <v>0</v>
      </c>
      <c r="V368" s="3" t="n">
        <v>2</v>
      </c>
      <c r="W368" s="3">
        <f>IF(V368="",IFERROR(VLOOKUP($C368,Assumptions!$A$4:$F$7,6,FALSE),0),V368)</f>
        <v/>
      </c>
      <c r="X368" s="3">
        <f>N(O368)*IFERROR(VLOOKUP($C368,Assumptions!$A$4:$F$7,2,FALSE),0)</f>
        <v/>
      </c>
      <c r="Y368" s="3">
        <f>N(S368)*IFERROR(VLOOKUP($C368,Assumptions!$A$4:$F$7,3,FALSE),0)*Assumptions!$B$11</f>
        <v/>
      </c>
      <c r="Z368" s="3">
        <f>N(N368)*IFERROR(VLOOKUP($C368,Assumptions!$A$4:$F$7,4,FALSE),0)</f>
        <v/>
      </c>
      <c r="AA368" s="3">
        <f>N(T368)*IFERROR(VLOOKUP($C368,Assumptions!$A$4:$F$7,5,FALSE),0)</f>
        <v/>
      </c>
      <c r="AB368" s="3">
        <f>N(U368)</f>
        <v/>
      </c>
      <c r="AC368" s="3">
        <f>SUM(W368:AB368)</f>
        <v/>
      </c>
      <c r="AD368" s="3">
        <f>N(AC368)*N(M368)/90</f>
        <v/>
      </c>
      <c r="AE368" s="3">
        <f>IFERROR(AD368-VLOOKUP($C368,Assumptions!$A$29:$C$32,3,FALSE),"")</f>
        <v/>
      </c>
      <c r="AF368" s="3">
        <f>IFERROR(AE368/F368,"")</f>
        <v/>
      </c>
      <c r="AG368">
        <f>IF(AND($E368=TRUE,$C368="GKP"),AD368,"")</f>
        <v/>
      </c>
      <c r="AH368">
        <f>IF(AND($E368=TRUE,$C368="DEF"),AD368,"")</f>
        <v/>
      </c>
      <c r="AI368">
        <f>IF(AND($E368=TRUE,$C368="MID"),AD368,"")</f>
        <v/>
      </c>
      <c r="AJ368">
        <f>IF(AND($E368=TRUE,$C368="FWD"),AD368,"")</f>
        <v/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b">
        <v>1</v>
      </c>
      <c r="F369" s="2" t="n">
        <v>5.5</v>
      </c>
      <c r="G369" t="inlineStr">
        <is>
          <t>a</t>
        </is>
      </c>
      <c r="I369" s="2" t="n">
        <v>110</v>
      </c>
      <c r="J369" t="n">
        <v>5</v>
      </c>
      <c r="K369" s="3" t="n">
        <v>103</v>
      </c>
      <c r="L369" t="inlineStr">
        <is>
          <t>flat</t>
        </is>
      </c>
      <c r="M369" s="4" t="n">
        <v>110</v>
      </c>
      <c r="N369" s="4" t="n">
        <v>0.263</v>
      </c>
      <c r="O369" s="3" t="n">
        <v>0.2324</v>
      </c>
      <c r="P369" t="inlineStr">
        <is>
          <t>adjusted xGOT</t>
        </is>
      </c>
      <c r="Q369" s="3" t="n">
        <v>0.979</v>
      </c>
      <c r="R369" s="3" t="n">
        <v>6.9</v>
      </c>
      <c r="S369" s="3" t="n">
        <v>0.0711</v>
      </c>
      <c r="T369" s="3" t="n">
        <v>0</v>
      </c>
      <c r="U369" s="3" t="n">
        <v>0</v>
      </c>
      <c r="V369" s="3" t="n">
        <v>4.091</v>
      </c>
      <c r="W369" s="3">
        <f>IF(V369="",IFERROR(VLOOKUP($C369,Assumptions!$A$4:$F$7,6,FALSE),0),V369)</f>
        <v/>
      </c>
      <c r="X369" s="3">
        <f>N(O369)*IFERROR(VLOOKUP($C369,Assumptions!$A$4:$F$7,2,FALSE),0)</f>
        <v/>
      </c>
      <c r="Y369" s="3">
        <f>N(S369)*IFERROR(VLOOKUP($C369,Assumptions!$A$4:$F$7,3,FALSE),0)*Assumptions!$B$11</f>
        <v/>
      </c>
      <c r="Z369" s="3">
        <f>N(N369)*IFERROR(VLOOKUP($C369,Assumptions!$A$4:$F$7,4,FALSE),0)</f>
        <v/>
      </c>
      <c r="AA369" s="3">
        <f>N(T369)*IFERROR(VLOOKUP($C369,Assumptions!$A$4:$F$7,5,FALSE),0)</f>
        <v/>
      </c>
      <c r="AB369" s="3">
        <f>N(U369)</f>
        <v/>
      </c>
      <c r="AC369" s="3">
        <f>SUM(W369:AB369)</f>
        <v/>
      </c>
      <c r="AD369" s="3">
        <f>N(AC369)*N(M369)/90</f>
        <v/>
      </c>
      <c r="AE369" s="3">
        <f>IFERROR(AD369-VLOOKUP($C369,Assumptions!$A$29:$C$32,3,FALSE),"")</f>
        <v/>
      </c>
      <c r="AF369" s="3">
        <f>IFERROR(AE369/F369,"")</f>
        <v/>
      </c>
      <c r="AG369">
        <f>IF(AND($E369=TRUE,$C369="GKP"),AD369,"")</f>
        <v/>
      </c>
      <c r="AH369">
        <f>IF(AND($E369=TRUE,$C369="DEF"),AD369,"")</f>
        <v/>
      </c>
      <c r="AI369">
        <f>IF(AND($E369=TRUE,$C369="MID"),AD369,"")</f>
        <v/>
      </c>
      <c r="AJ369">
        <f>IF(AND($E369=TRUE,$C369="FWD"),AD369,"")</f>
        <v/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b">
        <v>1</v>
      </c>
      <c r="F370" s="2" t="n">
        <v>5</v>
      </c>
      <c r="G370" t="inlineStr">
        <is>
          <t>u</t>
        </is>
      </c>
      <c r="H370" t="inlineStr">
        <is>
          <t>Has joined Leicester City on loan for the rest of the season</t>
        </is>
      </c>
      <c r="I370" s="2" t="n">
        <v>57</v>
      </c>
      <c r="J370" t="n">
        <v>5</v>
      </c>
      <c r="K370" s="3" t="n"/>
      <c r="M370" s="4" t="n">
        <v>57</v>
      </c>
      <c r="N370" s="4" t="n">
        <v>0.263</v>
      </c>
      <c r="O370" s="3" t="n">
        <v>0.06469999999999999</v>
      </c>
      <c r="P370" t="inlineStr">
        <is>
          <t>adjusted xGOT</t>
        </is>
      </c>
      <c r="Q370" s="3" t="n">
        <v>1.02</v>
      </c>
      <c r="R370" s="3" t="n">
        <v>0</v>
      </c>
      <c r="S370" s="3" t="n">
        <v>0.0237</v>
      </c>
      <c r="T370" s="3" t="n"/>
      <c r="U370" s="3" t="n">
        <v>0</v>
      </c>
      <c r="V370" s="3" t="n">
        <v>9.474</v>
      </c>
      <c r="W370" s="3">
        <f>IF(V370="",IFERROR(VLOOKUP($C370,Assumptions!$A$4:$F$7,6,FALSE),0),V370)</f>
        <v/>
      </c>
      <c r="X370" s="3">
        <f>N(O370)*IFERROR(VLOOKUP($C370,Assumptions!$A$4:$F$7,2,FALSE),0)</f>
        <v/>
      </c>
      <c r="Y370" s="3">
        <f>N(S370)*IFERROR(VLOOKUP($C370,Assumptions!$A$4:$F$7,3,FALSE),0)*Assumptions!$B$11</f>
        <v/>
      </c>
      <c r="Z370" s="3">
        <f>N(N370)*IFERROR(VLOOKUP($C370,Assumptions!$A$4:$F$7,4,FALSE),0)</f>
        <v/>
      </c>
      <c r="AA370" s="3">
        <f>N(T370)*IFERROR(VLOOKUP($C370,Assumptions!$A$4:$F$7,5,FALSE),0)</f>
        <v/>
      </c>
      <c r="AB370" s="3">
        <f>N(U370)</f>
        <v/>
      </c>
      <c r="AC370" s="3">
        <f>SUM(W370:AB370)</f>
        <v/>
      </c>
      <c r="AD370" s="3">
        <f>N(AC370)*N(M370)/90</f>
        <v/>
      </c>
      <c r="AE370" s="3">
        <f>IFERROR(AD370-VLOOKUP($C370,Assumptions!$A$29:$C$32,3,FALSE),"")</f>
        <v/>
      </c>
      <c r="AF370" s="3">
        <f>IFERROR(AE370/F370,"")</f>
        <v/>
      </c>
      <c r="AG370">
        <f>IF(AND($E370=TRUE,$C370="GKP"),AD370,"")</f>
        <v/>
      </c>
      <c r="AH370">
        <f>IF(AND($E370=TRUE,$C370="DEF"),AD370,"")</f>
        <v/>
      </c>
      <c r="AI370">
        <f>IF(AND($E370=TRUE,$C370="MID"),AD370,"")</f>
        <v/>
      </c>
      <c r="AJ370">
        <f>IF(AND($E370=TRUE,$C370="FWD"),AD370,"")</f>
        <v/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b">
        <v>1</v>
      </c>
      <c r="F371" s="2" t="n">
        <v>4.5</v>
      </c>
      <c r="G371" t="inlineStr">
        <is>
          <t>a</t>
        </is>
      </c>
      <c r="I371" s="2" t="n">
        <v>92</v>
      </c>
      <c r="J371" t="n">
        <v>4</v>
      </c>
      <c r="K371" s="3" t="n">
        <v>0</v>
      </c>
      <c r="L371" t="inlineStr">
        <is>
          <t>flat</t>
        </is>
      </c>
      <c r="M371" s="4" t="n">
        <v>92</v>
      </c>
      <c r="N371" s="4" t="n">
        <v>0.263</v>
      </c>
      <c r="O371" s="3" t="n">
        <v>0</v>
      </c>
      <c r="P371" t="inlineStr">
        <is>
          <t>blended xG</t>
        </is>
      </c>
      <c r="Q371" s="3" t="n">
        <v>1</v>
      </c>
      <c r="R371" s="3" t="n">
        <v>0</v>
      </c>
      <c r="S371" s="3" t="n">
        <v>0.0147</v>
      </c>
      <c r="T371" s="3" t="n">
        <v>0</v>
      </c>
      <c r="U371" s="3" t="n">
        <v>0</v>
      </c>
      <c r="V371" s="3" t="n">
        <v>3.913</v>
      </c>
      <c r="W371" s="3">
        <f>IF(V371="",IFERROR(VLOOKUP($C371,Assumptions!$A$4:$F$7,6,FALSE),0),V371)</f>
        <v/>
      </c>
      <c r="X371" s="3">
        <f>N(O371)*IFERROR(VLOOKUP($C371,Assumptions!$A$4:$F$7,2,FALSE),0)</f>
        <v/>
      </c>
      <c r="Y371" s="3">
        <f>N(S371)*IFERROR(VLOOKUP($C371,Assumptions!$A$4:$F$7,3,FALSE),0)*Assumptions!$B$11</f>
        <v/>
      </c>
      <c r="Z371" s="3">
        <f>N(N371)*IFERROR(VLOOKUP($C371,Assumptions!$A$4:$F$7,4,FALSE),0)</f>
        <v/>
      </c>
      <c r="AA371" s="3">
        <f>N(T371)*IFERROR(VLOOKUP($C371,Assumptions!$A$4:$F$7,5,FALSE),0)</f>
        <v/>
      </c>
      <c r="AB371" s="3">
        <f>N(U371)</f>
        <v/>
      </c>
      <c r="AC371" s="3">
        <f>SUM(W371:AB371)</f>
        <v/>
      </c>
      <c r="AD371" s="3">
        <f>N(AC371)*N(M371)/90</f>
        <v/>
      </c>
      <c r="AE371" s="3">
        <f>IFERROR(AD371-VLOOKUP($C371,Assumptions!$A$29:$C$32,3,FALSE),"")</f>
        <v/>
      </c>
      <c r="AF371" s="3">
        <f>IFERROR(AE371/F371,"")</f>
        <v/>
      </c>
      <c r="AG371">
        <f>IF(AND($E371=TRUE,$C371="GKP"),AD371,"")</f>
        <v/>
      </c>
      <c r="AH371">
        <f>IF(AND($E371=TRUE,$C371="DEF"),AD371,"")</f>
        <v/>
      </c>
      <c r="AI371">
        <f>IF(AND($E371=TRUE,$C371="MID"),AD371,"")</f>
        <v/>
      </c>
      <c r="AJ371">
        <f>IF(AND($E371=TRUE,$C371="FWD"),AD371,"")</f>
        <v/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b">
        <v>1</v>
      </c>
      <c r="F372" s="2" t="n">
        <v>5</v>
      </c>
      <c r="G372" t="inlineStr">
        <is>
          <t>a</t>
        </is>
      </c>
      <c r="I372" s="2" t="n">
        <v>40</v>
      </c>
      <c r="J372" t="n">
        <v>4</v>
      </c>
      <c r="K372" s="3" t="n">
        <v>0</v>
      </c>
      <c r="L372" t="inlineStr">
        <is>
          <t>flat</t>
        </is>
      </c>
      <c r="M372" s="4" t="n">
        <v>40</v>
      </c>
      <c r="N372" s="4" t="n">
        <v>0.316</v>
      </c>
      <c r="O372" s="3" t="n">
        <v>0</v>
      </c>
      <c r="P372" t="inlineStr">
        <is>
          <t>adjusted xGOT</t>
        </is>
      </c>
      <c r="Q372" s="3" t="n">
        <v>1.082</v>
      </c>
      <c r="R372" s="3" t="n">
        <v>0.3</v>
      </c>
      <c r="S372" s="3" t="n">
        <v>0.045</v>
      </c>
      <c r="T372" s="3" t="n"/>
      <c r="U372" s="3" t="n">
        <v>0</v>
      </c>
      <c r="V372" s="3" t="n">
        <v>9</v>
      </c>
      <c r="W372" s="3">
        <f>IF(V372="",IFERROR(VLOOKUP($C372,Assumptions!$A$4:$F$7,6,FALSE),0),V372)</f>
        <v/>
      </c>
      <c r="X372" s="3">
        <f>N(O372)*IFERROR(VLOOKUP($C372,Assumptions!$A$4:$F$7,2,FALSE),0)</f>
        <v/>
      </c>
      <c r="Y372" s="3">
        <f>N(S372)*IFERROR(VLOOKUP($C372,Assumptions!$A$4:$F$7,3,FALSE),0)*Assumptions!$B$11</f>
        <v/>
      </c>
      <c r="Z372" s="3">
        <f>N(N372)*IFERROR(VLOOKUP($C372,Assumptions!$A$4:$F$7,4,FALSE),0)</f>
        <v/>
      </c>
      <c r="AA372" s="3">
        <f>N(T372)*IFERROR(VLOOKUP($C372,Assumptions!$A$4:$F$7,5,FALSE),0)</f>
        <v/>
      </c>
      <c r="AB372" s="3">
        <f>N(U372)</f>
        <v/>
      </c>
      <c r="AC372" s="3">
        <f>SUM(W372:AB372)</f>
        <v/>
      </c>
      <c r="AD372" s="3">
        <f>N(AC372)*N(M372)/90</f>
        <v/>
      </c>
      <c r="AE372" s="3">
        <f>IFERROR(AD372-VLOOKUP($C372,Assumptions!$A$29:$C$32,3,FALSE),"")</f>
        <v/>
      </c>
      <c r="AF372" s="3">
        <f>IFERROR(AE372/F372,"")</f>
        <v/>
      </c>
      <c r="AG372">
        <f>IF(AND($E372=TRUE,$C372="GKP"),AD372,"")</f>
        <v/>
      </c>
      <c r="AH372">
        <f>IF(AND($E372=TRUE,$C372="DEF"),AD372,"")</f>
        <v/>
      </c>
      <c r="AI372">
        <f>IF(AND($E372=TRUE,$C372="MID"),AD372,"")</f>
        <v/>
      </c>
      <c r="AJ372">
        <f>IF(AND($E372=TRUE,$C372="FWD"),AD372,"")</f>
        <v/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b">
        <v>1</v>
      </c>
      <c r="F373" s="2" t="n">
        <v>5</v>
      </c>
      <c r="G373" t="inlineStr">
        <is>
          <t>a</t>
        </is>
      </c>
      <c r="I373" s="2" t="n">
        <v>47</v>
      </c>
      <c r="J373" t="n">
        <v>3</v>
      </c>
      <c r="K373" s="3" t="n">
        <v>116</v>
      </c>
      <c r="L373" t="inlineStr">
        <is>
          <t>flat</t>
        </is>
      </c>
      <c r="M373" s="4" t="n">
        <v>47</v>
      </c>
      <c r="N373" s="4" t="n">
        <v>0.237</v>
      </c>
      <c r="O373" s="3" t="n">
        <v>0.09569999999999999</v>
      </c>
      <c r="P373" t="inlineStr">
        <is>
          <t>adjusted xGOT</t>
        </is>
      </c>
      <c r="Q373" s="3" t="n">
        <v>0.994</v>
      </c>
      <c r="R373" s="3" t="n">
        <v>0</v>
      </c>
      <c r="S373" s="3" t="n">
        <v>0.0479</v>
      </c>
      <c r="T373" s="3" t="n"/>
      <c r="U373" s="3" t="n">
        <v>0</v>
      </c>
      <c r="V373" s="3" t="n">
        <v>5.745</v>
      </c>
      <c r="W373" s="3">
        <f>IF(V373="",IFERROR(VLOOKUP($C373,Assumptions!$A$4:$F$7,6,FALSE),0),V373)</f>
        <v/>
      </c>
      <c r="X373" s="3">
        <f>N(O373)*IFERROR(VLOOKUP($C373,Assumptions!$A$4:$F$7,2,FALSE),0)</f>
        <v/>
      </c>
      <c r="Y373" s="3">
        <f>N(S373)*IFERROR(VLOOKUP($C373,Assumptions!$A$4:$F$7,3,FALSE),0)*Assumptions!$B$11</f>
        <v/>
      </c>
      <c r="Z373" s="3">
        <f>N(N373)*IFERROR(VLOOKUP($C373,Assumptions!$A$4:$F$7,4,FALSE),0)</f>
        <v/>
      </c>
      <c r="AA373" s="3">
        <f>N(T373)*IFERROR(VLOOKUP($C373,Assumptions!$A$4:$F$7,5,FALSE),0)</f>
        <v/>
      </c>
      <c r="AB373" s="3">
        <f>N(U373)</f>
        <v/>
      </c>
      <c r="AC373" s="3">
        <f>SUM(W373:AB373)</f>
        <v/>
      </c>
      <c r="AD373" s="3">
        <f>N(AC373)*N(M373)/90</f>
        <v/>
      </c>
      <c r="AE373" s="3">
        <f>IFERROR(AD373-VLOOKUP($C373,Assumptions!$A$29:$C$32,3,FALSE),"")</f>
        <v/>
      </c>
      <c r="AF373" s="3">
        <f>IFERROR(AE373/F373,"")</f>
        <v/>
      </c>
      <c r="AG373">
        <f>IF(AND($E373=TRUE,$C373="GKP"),AD373,"")</f>
        <v/>
      </c>
      <c r="AH373">
        <f>IF(AND($E373=TRUE,$C373="DEF"),AD373,"")</f>
        <v/>
      </c>
      <c r="AI373">
        <f>IF(AND($E373=TRUE,$C373="MID"),AD373,"")</f>
        <v/>
      </c>
      <c r="AJ373">
        <f>IF(AND($E373=TRUE,$C373="FWD"),AD373,"")</f>
        <v/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b">
        <v>1</v>
      </c>
      <c r="F374" s="2" t="n">
        <v>4</v>
      </c>
      <c r="G374" t="inlineStr">
        <is>
          <t>a</t>
        </is>
      </c>
      <c r="I374" s="2" t="n">
        <v>142</v>
      </c>
      <c r="J374" t="n">
        <v>3</v>
      </c>
      <c r="K374" s="3" t="n">
        <v>112</v>
      </c>
      <c r="L374" t="inlineStr">
        <is>
          <t>flat</t>
        </is>
      </c>
      <c r="M374" s="4" t="n">
        <v>142</v>
      </c>
      <c r="N374" s="4" t="n">
        <v>0.237</v>
      </c>
      <c r="O374" s="3" t="n">
        <v>0.0127</v>
      </c>
      <c r="P374" t="inlineStr">
        <is>
          <t>adjusted xGOT</t>
        </is>
      </c>
      <c r="Q374" s="3" t="n">
        <v>1.022</v>
      </c>
      <c r="R374" s="3" t="n">
        <v>0</v>
      </c>
      <c r="S374" s="3" t="n">
        <v>0.0736</v>
      </c>
      <c r="T374" s="3" t="n">
        <v>0</v>
      </c>
      <c r="U374" s="3" t="n">
        <v>0</v>
      </c>
      <c r="V374" s="3" t="n">
        <v>2.535</v>
      </c>
      <c r="W374" s="3">
        <f>IF(V374="",IFERROR(VLOOKUP($C374,Assumptions!$A$4:$F$7,6,FALSE),0),V374)</f>
        <v/>
      </c>
      <c r="X374" s="3">
        <f>N(O374)*IFERROR(VLOOKUP($C374,Assumptions!$A$4:$F$7,2,FALSE),0)</f>
        <v/>
      </c>
      <c r="Y374" s="3">
        <f>N(S374)*IFERROR(VLOOKUP($C374,Assumptions!$A$4:$F$7,3,FALSE),0)*Assumptions!$B$11</f>
        <v/>
      </c>
      <c r="Z374" s="3">
        <f>N(N374)*IFERROR(VLOOKUP($C374,Assumptions!$A$4:$F$7,4,FALSE),0)</f>
        <v/>
      </c>
      <c r="AA374" s="3">
        <f>N(T374)*IFERROR(VLOOKUP($C374,Assumptions!$A$4:$F$7,5,FALSE),0)</f>
        <v/>
      </c>
      <c r="AB374" s="3">
        <f>N(U374)</f>
        <v/>
      </c>
      <c r="AC374" s="3">
        <f>SUM(W374:AB374)</f>
        <v/>
      </c>
      <c r="AD374" s="3">
        <f>N(AC374)*N(M374)/90</f>
        <v/>
      </c>
      <c r="AE374" s="3">
        <f>IFERROR(AD374-VLOOKUP($C374,Assumptions!$A$29:$C$32,3,FALSE),"")</f>
        <v/>
      </c>
      <c r="AF374" s="3">
        <f>IFERROR(AE374/F374,"")</f>
        <v/>
      </c>
      <c r="AG374">
        <f>IF(AND($E374=TRUE,$C374="GKP"),AD374,"")</f>
        <v/>
      </c>
      <c r="AH374">
        <f>IF(AND($E374=TRUE,$C374="DEF"),AD374,"")</f>
        <v/>
      </c>
      <c r="AI374">
        <f>IF(AND($E374=TRUE,$C374="MID"),AD374,"")</f>
        <v/>
      </c>
      <c r="AJ374">
        <f>IF(AND($E374=TRUE,$C374="FWD"),AD374,"")</f>
        <v/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b">
        <v>1</v>
      </c>
      <c r="F375" s="2" t="n">
        <v>5</v>
      </c>
      <c r="G375" t="inlineStr">
        <is>
          <t>u</t>
        </is>
      </c>
      <c r="H375" t="inlineStr">
        <is>
          <t>Has joined Elche on loan for the rest of the season</t>
        </is>
      </c>
      <c r="I375" s="2" t="n">
        <v>81</v>
      </c>
      <c r="J375" t="n">
        <v>3</v>
      </c>
      <c r="K375" s="3" t="n"/>
      <c r="M375" s="4" t="n">
        <v>81</v>
      </c>
      <c r="N375" s="4" t="n">
        <v>0.263</v>
      </c>
      <c r="O375" s="3" t="n">
        <v>0.0678</v>
      </c>
      <c r="P375" t="inlineStr">
        <is>
          <t>adjusted xGOT</t>
        </is>
      </c>
      <c r="Q375" s="3" t="n">
        <v>1.012</v>
      </c>
      <c r="R375" s="3" t="n">
        <v>7.7</v>
      </c>
      <c r="S375" s="3" t="n">
        <v>0.3226</v>
      </c>
      <c r="T375" s="3" t="n">
        <v>0</v>
      </c>
      <c r="U375" s="3" t="n">
        <v>0</v>
      </c>
      <c r="V375" s="3" t="n">
        <v>4.444</v>
      </c>
      <c r="W375" s="3">
        <f>IF(V375="",IFERROR(VLOOKUP($C375,Assumptions!$A$4:$F$7,6,FALSE),0),V375)</f>
        <v/>
      </c>
      <c r="X375" s="3">
        <f>N(O375)*IFERROR(VLOOKUP($C375,Assumptions!$A$4:$F$7,2,FALSE),0)</f>
        <v/>
      </c>
      <c r="Y375" s="3">
        <f>N(S375)*IFERROR(VLOOKUP($C375,Assumptions!$A$4:$F$7,3,FALSE),0)*Assumptions!$B$11</f>
        <v/>
      </c>
      <c r="Z375" s="3">
        <f>N(N375)*IFERROR(VLOOKUP($C375,Assumptions!$A$4:$F$7,4,FALSE),0)</f>
        <v/>
      </c>
      <c r="AA375" s="3">
        <f>N(T375)*IFERROR(VLOOKUP($C375,Assumptions!$A$4:$F$7,5,FALSE),0)</f>
        <v/>
      </c>
      <c r="AB375" s="3">
        <f>N(U375)</f>
        <v/>
      </c>
      <c r="AC375" s="3">
        <f>SUM(W375:AB375)</f>
        <v/>
      </c>
      <c r="AD375" s="3">
        <f>N(AC375)*N(M375)/90</f>
        <v/>
      </c>
      <c r="AE375" s="3">
        <f>IFERROR(AD375-VLOOKUP($C375,Assumptions!$A$29:$C$32,3,FALSE),"")</f>
        <v/>
      </c>
      <c r="AF375" s="3">
        <f>IFERROR(AE375/F375,"")</f>
        <v/>
      </c>
      <c r="AG375">
        <f>IF(AND($E375=TRUE,$C375="GKP"),AD375,"")</f>
        <v/>
      </c>
      <c r="AH375">
        <f>IF(AND($E375=TRUE,$C375="DEF"),AD375,"")</f>
        <v/>
      </c>
      <c r="AI375">
        <f>IF(AND($E375=TRUE,$C375="MID"),AD375,"")</f>
        <v/>
      </c>
      <c r="AJ375">
        <f>IF(AND($E375=TRUE,$C375="FWD"),AD375,"")</f>
        <v/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b">
        <v>1</v>
      </c>
      <c r="F376" s="2" t="n">
        <v>6.5</v>
      </c>
      <c r="G376" t="inlineStr">
        <is>
          <t>a</t>
        </is>
      </c>
      <c r="I376" s="2" t="n">
        <v>34</v>
      </c>
      <c r="J376" t="n">
        <v>3</v>
      </c>
      <c r="K376" s="3" t="n">
        <v>1060</v>
      </c>
      <c r="L376" t="inlineStr">
        <is>
          <t>flat</t>
        </is>
      </c>
      <c r="M376" s="4" t="n">
        <v>34</v>
      </c>
      <c r="N376" s="4" t="n">
        <v>0.237</v>
      </c>
      <c r="O376" s="3" t="n">
        <v>0.5903</v>
      </c>
      <c r="P376" t="inlineStr">
        <is>
          <t>adjusted xGOT</t>
        </is>
      </c>
      <c r="Q376" s="3" t="n">
        <v>1.06</v>
      </c>
      <c r="R376" s="3" t="n">
        <v>20.8</v>
      </c>
      <c r="S376" s="3" t="n">
        <v>0.0794</v>
      </c>
      <c r="T376" s="3" t="n"/>
      <c r="U376" s="3" t="n">
        <v>0</v>
      </c>
      <c r="V376" s="3" t="n">
        <v>7.941</v>
      </c>
      <c r="W376" s="3">
        <f>IF(V376="",IFERROR(VLOOKUP($C376,Assumptions!$A$4:$F$7,6,FALSE),0),V376)</f>
        <v/>
      </c>
      <c r="X376" s="3">
        <f>N(O376)*IFERROR(VLOOKUP($C376,Assumptions!$A$4:$F$7,2,FALSE),0)</f>
        <v/>
      </c>
      <c r="Y376" s="3">
        <f>N(S376)*IFERROR(VLOOKUP($C376,Assumptions!$A$4:$F$7,3,FALSE),0)*Assumptions!$B$11</f>
        <v/>
      </c>
      <c r="Z376" s="3">
        <f>N(N376)*IFERROR(VLOOKUP($C376,Assumptions!$A$4:$F$7,4,FALSE),0)</f>
        <v/>
      </c>
      <c r="AA376" s="3">
        <f>N(T376)*IFERROR(VLOOKUP($C376,Assumptions!$A$4:$F$7,5,FALSE),0)</f>
        <v/>
      </c>
      <c r="AB376" s="3">
        <f>N(U376)</f>
        <v/>
      </c>
      <c r="AC376" s="3">
        <f>SUM(W376:AB376)</f>
        <v/>
      </c>
      <c r="AD376" s="3">
        <f>N(AC376)*N(M376)/90</f>
        <v/>
      </c>
      <c r="AE376" s="3">
        <f>IFERROR(AD376-VLOOKUP($C376,Assumptions!$A$29:$C$32,3,FALSE),"")</f>
        <v/>
      </c>
      <c r="AF376" s="3">
        <f>IFERROR(AE376/F376,"")</f>
        <v/>
      </c>
      <c r="AG376">
        <f>IF(AND($E376=TRUE,$C376="GKP"),AD376,"")</f>
        <v/>
      </c>
      <c r="AH376">
        <f>IF(AND($E376=TRUE,$C376="DEF"),AD376,"")</f>
        <v/>
      </c>
      <c r="AI376">
        <f>IF(AND($E376=TRUE,$C376="MID"),AD376,"")</f>
        <v/>
      </c>
      <c r="AJ376">
        <f>IF(AND($E376=TRUE,$C376="FWD"),AD376,"")</f>
        <v/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b">
        <v>1</v>
      </c>
      <c r="F377" s="2" t="n">
        <v>5</v>
      </c>
      <c r="G377" t="inlineStr">
        <is>
          <t>a</t>
        </is>
      </c>
      <c r="I377" s="2" t="n">
        <v>40</v>
      </c>
      <c r="J377" t="n">
        <v>3</v>
      </c>
      <c r="K377" s="3" t="n">
        <v>14</v>
      </c>
      <c r="L377" t="inlineStr">
        <is>
          <t>flat</t>
        </is>
      </c>
      <c r="M377" s="4" t="n">
        <v>40</v>
      </c>
      <c r="N377" s="4" t="n">
        <v>0.21</v>
      </c>
      <c r="O377" s="3" t="n">
        <v>0.2228</v>
      </c>
      <c r="P377" t="inlineStr">
        <is>
          <t>adjusted xGOT</t>
        </is>
      </c>
      <c r="Q377" s="3" t="n">
        <v>0.988</v>
      </c>
      <c r="R377" s="3" t="n">
        <v>0.1</v>
      </c>
      <c r="S377" s="3" t="n">
        <v>0.0112</v>
      </c>
      <c r="T377" s="3" t="n"/>
      <c r="U377" s="3" t="n">
        <v>0</v>
      </c>
      <c r="V377" s="3" t="n">
        <v>6.75</v>
      </c>
      <c r="W377" s="3">
        <f>IF(V377="",IFERROR(VLOOKUP($C377,Assumptions!$A$4:$F$7,6,FALSE),0),V377)</f>
        <v/>
      </c>
      <c r="X377" s="3">
        <f>N(O377)*IFERROR(VLOOKUP($C377,Assumptions!$A$4:$F$7,2,FALSE),0)</f>
        <v/>
      </c>
      <c r="Y377" s="3">
        <f>N(S377)*IFERROR(VLOOKUP($C377,Assumptions!$A$4:$F$7,3,FALSE),0)*Assumptions!$B$11</f>
        <v/>
      </c>
      <c r="Z377" s="3">
        <f>N(N377)*IFERROR(VLOOKUP($C377,Assumptions!$A$4:$F$7,4,FALSE),0)</f>
        <v/>
      </c>
      <c r="AA377" s="3">
        <f>N(T377)*IFERROR(VLOOKUP($C377,Assumptions!$A$4:$F$7,5,FALSE),0)</f>
        <v/>
      </c>
      <c r="AB377" s="3">
        <f>N(U377)</f>
        <v/>
      </c>
      <c r="AC377" s="3">
        <f>SUM(W377:AB377)</f>
        <v/>
      </c>
      <c r="AD377" s="3">
        <f>N(AC377)*N(M377)/90</f>
        <v/>
      </c>
      <c r="AE377" s="3">
        <f>IFERROR(AD377-VLOOKUP($C377,Assumptions!$A$29:$C$32,3,FALSE),"")</f>
        <v/>
      </c>
      <c r="AF377" s="3">
        <f>IFERROR(AE377/F377,"")</f>
        <v/>
      </c>
      <c r="AG377">
        <f>IF(AND($E377=TRUE,$C377="GKP"),AD377,"")</f>
        <v/>
      </c>
      <c r="AH377">
        <f>IF(AND($E377=TRUE,$C377="DEF"),AD377,"")</f>
        <v/>
      </c>
      <c r="AI377">
        <f>IF(AND($E377=TRUE,$C377="MID"),AD377,"")</f>
        <v/>
      </c>
      <c r="AJ377">
        <f>IF(AND($E377=TRUE,$C377="FWD"),AD377,"")</f>
        <v/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b">
        <v>1</v>
      </c>
      <c r="F378" s="2" t="n">
        <v>5</v>
      </c>
      <c r="G378" t="inlineStr">
        <is>
          <t>a</t>
        </is>
      </c>
      <c r="I378" s="2" t="n">
        <v>107</v>
      </c>
      <c r="J378" t="n">
        <v>3</v>
      </c>
      <c r="K378" s="3" t="n">
        <v>0</v>
      </c>
      <c r="L378" t="inlineStr">
        <is>
          <t>flat</t>
        </is>
      </c>
      <c r="M378" s="4" t="n">
        <v>107</v>
      </c>
      <c r="N378" s="4" t="n">
        <v>0.21</v>
      </c>
      <c r="O378" s="3" t="n">
        <v>0.0252</v>
      </c>
      <c r="P378" t="inlineStr">
        <is>
          <t>adjusted xGOT</t>
        </is>
      </c>
      <c r="Q378" s="3" t="n">
        <v>0.996</v>
      </c>
      <c r="R378" s="3" t="n">
        <v>0</v>
      </c>
      <c r="S378" s="3" t="n">
        <v>0.0567</v>
      </c>
      <c r="T378" s="3" t="n"/>
      <c r="U378" s="3" t="n">
        <v>0</v>
      </c>
      <c r="V378" s="3" t="n">
        <v>2.523</v>
      </c>
      <c r="W378" s="3">
        <f>IF(V378="",IFERROR(VLOOKUP($C378,Assumptions!$A$4:$F$7,6,FALSE),0),V378)</f>
        <v/>
      </c>
      <c r="X378" s="3">
        <f>N(O378)*IFERROR(VLOOKUP($C378,Assumptions!$A$4:$F$7,2,FALSE),0)</f>
        <v/>
      </c>
      <c r="Y378" s="3">
        <f>N(S378)*IFERROR(VLOOKUP($C378,Assumptions!$A$4:$F$7,3,FALSE),0)*Assumptions!$B$11</f>
        <v/>
      </c>
      <c r="Z378" s="3">
        <f>N(N378)*IFERROR(VLOOKUP($C378,Assumptions!$A$4:$F$7,4,FALSE),0)</f>
        <v/>
      </c>
      <c r="AA378" s="3">
        <f>N(T378)*IFERROR(VLOOKUP($C378,Assumptions!$A$4:$F$7,5,FALSE),0)</f>
        <v/>
      </c>
      <c r="AB378" s="3">
        <f>N(U378)</f>
        <v/>
      </c>
      <c r="AC378" s="3">
        <f>SUM(W378:AB378)</f>
        <v/>
      </c>
      <c r="AD378" s="3">
        <f>N(AC378)*N(M378)/90</f>
        <v/>
      </c>
      <c r="AE378" s="3">
        <f>IFERROR(AD378-VLOOKUP($C378,Assumptions!$A$29:$C$32,3,FALSE),"")</f>
        <v/>
      </c>
      <c r="AF378" s="3">
        <f>IFERROR(AE378/F378,"")</f>
        <v/>
      </c>
      <c r="AG378">
        <f>IF(AND($E378=TRUE,$C378="GKP"),AD378,"")</f>
        <v/>
      </c>
      <c r="AH378">
        <f>IF(AND($E378=TRUE,$C378="DEF"),AD378,"")</f>
        <v/>
      </c>
      <c r="AI378">
        <f>IF(AND($E378=TRUE,$C378="MID"),AD378,"")</f>
        <v/>
      </c>
      <c r="AJ378">
        <f>IF(AND($E378=TRUE,$C378="FWD"),AD378,"")</f>
        <v/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b">
        <v>1</v>
      </c>
      <c r="F379" s="2" t="n">
        <v>4</v>
      </c>
      <c r="G379" t="inlineStr">
        <is>
          <t>a</t>
        </is>
      </c>
      <c r="I379" s="2" t="n">
        <v>34</v>
      </c>
      <c r="J379" t="n">
        <v>3</v>
      </c>
      <c r="K379" s="3" t="n">
        <v>0</v>
      </c>
      <c r="L379" t="inlineStr">
        <is>
          <t>flat</t>
        </is>
      </c>
      <c r="M379" s="4" t="n">
        <v>34</v>
      </c>
      <c r="N379" s="4" t="n">
        <v>0.29</v>
      </c>
      <c r="O379" s="3" t="n">
        <v>0</v>
      </c>
      <c r="P379" t="inlineStr">
        <is>
          <t>blended xG</t>
        </is>
      </c>
      <c r="Q379" s="3" t="n">
        <v>1</v>
      </c>
      <c r="R379" s="3" t="n">
        <v>0</v>
      </c>
      <c r="S379" s="3" t="n">
        <v>0</v>
      </c>
      <c r="T379" s="3" t="n"/>
      <c r="U379" s="3" t="n">
        <v>0</v>
      </c>
      <c r="V379" s="3" t="n">
        <v>7.941</v>
      </c>
      <c r="W379" s="3">
        <f>IF(V379="",IFERROR(VLOOKUP($C379,Assumptions!$A$4:$F$7,6,FALSE),0),V379)</f>
        <v/>
      </c>
      <c r="X379" s="3">
        <f>N(O379)*IFERROR(VLOOKUP($C379,Assumptions!$A$4:$F$7,2,FALSE),0)</f>
        <v/>
      </c>
      <c r="Y379" s="3">
        <f>N(S379)*IFERROR(VLOOKUP($C379,Assumptions!$A$4:$F$7,3,FALSE),0)*Assumptions!$B$11</f>
        <v/>
      </c>
      <c r="Z379" s="3">
        <f>N(N379)*IFERROR(VLOOKUP($C379,Assumptions!$A$4:$F$7,4,FALSE),0)</f>
        <v/>
      </c>
      <c r="AA379" s="3">
        <f>N(T379)*IFERROR(VLOOKUP($C379,Assumptions!$A$4:$F$7,5,FALSE),0)</f>
        <v/>
      </c>
      <c r="AB379" s="3">
        <f>N(U379)</f>
        <v/>
      </c>
      <c r="AC379" s="3">
        <f>SUM(W379:AB379)</f>
        <v/>
      </c>
      <c r="AD379" s="3">
        <f>N(AC379)*N(M379)/90</f>
        <v/>
      </c>
      <c r="AE379" s="3">
        <f>IFERROR(AD379-VLOOKUP($C379,Assumptions!$A$29:$C$32,3,FALSE),"")</f>
        <v/>
      </c>
      <c r="AF379" s="3">
        <f>IFERROR(AE379/F379,"")</f>
        <v/>
      </c>
      <c r="AG379">
        <f>IF(AND($E379=TRUE,$C379="GKP"),AD379,"")</f>
        <v/>
      </c>
      <c r="AH379">
        <f>IF(AND($E379=TRUE,$C379="DEF"),AD379,"")</f>
        <v/>
      </c>
      <c r="AI379">
        <f>IF(AND($E379=TRUE,$C379="MID"),AD379,"")</f>
        <v/>
      </c>
      <c r="AJ379">
        <f>IF(AND($E379=TRUE,$C379="FWD"),AD379,"")</f>
        <v/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b">
        <v>1</v>
      </c>
      <c r="F380" s="2" t="n">
        <v>4.5</v>
      </c>
      <c r="G380" t="inlineStr">
        <is>
          <t>a</t>
        </is>
      </c>
      <c r="I380" s="2" t="n">
        <v>100</v>
      </c>
      <c r="J380" t="n">
        <v>3</v>
      </c>
      <c r="K380" s="3" t="n">
        <v>0</v>
      </c>
      <c r="L380" t="inlineStr">
        <is>
          <t>flat</t>
        </is>
      </c>
      <c r="M380" s="4" t="n">
        <v>100</v>
      </c>
      <c r="N380" s="4" t="n">
        <v>0.237</v>
      </c>
      <c r="O380" s="3" t="n">
        <v>0.3015</v>
      </c>
      <c r="P380" t="inlineStr">
        <is>
          <t>adjusted xGOT</t>
        </is>
      </c>
      <c r="Q380" s="3" t="n">
        <v>0.958</v>
      </c>
      <c r="R380" s="3" t="n">
        <v>0.4</v>
      </c>
      <c r="S380" s="3" t="n">
        <v>0</v>
      </c>
      <c r="T380" s="3" t="n">
        <v>0</v>
      </c>
      <c r="U380" s="3" t="n">
        <v>0</v>
      </c>
      <c r="V380" s="3" t="n">
        <v>3.6</v>
      </c>
      <c r="W380" s="3">
        <f>IF(V380="",IFERROR(VLOOKUP($C380,Assumptions!$A$4:$F$7,6,FALSE),0),V380)</f>
        <v/>
      </c>
      <c r="X380" s="3">
        <f>N(O380)*IFERROR(VLOOKUP($C380,Assumptions!$A$4:$F$7,2,FALSE),0)</f>
        <v/>
      </c>
      <c r="Y380" s="3">
        <f>N(S380)*IFERROR(VLOOKUP($C380,Assumptions!$A$4:$F$7,3,FALSE),0)*Assumptions!$B$11</f>
        <v/>
      </c>
      <c r="Z380" s="3">
        <f>N(N380)*IFERROR(VLOOKUP($C380,Assumptions!$A$4:$F$7,4,FALSE),0)</f>
        <v/>
      </c>
      <c r="AA380" s="3">
        <f>N(T380)*IFERROR(VLOOKUP($C380,Assumptions!$A$4:$F$7,5,FALSE),0)</f>
        <v/>
      </c>
      <c r="AB380" s="3">
        <f>N(U380)</f>
        <v/>
      </c>
      <c r="AC380" s="3">
        <f>SUM(W380:AB380)</f>
        <v/>
      </c>
      <c r="AD380" s="3">
        <f>N(AC380)*N(M380)/90</f>
        <v/>
      </c>
      <c r="AE380" s="3">
        <f>IFERROR(AD380-VLOOKUP($C380,Assumptions!$A$29:$C$32,3,FALSE),"")</f>
        <v/>
      </c>
      <c r="AF380" s="3">
        <f>IFERROR(AE380/F380,"")</f>
        <v/>
      </c>
      <c r="AG380">
        <f>IF(AND($E380=TRUE,$C380="GKP"),AD380,"")</f>
        <v/>
      </c>
      <c r="AH380">
        <f>IF(AND($E380=TRUE,$C380="DEF"),AD380,"")</f>
        <v/>
      </c>
      <c r="AI380">
        <f>IF(AND($E380=TRUE,$C380="MID"),AD380,"")</f>
        <v/>
      </c>
      <c r="AJ380">
        <f>IF(AND($E380=TRUE,$C380="FWD"),AD380,"")</f>
        <v/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b">
        <v>1</v>
      </c>
      <c r="F381" s="2" t="n">
        <v>4</v>
      </c>
      <c r="G381" t="inlineStr">
        <is>
          <t>a</t>
        </is>
      </c>
      <c r="I381" s="2" t="n">
        <v>165</v>
      </c>
      <c r="J381" t="n">
        <v>3</v>
      </c>
      <c r="K381" s="3" t="n">
        <v>0</v>
      </c>
      <c r="L381" t="inlineStr">
        <is>
          <t>flat</t>
        </is>
      </c>
      <c r="M381" s="4" t="n">
        <v>165</v>
      </c>
      <c r="N381" s="4" t="n">
        <v>0.237</v>
      </c>
      <c r="O381" s="3" t="n">
        <v>0</v>
      </c>
      <c r="P381" t="inlineStr">
        <is>
          <t>blended xG</t>
        </is>
      </c>
      <c r="Q381" s="3" t="n">
        <v>1</v>
      </c>
      <c r="R381" s="3" t="n">
        <v>0</v>
      </c>
      <c r="S381" s="3" t="n">
        <v>0.0027</v>
      </c>
      <c r="T381" s="3" t="n">
        <v>0</v>
      </c>
      <c r="U381" s="3" t="n">
        <v>0</v>
      </c>
      <c r="V381" s="3" t="n">
        <v>2.182</v>
      </c>
      <c r="W381" s="3">
        <f>IF(V381="",IFERROR(VLOOKUP($C381,Assumptions!$A$4:$F$7,6,FALSE),0),V381)</f>
        <v/>
      </c>
      <c r="X381" s="3">
        <f>N(O381)*IFERROR(VLOOKUP($C381,Assumptions!$A$4:$F$7,2,FALSE),0)</f>
        <v/>
      </c>
      <c r="Y381" s="3">
        <f>N(S381)*IFERROR(VLOOKUP($C381,Assumptions!$A$4:$F$7,3,FALSE),0)*Assumptions!$B$11</f>
        <v/>
      </c>
      <c r="Z381" s="3">
        <f>N(N381)*IFERROR(VLOOKUP($C381,Assumptions!$A$4:$F$7,4,FALSE),0)</f>
        <v/>
      </c>
      <c r="AA381" s="3">
        <f>N(T381)*IFERROR(VLOOKUP($C381,Assumptions!$A$4:$F$7,5,FALSE),0)</f>
        <v/>
      </c>
      <c r="AB381" s="3">
        <f>N(U381)</f>
        <v/>
      </c>
      <c r="AC381" s="3">
        <f>SUM(W381:AB381)</f>
        <v/>
      </c>
      <c r="AD381" s="3">
        <f>N(AC381)*N(M381)/90</f>
        <v/>
      </c>
      <c r="AE381" s="3">
        <f>IFERROR(AD381-VLOOKUP($C381,Assumptions!$A$29:$C$32,3,FALSE),"")</f>
        <v/>
      </c>
      <c r="AF381" s="3">
        <f>IFERROR(AE381/F381,"")</f>
        <v/>
      </c>
      <c r="AG381">
        <f>IF(AND($E381=TRUE,$C381="GKP"),AD381,"")</f>
        <v/>
      </c>
      <c r="AH381">
        <f>IF(AND($E381=TRUE,$C381="DEF"),AD381,"")</f>
        <v/>
      </c>
      <c r="AI381">
        <f>IF(AND($E381=TRUE,$C381="MID"),AD381,"")</f>
        <v/>
      </c>
      <c r="AJ381">
        <f>IF(AND($E381=TRUE,$C381="FWD"),AD381,"")</f>
        <v/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b">
        <v>1</v>
      </c>
      <c r="F382" s="2" t="n">
        <v>4</v>
      </c>
      <c r="G382" t="inlineStr">
        <is>
          <t>u</t>
        </is>
      </c>
      <c r="H382" t="inlineStr">
        <is>
          <t>Has joined FC Kaiserslautern on loan for the rest of the season</t>
        </is>
      </c>
      <c r="I382" s="2" t="n">
        <v>7</v>
      </c>
      <c r="J382" t="n">
        <v>2</v>
      </c>
      <c r="K382" s="3" t="n"/>
      <c r="M382" s="4" t="n">
        <v>7</v>
      </c>
      <c r="N382" s="4" t="n">
        <v>0.21</v>
      </c>
      <c r="O382" s="3" t="n">
        <v>0</v>
      </c>
      <c r="P382" t="inlineStr">
        <is>
          <t>blended xG</t>
        </is>
      </c>
      <c r="Q382" s="3" t="n">
        <v>1</v>
      </c>
      <c r="R382" s="3" t="n">
        <v>0</v>
      </c>
      <c r="S382" s="3" t="n">
        <v>0</v>
      </c>
      <c r="T382" s="3" t="n"/>
      <c r="U382" s="3" t="n">
        <v>0</v>
      </c>
      <c r="V382" s="3" t="n">
        <v>25.714</v>
      </c>
      <c r="W382" s="3">
        <f>IF(V382="",IFERROR(VLOOKUP($C382,Assumptions!$A$4:$F$7,6,FALSE),0),V382)</f>
        <v/>
      </c>
      <c r="X382" s="3">
        <f>N(O382)*IFERROR(VLOOKUP($C382,Assumptions!$A$4:$F$7,2,FALSE),0)</f>
        <v/>
      </c>
      <c r="Y382" s="3">
        <f>N(S382)*IFERROR(VLOOKUP($C382,Assumptions!$A$4:$F$7,3,FALSE),0)*Assumptions!$B$11</f>
        <v/>
      </c>
      <c r="Z382" s="3">
        <f>N(N382)*IFERROR(VLOOKUP($C382,Assumptions!$A$4:$F$7,4,FALSE),0)</f>
        <v/>
      </c>
      <c r="AA382" s="3">
        <f>N(T382)*IFERROR(VLOOKUP($C382,Assumptions!$A$4:$F$7,5,FALSE),0)</f>
        <v/>
      </c>
      <c r="AB382" s="3">
        <f>N(U382)</f>
        <v/>
      </c>
      <c r="AC382" s="3">
        <f>SUM(W382:AB382)</f>
        <v/>
      </c>
      <c r="AD382" s="3">
        <f>N(AC382)*N(M382)/90</f>
        <v/>
      </c>
      <c r="AE382" s="3">
        <f>IFERROR(AD382-VLOOKUP($C382,Assumptions!$A$29:$C$32,3,FALSE),"")</f>
        <v/>
      </c>
      <c r="AF382" s="3">
        <f>IFERROR(AE382/F382,"")</f>
        <v/>
      </c>
      <c r="AG382">
        <f>IF(AND($E382=TRUE,$C382="GKP"),AD382,"")</f>
        <v/>
      </c>
      <c r="AH382">
        <f>IF(AND($E382=TRUE,$C382="DEF"),AD382,"")</f>
        <v/>
      </c>
      <c r="AI382">
        <f>IF(AND($E382=TRUE,$C382="MID"),AD382,"")</f>
        <v/>
      </c>
      <c r="AJ382">
        <f>IF(AND($E382=TRUE,$C382="FWD"),AD382,"")</f>
        <v/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b">
        <v>1</v>
      </c>
      <c r="F383" s="2" t="n">
        <v>4.5</v>
      </c>
      <c r="G383" t="inlineStr">
        <is>
          <t>a</t>
        </is>
      </c>
      <c r="I383" s="2" t="n">
        <v>7</v>
      </c>
      <c r="J383" t="n">
        <v>2</v>
      </c>
      <c r="K383" s="3" t="n">
        <v>0</v>
      </c>
      <c r="L383" t="inlineStr">
        <is>
          <t>flat</t>
        </is>
      </c>
      <c r="M383" s="4" t="n">
        <v>7</v>
      </c>
      <c r="N383" s="4" t="n">
        <v>0.316</v>
      </c>
      <c r="O383" s="3" t="n">
        <v>0</v>
      </c>
      <c r="P383" t="inlineStr">
        <is>
          <t>blended xG</t>
        </is>
      </c>
      <c r="Q383" s="3" t="n">
        <v>1</v>
      </c>
      <c r="R383" s="3" t="n">
        <v>0</v>
      </c>
      <c r="S383" s="3" t="n">
        <v>0</v>
      </c>
      <c r="T383" s="3" t="n"/>
      <c r="U383" s="3" t="n">
        <v>0</v>
      </c>
      <c r="V383" s="3" t="n">
        <v>25.714</v>
      </c>
      <c r="W383" s="3">
        <f>IF(V383="",IFERROR(VLOOKUP($C383,Assumptions!$A$4:$F$7,6,FALSE),0),V383)</f>
        <v/>
      </c>
      <c r="X383" s="3">
        <f>N(O383)*IFERROR(VLOOKUP($C383,Assumptions!$A$4:$F$7,2,FALSE),0)</f>
        <v/>
      </c>
      <c r="Y383" s="3">
        <f>N(S383)*IFERROR(VLOOKUP($C383,Assumptions!$A$4:$F$7,3,FALSE),0)*Assumptions!$B$11</f>
        <v/>
      </c>
      <c r="Z383" s="3">
        <f>N(N383)*IFERROR(VLOOKUP($C383,Assumptions!$A$4:$F$7,4,FALSE),0)</f>
        <v/>
      </c>
      <c r="AA383" s="3">
        <f>N(T383)*IFERROR(VLOOKUP($C383,Assumptions!$A$4:$F$7,5,FALSE),0)</f>
        <v/>
      </c>
      <c r="AB383" s="3">
        <f>N(U383)</f>
        <v/>
      </c>
      <c r="AC383" s="3">
        <f>SUM(W383:AB383)</f>
        <v/>
      </c>
      <c r="AD383" s="3">
        <f>N(AC383)*N(M383)/90</f>
        <v/>
      </c>
      <c r="AE383" s="3">
        <f>IFERROR(AD383-VLOOKUP($C383,Assumptions!$A$29:$C$32,3,FALSE),"")</f>
        <v/>
      </c>
      <c r="AF383" s="3">
        <f>IFERROR(AE383/F383,"")</f>
        <v/>
      </c>
      <c r="AG383">
        <f>IF(AND($E383=TRUE,$C383="GKP"),AD383,"")</f>
        <v/>
      </c>
      <c r="AH383">
        <f>IF(AND($E383=TRUE,$C383="DEF"),AD383,"")</f>
        <v/>
      </c>
      <c r="AI383">
        <f>IF(AND($E383=TRUE,$C383="MID"),AD383,"")</f>
        <v/>
      </c>
      <c r="AJ383">
        <f>IF(AND($E383=TRUE,$C383="FWD"),AD383,"")</f>
        <v/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b">
        <v>1</v>
      </c>
      <c r="F384" s="2" t="n">
        <v>5</v>
      </c>
      <c r="G384" t="inlineStr">
        <is>
          <t>a</t>
        </is>
      </c>
      <c r="I384" s="2" t="n">
        <v>90</v>
      </c>
      <c r="J384" t="n">
        <v>2</v>
      </c>
      <c r="K384" s="3" t="n">
        <v>35</v>
      </c>
      <c r="L384" t="inlineStr">
        <is>
          <t>flat</t>
        </is>
      </c>
      <c r="M384" s="4" t="n">
        <v>90</v>
      </c>
      <c r="N384" s="4" t="n">
        <v>0.5</v>
      </c>
      <c r="O384" s="3" t="n">
        <v>0</v>
      </c>
      <c r="P384" t="inlineStr">
        <is>
          <t>adjusted xGOT</t>
        </is>
      </c>
      <c r="Q384" s="3" t="n">
        <v>0.993</v>
      </c>
      <c r="R384" s="3" t="n">
        <v>0.1</v>
      </c>
      <c r="S384" s="3" t="n">
        <v>0</v>
      </c>
      <c r="T384" s="3" t="n">
        <v>0</v>
      </c>
      <c r="U384" s="3" t="n">
        <v>0</v>
      </c>
      <c r="V384" s="3" t="n">
        <v>2</v>
      </c>
      <c r="W384" s="3">
        <f>IF(V384="",IFERROR(VLOOKUP($C384,Assumptions!$A$4:$F$7,6,FALSE),0),V384)</f>
        <v/>
      </c>
      <c r="X384" s="3">
        <f>N(O384)*IFERROR(VLOOKUP($C384,Assumptions!$A$4:$F$7,2,FALSE),0)</f>
        <v/>
      </c>
      <c r="Y384" s="3">
        <f>N(S384)*IFERROR(VLOOKUP($C384,Assumptions!$A$4:$F$7,3,FALSE),0)*Assumptions!$B$11</f>
        <v/>
      </c>
      <c r="Z384" s="3">
        <f>N(N384)*IFERROR(VLOOKUP($C384,Assumptions!$A$4:$F$7,4,FALSE),0)</f>
        <v/>
      </c>
      <c r="AA384" s="3">
        <f>N(T384)*IFERROR(VLOOKUP($C384,Assumptions!$A$4:$F$7,5,FALSE),0)</f>
        <v/>
      </c>
      <c r="AB384" s="3">
        <f>N(U384)</f>
        <v/>
      </c>
      <c r="AC384" s="3">
        <f>SUM(W384:AB384)</f>
        <v/>
      </c>
      <c r="AD384" s="3">
        <f>N(AC384)*N(M384)/90</f>
        <v/>
      </c>
      <c r="AE384" s="3">
        <f>IFERROR(AD384-VLOOKUP($C384,Assumptions!$A$29:$C$32,3,FALSE),"")</f>
        <v/>
      </c>
      <c r="AF384" s="3">
        <f>IFERROR(AE384/F384,"")</f>
        <v/>
      </c>
      <c r="AG384">
        <f>IF(AND($E384=TRUE,$C384="GKP"),AD384,"")</f>
        <v/>
      </c>
      <c r="AH384">
        <f>IF(AND($E384=TRUE,$C384="DEF"),AD384,"")</f>
        <v/>
      </c>
      <c r="AI384">
        <f>IF(AND($E384=TRUE,$C384="MID"),AD384,"")</f>
        <v/>
      </c>
      <c r="AJ384">
        <f>IF(AND($E384=TRUE,$C384="FWD"),AD384,"")</f>
        <v/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b">
        <v>1</v>
      </c>
      <c r="F385" s="2" t="n">
        <v>4.5</v>
      </c>
      <c r="G385" t="inlineStr">
        <is>
          <t>a</t>
        </is>
      </c>
      <c r="I385" s="2" t="n">
        <v>25</v>
      </c>
      <c r="J385" t="n">
        <v>2</v>
      </c>
      <c r="K385" s="3" t="n">
        <v>0</v>
      </c>
      <c r="L385" t="inlineStr">
        <is>
          <t>flat</t>
        </is>
      </c>
      <c r="M385" s="4" t="n">
        <v>25</v>
      </c>
      <c r="N385" s="4" t="n">
        <v>0.421</v>
      </c>
      <c r="O385" s="3" t="n">
        <v>0</v>
      </c>
      <c r="P385" t="inlineStr">
        <is>
          <t>blended xG</t>
        </is>
      </c>
      <c r="Q385" s="3" t="n">
        <v>1</v>
      </c>
      <c r="R385" s="3" t="n">
        <v>0</v>
      </c>
      <c r="S385" s="3" t="n">
        <v>0.7591</v>
      </c>
      <c r="T385" s="3" t="n"/>
      <c r="U385" s="3" t="n">
        <v>0</v>
      </c>
      <c r="V385" s="3" t="n">
        <v>7.2</v>
      </c>
      <c r="W385" s="3">
        <f>IF(V385="",IFERROR(VLOOKUP($C385,Assumptions!$A$4:$F$7,6,FALSE),0),V385)</f>
        <v/>
      </c>
      <c r="X385" s="3">
        <f>N(O385)*IFERROR(VLOOKUP($C385,Assumptions!$A$4:$F$7,2,FALSE),0)</f>
        <v/>
      </c>
      <c r="Y385" s="3">
        <f>N(S385)*IFERROR(VLOOKUP($C385,Assumptions!$A$4:$F$7,3,FALSE),0)*Assumptions!$B$11</f>
        <v/>
      </c>
      <c r="Z385" s="3">
        <f>N(N385)*IFERROR(VLOOKUP($C385,Assumptions!$A$4:$F$7,4,FALSE),0)</f>
        <v/>
      </c>
      <c r="AA385" s="3">
        <f>N(T385)*IFERROR(VLOOKUP($C385,Assumptions!$A$4:$F$7,5,FALSE),0)</f>
        <v/>
      </c>
      <c r="AB385" s="3">
        <f>N(U385)</f>
        <v/>
      </c>
      <c r="AC385" s="3">
        <f>SUM(W385:AB385)</f>
        <v/>
      </c>
      <c r="AD385" s="3">
        <f>N(AC385)*N(M385)/90</f>
        <v/>
      </c>
      <c r="AE385" s="3">
        <f>IFERROR(AD385-VLOOKUP($C385,Assumptions!$A$29:$C$32,3,FALSE),"")</f>
        <v/>
      </c>
      <c r="AF385" s="3">
        <f>IFERROR(AE385/F385,"")</f>
        <v/>
      </c>
      <c r="AG385">
        <f>IF(AND($E385=TRUE,$C385="GKP"),AD385,"")</f>
        <v/>
      </c>
      <c r="AH385">
        <f>IF(AND($E385=TRUE,$C385="DEF"),AD385,"")</f>
        <v/>
      </c>
      <c r="AI385">
        <f>IF(AND($E385=TRUE,$C385="MID"),AD385,"")</f>
        <v/>
      </c>
      <c r="AJ385">
        <f>IF(AND($E385=TRUE,$C385="FWD"),AD385,"")</f>
        <v/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b">
        <v>1</v>
      </c>
      <c r="F386" s="2" t="n">
        <v>5</v>
      </c>
      <c r="G386" t="inlineStr">
        <is>
          <t>a</t>
        </is>
      </c>
      <c r="I386" s="2" t="n">
        <v>2</v>
      </c>
      <c r="J386" t="n">
        <v>2</v>
      </c>
      <c r="K386" s="3" t="n">
        <v>0</v>
      </c>
      <c r="L386" t="inlineStr">
        <is>
          <t>flat</t>
        </is>
      </c>
      <c r="M386" s="4" t="n">
        <v>2</v>
      </c>
      <c r="N386" s="4" t="n">
        <v>0.263</v>
      </c>
      <c r="O386" s="3" t="n">
        <v>3.87</v>
      </c>
      <c r="P386" t="inlineStr">
        <is>
          <t>adjusted xGOT</t>
        </is>
      </c>
      <c r="Q386" s="3" t="n">
        <v>1.077</v>
      </c>
      <c r="R386" s="3" t="n">
        <v>1.7</v>
      </c>
      <c r="S386" s="3" t="n">
        <v>0</v>
      </c>
      <c r="T386" s="3" t="n"/>
      <c r="U386" s="3" t="n">
        <v>0</v>
      </c>
      <c r="V386" s="3" t="n">
        <v>90</v>
      </c>
      <c r="W386" s="3">
        <f>IF(V386="",IFERROR(VLOOKUP($C386,Assumptions!$A$4:$F$7,6,FALSE),0),V386)</f>
        <v/>
      </c>
      <c r="X386" s="3">
        <f>N(O386)*IFERROR(VLOOKUP($C386,Assumptions!$A$4:$F$7,2,FALSE),0)</f>
        <v/>
      </c>
      <c r="Y386" s="3">
        <f>N(S386)*IFERROR(VLOOKUP($C386,Assumptions!$A$4:$F$7,3,FALSE),0)*Assumptions!$B$11</f>
        <v/>
      </c>
      <c r="Z386" s="3">
        <f>N(N386)*IFERROR(VLOOKUP($C386,Assumptions!$A$4:$F$7,4,FALSE),0)</f>
        <v/>
      </c>
      <c r="AA386" s="3">
        <f>N(T386)*IFERROR(VLOOKUP($C386,Assumptions!$A$4:$F$7,5,FALSE),0)</f>
        <v/>
      </c>
      <c r="AB386" s="3">
        <f>N(U386)</f>
        <v/>
      </c>
      <c r="AC386" s="3">
        <f>SUM(W386:AB386)</f>
        <v/>
      </c>
      <c r="AD386" s="3">
        <f>N(AC386)*N(M386)/90</f>
        <v/>
      </c>
      <c r="AE386" s="3">
        <f>IFERROR(AD386-VLOOKUP($C386,Assumptions!$A$29:$C$32,3,FALSE),"")</f>
        <v/>
      </c>
      <c r="AF386" s="3">
        <f>IFERROR(AE386/F386,"")</f>
        <v/>
      </c>
      <c r="AG386">
        <f>IF(AND($E386=TRUE,$C386="GKP"),AD386,"")</f>
        <v/>
      </c>
      <c r="AH386">
        <f>IF(AND($E386=TRUE,$C386="DEF"),AD386,"")</f>
        <v/>
      </c>
      <c r="AI386">
        <f>IF(AND($E386=TRUE,$C386="MID"),AD386,"")</f>
        <v/>
      </c>
      <c r="AJ386">
        <f>IF(AND($E386=TRUE,$C386="FWD"),AD386,"")</f>
        <v/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b">
        <v>1</v>
      </c>
      <c r="F387" s="2" t="n">
        <v>4.5</v>
      </c>
      <c r="G387" t="inlineStr">
        <is>
          <t>a</t>
        </is>
      </c>
      <c r="I387" s="2" t="n">
        <v>17</v>
      </c>
      <c r="J387" t="n">
        <v>2</v>
      </c>
      <c r="K387" s="3" t="n">
        <v>52</v>
      </c>
      <c r="L387" t="inlineStr">
        <is>
          <t>flat</t>
        </is>
      </c>
      <c r="M387" s="4" t="n">
        <v>17</v>
      </c>
      <c r="N387" s="4" t="n">
        <v>0.21</v>
      </c>
      <c r="O387" s="3" t="n">
        <v>0</v>
      </c>
      <c r="P387" t="inlineStr">
        <is>
          <t>blended xG</t>
        </is>
      </c>
      <c r="Q387" s="3" t="n">
        <v>1</v>
      </c>
      <c r="R387" s="3" t="n">
        <v>0</v>
      </c>
      <c r="S387" s="3" t="n">
        <v>0.0265</v>
      </c>
      <c r="T387" s="3" t="n"/>
      <c r="U387" s="3" t="n">
        <v>0</v>
      </c>
      <c r="V387" s="3" t="n">
        <v>10.588</v>
      </c>
      <c r="W387" s="3">
        <f>IF(V387="",IFERROR(VLOOKUP($C387,Assumptions!$A$4:$F$7,6,FALSE),0),V387)</f>
        <v/>
      </c>
      <c r="X387" s="3">
        <f>N(O387)*IFERROR(VLOOKUP($C387,Assumptions!$A$4:$F$7,2,FALSE),0)</f>
        <v/>
      </c>
      <c r="Y387" s="3">
        <f>N(S387)*IFERROR(VLOOKUP($C387,Assumptions!$A$4:$F$7,3,FALSE),0)*Assumptions!$B$11</f>
        <v/>
      </c>
      <c r="Z387" s="3">
        <f>N(N387)*IFERROR(VLOOKUP($C387,Assumptions!$A$4:$F$7,4,FALSE),0)</f>
        <v/>
      </c>
      <c r="AA387" s="3">
        <f>N(T387)*IFERROR(VLOOKUP($C387,Assumptions!$A$4:$F$7,5,FALSE),0)</f>
        <v/>
      </c>
      <c r="AB387" s="3">
        <f>N(U387)</f>
        <v/>
      </c>
      <c r="AC387" s="3">
        <f>SUM(W387:AB387)</f>
        <v/>
      </c>
      <c r="AD387" s="3">
        <f>N(AC387)*N(M387)/90</f>
        <v/>
      </c>
      <c r="AE387" s="3">
        <f>IFERROR(AD387-VLOOKUP($C387,Assumptions!$A$29:$C$32,3,FALSE),"")</f>
        <v/>
      </c>
      <c r="AF387" s="3">
        <f>IFERROR(AE387/F387,"")</f>
        <v/>
      </c>
      <c r="AG387">
        <f>IF(AND($E387=TRUE,$C387="GKP"),AD387,"")</f>
        <v/>
      </c>
      <c r="AH387">
        <f>IF(AND($E387=TRUE,$C387="DEF"),AD387,"")</f>
        <v/>
      </c>
      <c r="AI387">
        <f>IF(AND($E387=TRUE,$C387="MID"),AD387,"")</f>
        <v/>
      </c>
      <c r="AJ387">
        <f>IF(AND($E387=TRUE,$C387="FWD"),AD387,"")</f>
        <v/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b">
        <v>1</v>
      </c>
      <c r="F388" s="2" t="n">
        <v>4.5</v>
      </c>
      <c r="G388" t="inlineStr">
        <is>
          <t>a</t>
        </is>
      </c>
      <c r="I388" s="2" t="n">
        <v>133</v>
      </c>
      <c r="J388" t="n">
        <v>2</v>
      </c>
      <c r="K388" s="3" t="n">
        <v>147</v>
      </c>
      <c r="L388" t="inlineStr">
        <is>
          <t>flat</t>
        </is>
      </c>
      <c r="M388" s="4" t="n">
        <v>133</v>
      </c>
      <c r="N388" s="4" t="n">
        <v>0.29</v>
      </c>
      <c r="O388" s="3" t="n">
        <v>0</v>
      </c>
      <c r="P388" t="inlineStr">
        <is>
          <t>blended xG</t>
        </is>
      </c>
      <c r="Q388" s="3" t="n">
        <v>1</v>
      </c>
      <c r="R388" s="3" t="n">
        <v>0</v>
      </c>
      <c r="S388" s="3" t="n">
        <v>0.0034</v>
      </c>
      <c r="T388" s="3" t="n">
        <v>0</v>
      </c>
      <c r="U388" s="3" t="n">
        <v>0</v>
      </c>
      <c r="V388" s="3" t="n">
        <v>2.03</v>
      </c>
      <c r="W388" s="3">
        <f>IF(V388="",IFERROR(VLOOKUP($C388,Assumptions!$A$4:$F$7,6,FALSE),0),V388)</f>
        <v/>
      </c>
      <c r="X388" s="3">
        <f>N(O388)*IFERROR(VLOOKUP($C388,Assumptions!$A$4:$F$7,2,FALSE),0)</f>
        <v/>
      </c>
      <c r="Y388" s="3">
        <f>N(S388)*IFERROR(VLOOKUP($C388,Assumptions!$A$4:$F$7,3,FALSE),0)*Assumptions!$B$11</f>
        <v/>
      </c>
      <c r="Z388" s="3">
        <f>N(N388)*IFERROR(VLOOKUP($C388,Assumptions!$A$4:$F$7,4,FALSE),0)</f>
        <v/>
      </c>
      <c r="AA388" s="3">
        <f>N(T388)*IFERROR(VLOOKUP($C388,Assumptions!$A$4:$F$7,5,FALSE),0)</f>
        <v/>
      </c>
      <c r="AB388" s="3">
        <f>N(U388)</f>
        <v/>
      </c>
      <c r="AC388" s="3">
        <f>SUM(W388:AB388)</f>
        <v/>
      </c>
      <c r="AD388" s="3">
        <f>N(AC388)*N(M388)/90</f>
        <v/>
      </c>
      <c r="AE388" s="3">
        <f>IFERROR(AD388-VLOOKUP($C388,Assumptions!$A$29:$C$32,3,FALSE),"")</f>
        <v/>
      </c>
      <c r="AF388" s="3">
        <f>IFERROR(AE388/F388,"")</f>
        <v/>
      </c>
      <c r="AG388">
        <f>IF(AND($E388=TRUE,$C388="GKP"),AD388,"")</f>
        <v/>
      </c>
      <c r="AH388">
        <f>IF(AND($E388=TRUE,$C388="DEF"),AD388,"")</f>
        <v/>
      </c>
      <c r="AI388">
        <f>IF(AND($E388=TRUE,$C388="MID"),AD388,"")</f>
        <v/>
      </c>
      <c r="AJ388">
        <f>IF(AND($E388=TRUE,$C388="FWD"),AD388,"")</f>
        <v/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b">
        <v>1</v>
      </c>
      <c r="F389" s="2" t="n">
        <v>4.5</v>
      </c>
      <c r="G389" t="inlineStr">
        <is>
          <t>a</t>
        </is>
      </c>
      <c r="I389" s="2" t="n">
        <v>25</v>
      </c>
      <c r="J389" t="n">
        <v>2</v>
      </c>
      <c r="K389" s="3" t="n">
        <v>19</v>
      </c>
      <c r="L389" t="inlineStr">
        <is>
          <t>flat</t>
        </is>
      </c>
      <c r="M389" s="4" t="n">
        <v>25</v>
      </c>
      <c r="N389" s="4" t="n">
        <v>0.237</v>
      </c>
      <c r="O389" s="3" t="n">
        <v>0.144</v>
      </c>
      <c r="P389" t="inlineStr">
        <is>
          <t>adjusted xGOT</t>
        </is>
      </c>
      <c r="Q389" s="3" t="n">
        <v>0.995</v>
      </c>
      <c r="R389" s="3" t="n">
        <v>0</v>
      </c>
      <c r="S389" s="3" t="n">
        <v>0.018</v>
      </c>
      <c r="T389" s="3" t="n"/>
      <c r="U389" s="3" t="n">
        <v>0</v>
      </c>
      <c r="V389" s="3" t="n">
        <v>7.2</v>
      </c>
      <c r="W389" s="3">
        <f>IF(V389="",IFERROR(VLOOKUP($C389,Assumptions!$A$4:$F$7,6,FALSE),0),V389)</f>
        <v/>
      </c>
      <c r="X389" s="3">
        <f>N(O389)*IFERROR(VLOOKUP($C389,Assumptions!$A$4:$F$7,2,FALSE),0)</f>
        <v/>
      </c>
      <c r="Y389" s="3">
        <f>N(S389)*IFERROR(VLOOKUP($C389,Assumptions!$A$4:$F$7,3,FALSE),0)*Assumptions!$B$11</f>
        <v/>
      </c>
      <c r="Z389" s="3">
        <f>N(N389)*IFERROR(VLOOKUP($C389,Assumptions!$A$4:$F$7,4,FALSE),0)</f>
        <v/>
      </c>
      <c r="AA389" s="3">
        <f>N(T389)*IFERROR(VLOOKUP($C389,Assumptions!$A$4:$F$7,5,FALSE),0)</f>
        <v/>
      </c>
      <c r="AB389" s="3">
        <f>N(U389)</f>
        <v/>
      </c>
      <c r="AC389" s="3">
        <f>SUM(W389:AB389)</f>
        <v/>
      </c>
      <c r="AD389" s="3">
        <f>N(AC389)*N(M389)/90</f>
        <v/>
      </c>
      <c r="AE389" s="3">
        <f>IFERROR(AD389-VLOOKUP($C389,Assumptions!$A$29:$C$32,3,FALSE),"")</f>
        <v/>
      </c>
      <c r="AF389" s="3">
        <f>IFERROR(AE389/F389,"")</f>
        <v/>
      </c>
      <c r="AG389">
        <f>IF(AND($E389=TRUE,$C389="GKP"),AD389,"")</f>
        <v/>
      </c>
      <c r="AH389">
        <f>IF(AND($E389=TRUE,$C389="DEF"),AD389,"")</f>
        <v/>
      </c>
      <c r="AI389">
        <f>IF(AND($E389=TRUE,$C389="MID"),AD389,"")</f>
        <v/>
      </c>
      <c r="AJ389">
        <f>IF(AND($E389=TRUE,$C389="FWD"),AD389,"")</f>
        <v/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b">
        <v>1</v>
      </c>
      <c r="F390" s="2" t="n">
        <v>4.5</v>
      </c>
      <c r="G390" t="inlineStr">
        <is>
          <t>a</t>
        </is>
      </c>
      <c r="I390" s="2" t="n">
        <v>7</v>
      </c>
      <c r="J390" t="n">
        <v>2</v>
      </c>
      <c r="K390" s="3" t="n">
        <v>0</v>
      </c>
      <c r="L390" t="inlineStr">
        <is>
          <t>flat</t>
        </is>
      </c>
      <c r="M390" s="4" t="n">
        <v>7</v>
      </c>
      <c r="N390" s="4" t="n">
        <v>0.237</v>
      </c>
      <c r="O390" s="3" t="n">
        <v>0</v>
      </c>
      <c r="P390" t="inlineStr">
        <is>
          <t>adjusted xGOT</t>
        </is>
      </c>
      <c r="Q390" s="3" t="n">
        <v>0.995</v>
      </c>
      <c r="R390" s="3" t="n">
        <v>0</v>
      </c>
      <c r="S390" s="3" t="n">
        <v>0.0643</v>
      </c>
      <c r="T390" s="3" t="n"/>
      <c r="U390" s="3" t="n">
        <v>0</v>
      </c>
      <c r="V390" s="3" t="n">
        <v>25.714</v>
      </c>
      <c r="W390" s="3">
        <f>IF(V390="",IFERROR(VLOOKUP($C390,Assumptions!$A$4:$F$7,6,FALSE),0),V390)</f>
        <v/>
      </c>
      <c r="X390" s="3">
        <f>N(O390)*IFERROR(VLOOKUP($C390,Assumptions!$A$4:$F$7,2,FALSE),0)</f>
        <v/>
      </c>
      <c r="Y390" s="3">
        <f>N(S390)*IFERROR(VLOOKUP($C390,Assumptions!$A$4:$F$7,3,FALSE),0)*Assumptions!$B$11</f>
        <v/>
      </c>
      <c r="Z390" s="3">
        <f>N(N390)*IFERROR(VLOOKUP($C390,Assumptions!$A$4:$F$7,4,FALSE),0)</f>
        <v/>
      </c>
      <c r="AA390" s="3">
        <f>N(T390)*IFERROR(VLOOKUP($C390,Assumptions!$A$4:$F$7,5,FALSE),0)</f>
        <v/>
      </c>
      <c r="AB390" s="3">
        <f>N(U390)</f>
        <v/>
      </c>
      <c r="AC390" s="3">
        <f>SUM(W390:AB390)</f>
        <v/>
      </c>
      <c r="AD390" s="3">
        <f>N(AC390)*N(M390)/90</f>
        <v/>
      </c>
      <c r="AE390" s="3">
        <f>IFERROR(AD390-VLOOKUP($C390,Assumptions!$A$29:$C$32,3,FALSE),"")</f>
        <v/>
      </c>
      <c r="AF390" s="3">
        <f>IFERROR(AE390/F390,"")</f>
        <v/>
      </c>
      <c r="AG390">
        <f>IF(AND($E390=TRUE,$C390="GKP"),AD390,"")</f>
        <v/>
      </c>
      <c r="AH390">
        <f>IF(AND($E390=TRUE,$C390="DEF"),AD390,"")</f>
        <v/>
      </c>
      <c r="AI390">
        <f>IF(AND($E390=TRUE,$C390="MID"),AD390,"")</f>
        <v/>
      </c>
      <c r="AJ390">
        <f>IF(AND($E390=TRUE,$C390="FWD"),AD390,"")</f>
        <v/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b">
        <v>1</v>
      </c>
      <c r="F391" s="2" t="n">
        <v>4.5</v>
      </c>
      <c r="G391" t="inlineStr">
        <is>
          <t>u</t>
        </is>
      </c>
      <c r="H391" t="inlineStr">
        <is>
          <t>Has joined Bristol City on loan for the rest of the season</t>
        </is>
      </c>
      <c r="I391" s="2" t="n">
        <v>90</v>
      </c>
      <c r="J391" t="n">
        <v>2</v>
      </c>
      <c r="K391" s="3" t="n"/>
      <c r="M391" s="4" t="n">
        <v>90</v>
      </c>
      <c r="N391" s="4" t="n">
        <v>0.316</v>
      </c>
      <c r="O391" s="3" t="n">
        <v>0.02</v>
      </c>
      <c r="P391" t="inlineStr">
        <is>
          <t>adjusted xGOT</t>
        </is>
      </c>
      <c r="Q391" s="3" t="n">
        <v>0.998</v>
      </c>
      <c r="R391" s="3" t="n">
        <v>0</v>
      </c>
      <c r="S391" s="3" t="n">
        <v>0.229</v>
      </c>
      <c r="T391" s="3" t="n">
        <v>0</v>
      </c>
      <c r="U391" s="3" t="n">
        <v>0</v>
      </c>
      <c r="V391" s="3" t="n">
        <v>2</v>
      </c>
      <c r="W391" s="3">
        <f>IF(V391="",IFERROR(VLOOKUP($C391,Assumptions!$A$4:$F$7,6,FALSE),0),V391)</f>
        <v/>
      </c>
      <c r="X391" s="3">
        <f>N(O391)*IFERROR(VLOOKUP($C391,Assumptions!$A$4:$F$7,2,FALSE),0)</f>
        <v/>
      </c>
      <c r="Y391" s="3">
        <f>N(S391)*IFERROR(VLOOKUP($C391,Assumptions!$A$4:$F$7,3,FALSE),0)*Assumptions!$B$11</f>
        <v/>
      </c>
      <c r="Z391" s="3">
        <f>N(N391)*IFERROR(VLOOKUP($C391,Assumptions!$A$4:$F$7,4,FALSE),0)</f>
        <v/>
      </c>
      <c r="AA391" s="3">
        <f>N(T391)*IFERROR(VLOOKUP($C391,Assumptions!$A$4:$F$7,5,FALSE),0)</f>
        <v/>
      </c>
      <c r="AB391" s="3">
        <f>N(U391)</f>
        <v/>
      </c>
      <c r="AC391" s="3">
        <f>SUM(W391:AB391)</f>
        <v/>
      </c>
      <c r="AD391" s="3">
        <f>N(AC391)*N(M391)/90</f>
        <v/>
      </c>
      <c r="AE391" s="3">
        <f>IFERROR(AD391-VLOOKUP($C391,Assumptions!$A$29:$C$32,3,FALSE),"")</f>
        <v/>
      </c>
      <c r="AF391" s="3">
        <f>IFERROR(AE391/F391,"")</f>
        <v/>
      </c>
      <c r="AG391">
        <f>IF(AND($E391=TRUE,$C391="GKP"),AD391,"")</f>
        <v/>
      </c>
      <c r="AH391">
        <f>IF(AND($E391=TRUE,$C391="DEF"),AD391,"")</f>
        <v/>
      </c>
      <c r="AI391">
        <f>IF(AND($E391=TRUE,$C391="MID"),AD391,"")</f>
        <v/>
      </c>
      <c r="AJ391">
        <f>IF(AND($E391=TRUE,$C391="FWD"),AD391,"")</f>
        <v/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b">
        <v>1</v>
      </c>
      <c r="F392" s="2" t="n">
        <v>4</v>
      </c>
      <c r="G392" t="inlineStr">
        <is>
          <t>a</t>
        </is>
      </c>
      <c r="I392" s="2" t="n">
        <v>1</v>
      </c>
      <c r="J392" t="n">
        <v>1</v>
      </c>
      <c r="K392" s="3" t="n">
        <v>0</v>
      </c>
      <c r="L392" t="inlineStr">
        <is>
          <t>flat</t>
        </is>
      </c>
      <c r="M392" s="4" t="n">
        <v>1</v>
      </c>
      <c r="N392" s="4" t="n">
        <v>0.237</v>
      </c>
      <c r="O392" s="3" t="n">
        <v>0</v>
      </c>
      <c r="P392" t="inlineStr">
        <is>
          <t>blended xG</t>
        </is>
      </c>
      <c r="Q392" s="3" t="n">
        <v>1</v>
      </c>
      <c r="R392" s="3" t="n">
        <v>0</v>
      </c>
      <c r="S392" s="3" t="n">
        <v>0</v>
      </c>
      <c r="T392" s="3" t="n"/>
      <c r="U392" s="3" t="n">
        <v>0</v>
      </c>
      <c r="V392" s="3" t="n">
        <v>90</v>
      </c>
      <c r="W392" s="3">
        <f>IF(V392="",IFERROR(VLOOKUP($C392,Assumptions!$A$4:$F$7,6,FALSE),0),V392)</f>
        <v/>
      </c>
      <c r="X392" s="3">
        <f>N(O392)*IFERROR(VLOOKUP($C392,Assumptions!$A$4:$F$7,2,FALSE),0)</f>
        <v/>
      </c>
      <c r="Y392" s="3">
        <f>N(S392)*IFERROR(VLOOKUP($C392,Assumptions!$A$4:$F$7,3,FALSE),0)*Assumptions!$B$11</f>
        <v/>
      </c>
      <c r="Z392" s="3">
        <f>N(N392)*IFERROR(VLOOKUP($C392,Assumptions!$A$4:$F$7,4,FALSE),0)</f>
        <v/>
      </c>
      <c r="AA392" s="3">
        <f>N(T392)*IFERROR(VLOOKUP($C392,Assumptions!$A$4:$F$7,5,FALSE),0)</f>
        <v/>
      </c>
      <c r="AB392" s="3">
        <f>N(U392)</f>
        <v/>
      </c>
      <c r="AC392" s="3">
        <f>SUM(W392:AB392)</f>
        <v/>
      </c>
      <c r="AD392" s="3">
        <f>N(AC392)*N(M392)/90</f>
        <v/>
      </c>
      <c r="AE392" s="3">
        <f>IFERROR(AD392-VLOOKUP($C392,Assumptions!$A$29:$C$32,3,FALSE),"")</f>
        <v/>
      </c>
      <c r="AF392" s="3">
        <f>IFERROR(AE392/F392,"")</f>
        <v/>
      </c>
      <c r="AG392">
        <f>IF(AND($E392=TRUE,$C392="GKP"),AD392,"")</f>
        <v/>
      </c>
      <c r="AH392">
        <f>IF(AND($E392=TRUE,$C392="DEF"),AD392,"")</f>
        <v/>
      </c>
      <c r="AI392">
        <f>IF(AND($E392=TRUE,$C392="MID"),AD392,"")</f>
        <v/>
      </c>
      <c r="AJ392">
        <f>IF(AND($E392=TRUE,$C392="FWD"),AD392,"")</f>
        <v/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b">
        <v>1</v>
      </c>
      <c r="F393" s="2" t="n">
        <v>4.5</v>
      </c>
      <c r="G393" t="inlineStr">
        <is>
          <t>a</t>
        </is>
      </c>
      <c r="I393" s="2" t="n">
        <v>1</v>
      </c>
      <c r="J393" t="n">
        <v>1</v>
      </c>
      <c r="K393" s="3" t="n">
        <v>0</v>
      </c>
      <c r="L393" t="inlineStr">
        <is>
          <t>flat</t>
        </is>
      </c>
      <c r="M393" s="4" t="n">
        <v>1</v>
      </c>
      <c r="N393" s="4" t="n">
        <v>0.263</v>
      </c>
      <c r="O393" s="3" t="n">
        <v>0</v>
      </c>
      <c r="P393" t="inlineStr">
        <is>
          <t>blended xG</t>
        </is>
      </c>
      <c r="Q393" s="3" t="n">
        <v>1</v>
      </c>
      <c r="R393" s="3" t="n">
        <v>0</v>
      </c>
      <c r="S393" s="3" t="n">
        <v>0</v>
      </c>
      <c r="T393" s="3" t="n"/>
      <c r="U393" s="3" t="n">
        <v>0</v>
      </c>
      <c r="V393" s="3" t="n">
        <v>90</v>
      </c>
      <c r="W393" s="3">
        <f>IF(V393="",IFERROR(VLOOKUP($C393,Assumptions!$A$4:$F$7,6,FALSE),0),V393)</f>
        <v/>
      </c>
      <c r="X393" s="3">
        <f>N(O393)*IFERROR(VLOOKUP($C393,Assumptions!$A$4:$F$7,2,FALSE),0)</f>
        <v/>
      </c>
      <c r="Y393" s="3">
        <f>N(S393)*IFERROR(VLOOKUP($C393,Assumptions!$A$4:$F$7,3,FALSE),0)*Assumptions!$B$11</f>
        <v/>
      </c>
      <c r="Z393" s="3">
        <f>N(N393)*IFERROR(VLOOKUP($C393,Assumptions!$A$4:$F$7,4,FALSE),0)</f>
        <v/>
      </c>
      <c r="AA393" s="3">
        <f>N(T393)*IFERROR(VLOOKUP($C393,Assumptions!$A$4:$F$7,5,FALSE),0)</f>
        <v/>
      </c>
      <c r="AB393" s="3">
        <f>N(U393)</f>
        <v/>
      </c>
      <c r="AC393" s="3">
        <f>SUM(W393:AB393)</f>
        <v/>
      </c>
      <c r="AD393" s="3">
        <f>N(AC393)*N(M393)/90</f>
        <v/>
      </c>
      <c r="AE393" s="3">
        <f>IFERROR(AD393-VLOOKUP($C393,Assumptions!$A$29:$C$32,3,FALSE),"")</f>
        <v/>
      </c>
      <c r="AF393" s="3">
        <f>IFERROR(AE393/F393,"")</f>
        <v/>
      </c>
      <c r="AG393">
        <f>IF(AND($E393=TRUE,$C393="GKP"),AD393,"")</f>
        <v/>
      </c>
      <c r="AH393">
        <f>IF(AND($E393=TRUE,$C393="DEF"),AD393,"")</f>
        <v/>
      </c>
      <c r="AI393">
        <f>IF(AND($E393=TRUE,$C393="MID"),AD393,"")</f>
        <v/>
      </c>
      <c r="AJ393">
        <f>IF(AND($E393=TRUE,$C393="FWD"),AD393,"")</f>
        <v/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b">
        <v>1</v>
      </c>
      <c r="F394" s="2" t="n">
        <v>4.5</v>
      </c>
      <c r="G394" t="inlineStr">
        <is>
          <t>a</t>
        </is>
      </c>
      <c r="I394" s="2" t="n">
        <v>16</v>
      </c>
      <c r="J394" t="n">
        <v>1</v>
      </c>
      <c r="K394" s="3" t="n">
        <v>0</v>
      </c>
      <c r="L394" t="inlineStr">
        <is>
          <t>flat</t>
        </is>
      </c>
      <c r="M394" s="4" t="n">
        <v>16</v>
      </c>
      <c r="N394" s="4" t="n">
        <v>0.237</v>
      </c>
      <c r="O394" s="3" t="n">
        <v>0</v>
      </c>
      <c r="P394" t="inlineStr">
        <is>
          <t>blended xG</t>
        </is>
      </c>
      <c r="Q394" s="3" t="n">
        <v>1</v>
      </c>
      <c r="R394" s="3" t="n">
        <v>0</v>
      </c>
      <c r="S394" s="3" t="n">
        <v>0</v>
      </c>
      <c r="T394" s="3" t="n"/>
      <c r="U394" s="3" t="n">
        <v>0</v>
      </c>
      <c r="V394" s="3" t="n">
        <v>5.625</v>
      </c>
      <c r="W394" s="3">
        <f>IF(V394="",IFERROR(VLOOKUP($C394,Assumptions!$A$4:$F$7,6,FALSE),0),V394)</f>
        <v/>
      </c>
      <c r="X394" s="3">
        <f>N(O394)*IFERROR(VLOOKUP($C394,Assumptions!$A$4:$F$7,2,FALSE),0)</f>
        <v/>
      </c>
      <c r="Y394" s="3">
        <f>N(S394)*IFERROR(VLOOKUP($C394,Assumptions!$A$4:$F$7,3,FALSE),0)*Assumptions!$B$11</f>
        <v/>
      </c>
      <c r="Z394" s="3">
        <f>N(N394)*IFERROR(VLOOKUP($C394,Assumptions!$A$4:$F$7,4,FALSE),0)</f>
        <v/>
      </c>
      <c r="AA394" s="3">
        <f>N(T394)*IFERROR(VLOOKUP($C394,Assumptions!$A$4:$F$7,5,FALSE),0)</f>
        <v/>
      </c>
      <c r="AB394" s="3">
        <f>N(U394)</f>
        <v/>
      </c>
      <c r="AC394" s="3">
        <f>SUM(W394:AB394)</f>
        <v/>
      </c>
      <c r="AD394" s="3">
        <f>N(AC394)*N(M394)/90</f>
        <v/>
      </c>
      <c r="AE394" s="3">
        <f>IFERROR(AD394-VLOOKUP($C394,Assumptions!$A$29:$C$32,3,FALSE),"")</f>
        <v/>
      </c>
      <c r="AF394" s="3">
        <f>IFERROR(AE394/F394,"")</f>
        <v/>
      </c>
      <c r="AG394">
        <f>IF(AND($E394=TRUE,$C394="GKP"),AD394,"")</f>
        <v/>
      </c>
      <c r="AH394">
        <f>IF(AND($E394=TRUE,$C394="DEF"),AD394,"")</f>
        <v/>
      </c>
      <c r="AI394">
        <f>IF(AND($E394=TRUE,$C394="MID"),AD394,"")</f>
        <v/>
      </c>
      <c r="AJ394">
        <f>IF(AND($E394=TRUE,$C394="FWD"),AD394,"")</f>
        <v/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b">
        <v>1</v>
      </c>
      <c r="F395" s="2" t="n">
        <v>4.5</v>
      </c>
      <c r="G395" t="inlineStr">
        <is>
          <t>a</t>
        </is>
      </c>
      <c r="I395" s="2" t="n">
        <v>13</v>
      </c>
      <c r="J395" t="n">
        <v>1</v>
      </c>
      <c r="K395" s="3" t="n">
        <v>0</v>
      </c>
      <c r="L395" t="inlineStr">
        <is>
          <t>flat</t>
        </is>
      </c>
      <c r="M395" s="4" t="n">
        <v>13</v>
      </c>
      <c r="N395" s="4" t="n">
        <v>0.21</v>
      </c>
      <c r="O395" s="3" t="n">
        <v>0.2077</v>
      </c>
      <c r="P395" t="inlineStr">
        <is>
          <t>adjusted xGOT</t>
        </is>
      </c>
      <c r="Q395" s="3" t="n">
        <v>0.996</v>
      </c>
      <c r="R395" s="3" t="n">
        <v>0</v>
      </c>
      <c r="S395" s="3" t="n">
        <v>0</v>
      </c>
      <c r="T395" s="3" t="n"/>
      <c r="U395" s="3" t="n">
        <v>0</v>
      </c>
      <c r="V395" s="3" t="n">
        <v>6.923</v>
      </c>
      <c r="W395" s="3">
        <f>IF(V395="",IFERROR(VLOOKUP($C395,Assumptions!$A$4:$F$7,6,FALSE),0),V395)</f>
        <v/>
      </c>
      <c r="X395" s="3">
        <f>N(O395)*IFERROR(VLOOKUP($C395,Assumptions!$A$4:$F$7,2,FALSE),0)</f>
        <v/>
      </c>
      <c r="Y395" s="3">
        <f>N(S395)*IFERROR(VLOOKUP($C395,Assumptions!$A$4:$F$7,3,FALSE),0)*Assumptions!$B$11</f>
        <v/>
      </c>
      <c r="Z395" s="3">
        <f>N(N395)*IFERROR(VLOOKUP($C395,Assumptions!$A$4:$F$7,4,FALSE),0)</f>
        <v/>
      </c>
      <c r="AA395" s="3">
        <f>N(T395)*IFERROR(VLOOKUP($C395,Assumptions!$A$4:$F$7,5,FALSE),0)</f>
        <v/>
      </c>
      <c r="AB395" s="3">
        <f>N(U395)</f>
        <v/>
      </c>
      <c r="AC395" s="3">
        <f>SUM(W395:AB395)</f>
        <v/>
      </c>
      <c r="AD395" s="3">
        <f>N(AC395)*N(M395)/90</f>
        <v/>
      </c>
      <c r="AE395" s="3">
        <f>IFERROR(AD395-VLOOKUP($C395,Assumptions!$A$29:$C$32,3,FALSE),"")</f>
        <v/>
      </c>
      <c r="AF395" s="3">
        <f>IFERROR(AE395/F395,"")</f>
        <v/>
      </c>
      <c r="AG395">
        <f>IF(AND($E395=TRUE,$C395="GKP"),AD395,"")</f>
        <v/>
      </c>
      <c r="AH395">
        <f>IF(AND($E395=TRUE,$C395="DEF"),AD395,"")</f>
        <v/>
      </c>
      <c r="AI395">
        <f>IF(AND($E395=TRUE,$C395="MID"),AD395,"")</f>
        <v/>
      </c>
      <c r="AJ395">
        <f>IF(AND($E395=TRUE,$C395="FWD"),AD395,"")</f>
        <v/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b">
        <v>1</v>
      </c>
      <c r="F396" s="2" t="n">
        <v>4.5</v>
      </c>
      <c r="G396" t="inlineStr">
        <is>
          <t>a</t>
        </is>
      </c>
      <c r="I396" s="2" t="n">
        <v>1</v>
      </c>
      <c r="J396" t="n">
        <v>1</v>
      </c>
      <c r="K396" s="3" t="n">
        <v>0</v>
      </c>
      <c r="L396" t="inlineStr">
        <is>
          <t>flat</t>
        </is>
      </c>
      <c r="M396" s="4" t="n">
        <v>1</v>
      </c>
      <c r="N396" s="4" t="n">
        <v>0.263</v>
      </c>
      <c r="O396" s="3" t="n">
        <v>0</v>
      </c>
      <c r="P396" t="inlineStr">
        <is>
          <t>blended xG</t>
        </is>
      </c>
      <c r="Q396" s="3" t="n">
        <v>1</v>
      </c>
      <c r="R396" s="3" t="n">
        <v>0</v>
      </c>
      <c r="S396" s="3" t="n">
        <v>0</v>
      </c>
      <c r="T396" s="3" t="n"/>
      <c r="U396" s="3" t="n">
        <v>0</v>
      </c>
      <c r="V396" s="3" t="n">
        <v>90</v>
      </c>
      <c r="W396" s="3">
        <f>IF(V396="",IFERROR(VLOOKUP($C396,Assumptions!$A$4:$F$7,6,FALSE),0),V396)</f>
        <v/>
      </c>
      <c r="X396" s="3">
        <f>N(O396)*IFERROR(VLOOKUP($C396,Assumptions!$A$4:$F$7,2,FALSE),0)</f>
        <v/>
      </c>
      <c r="Y396" s="3">
        <f>N(S396)*IFERROR(VLOOKUP($C396,Assumptions!$A$4:$F$7,3,FALSE),0)*Assumptions!$B$11</f>
        <v/>
      </c>
      <c r="Z396" s="3">
        <f>N(N396)*IFERROR(VLOOKUP($C396,Assumptions!$A$4:$F$7,4,FALSE),0)</f>
        <v/>
      </c>
      <c r="AA396" s="3">
        <f>N(T396)*IFERROR(VLOOKUP($C396,Assumptions!$A$4:$F$7,5,FALSE),0)</f>
        <v/>
      </c>
      <c r="AB396" s="3">
        <f>N(U396)</f>
        <v/>
      </c>
      <c r="AC396" s="3">
        <f>SUM(W396:AB396)</f>
        <v/>
      </c>
      <c r="AD396" s="3">
        <f>N(AC396)*N(M396)/90</f>
        <v/>
      </c>
      <c r="AE396" s="3">
        <f>IFERROR(AD396-VLOOKUP($C396,Assumptions!$A$29:$C$32,3,FALSE),"")</f>
        <v/>
      </c>
      <c r="AF396" s="3">
        <f>IFERROR(AE396/F396,"")</f>
        <v/>
      </c>
      <c r="AG396">
        <f>IF(AND($E396=TRUE,$C396="GKP"),AD396,"")</f>
        <v/>
      </c>
      <c r="AH396">
        <f>IF(AND($E396=TRUE,$C396="DEF"),AD396,"")</f>
        <v/>
      </c>
      <c r="AI396">
        <f>IF(AND($E396=TRUE,$C396="MID"),AD396,"")</f>
        <v/>
      </c>
      <c r="AJ396">
        <f>IF(AND($E396=TRUE,$C396="FWD"),AD396,"")</f>
        <v/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b">
        <v>1</v>
      </c>
      <c r="F397" s="2" t="n">
        <v>4.5</v>
      </c>
      <c r="G397" t="inlineStr">
        <is>
          <t>a</t>
        </is>
      </c>
      <c r="I397" s="2" t="n">
        <v>1</v>
      </c>
      <c r="J397" t="n">
        <v>1</v>
      </c>
      <c r="K397" s="3" t="n">
        <v>0</v>
      </c>
      <c r="L397" t="inlineStr">
        <is>
          <t>flat</t>
        </is>
      </c>
      <c r="M397" s="4" t="n">
        <v>1</v>
      </c>
      <c r="N397" s="4" t="n">
        <v>0.237</v>
      </c>
      <c r="O397" s="3" t="n">
        <v>0</v>
      </c>
      <c r="P397" t="inlineStr">
        <is>
          <t>adjusted xGOT</t>
        </is>
      </c>
      <c r="Q397" s="3" t="n">
        <v>1.017</v>
      </c>
      <c r="R397" s="3" t="n">
        <v>0.1</v>
      </c>
      <c r="S397" s="3" t="n">
        <v>0</v>
      </c>
      <c r="T397" s="3" t="n"/>
      <c r="U397" s="3" t="n">
        <v>0</v>
      </c>
      <c r="V397" s="3" t="n">
        <v>90</v>
      </c>
      <c r="W397" s="3">
        <f>IF(V397="",IFERROR(VLOOKUP($C397,Assumptions!$A$4:$F$7,6,FALSE),0),V397)</f>
        <v/>
      </c>
      <c r="X397" s="3">
        <f>N(O397)*IFERROR(VLOOKUP($C397,Assumptions!$A$4:$F$7,2,FALSE),0)</f>
        <v/>
      </c>
      <c r="Y397" s="3">
        <f>N(S397)*IFERROR(VLOOKUP($C397,Assumptions!$A$4:$F$7,3,FALSE),0)*Assumptions!$B$11</f>
        <v/>
      </c>
      <c r="Z397" s="3">
        <f>N(N397)*IFERROR(VLOOKUP($C397,Assumptions!$A$4:$F$7,4,FALSE),0)</f>
        <v/>
      </c>
      <c r="AA397" s="3">
        <f>N(T397)*IFERROR(VLOOKUP($C397,Assumptions!$A$4:$F$7,5,FALSE),0)</f>
        <v/>
      </c>
      <c r="AB397" s="3">
        <f>N(U397)</f>
        <v/>
      </c>
      <c r="AC397" s="3">
        <f>SUM(W397:AB397)</f>
        <v/>
      </c>
      <c r="AD397" s="3">
        <f>N(AC397)*N(M397)/90</f>
        <v/>
      </c>
      <c r="AE397" s="3">
        <f>IFERROR(AD397-VLOOKUP($C397,Assumptions!$A$29:$C$32,3,FALSE),"")</f>
        <v/>
      </c>
      <c r="AF397" s="3">
        <f>IFERROR(AE397/F397,"")</f>
        <v/>
      </c>
      <c r="AG397">
        <f>IF(AND($E397=TRUE,$C397="GKP"),AD397,"")</f>
        <v/>
      </c>
      <c r="AH397">
        <f>IF(AND($E397=TRUE,$C397="DEF"),AD397,"")</f>
        <v/>
      </c>
      <c r="AI397">
        <f>IF(AND($E397=TRUE,$C397="MID"),AD397,"")</f>
        <v/>
      </c>
      <c r="AJ397">
        <f>IF(AND($E397=TRUE,$C397="FWD"),AD397,"")</f>
        <v/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b">
        <v>1</v>
      </c>
      <c r="F398" s="2" t="n">
        <v>4.5</v>
      </c>
      <c r="G398" t="inlineStr">
        <is>
          <t>a</t>
        </is>
      </c>
      <c r="I398" s="2" t="n">
        <v>15</v>
      </c>
      <c r="J398" t="n">
        <v>1</v>
      </c>
      <c r="K398" s="3" t="n">
        <v>0</v>
      </c>
      <c r="L398" t="inlineStr">
        <is>
          <t>flat</t>
        </is>
      </c>
      <c r="M398" s="4" t="n">
        <v>15</v>
      </c>
      <c r="N398" s="4" t="n">
        <v>0.21</v>
      </c>
      <c r="O398" s="3" t="n">
        <v>0</v>
      </c>
      <c r="P398" t="inlineStr">
        <is>
          <t>blended xG</t>
        </is>
      </c>
      <c r="Q398" s="3" t="n">
        <v>1</v>
      </c>
      <c r="R398" s="3" t="n">
        <v>0</v>
      </c>
      <c r="S398" s="3" t="n">
        <v>0.1394</v>
      </c>
      <c r="T398" s="3" t="n"/>
      <c r="U398" s="3" t="n">
        <v>0</v>
      </c>
      <c r="V398" s="3" t="n">
        <v>6</v>
      </c>
      <c r="W398" s="3">
        <f>IF(V398="",IFERROR(VLOOKUP($C398,Assumptions!$A$4:$F$7,6,FALSE),0),V398)</f>
        <v/>
      </c>
      <c r="X398" s="3">
        <f>N(O398)*IFERROR(VLOOKUP($C398,Assumptions!$A$4:$F$7,2,FALSE),0)</f>
        <v/>
      </c>
      <c r="Y398" s="3">
        <f>N(S398)*IFERROR(VLOOKUP($C398,Assumptions!$A$4:$F$7,3,FALSE),0)*Assumptions!$B$11</f>
        <v/>
      </c>
      <c r="Z398" s="3">
        <f>N(N398)*IFERROR(VLOOKUP($C398,Assumptions!$A$4:$F$7,4,FALSE),0)</f>
        <v/>
      </c>
      <c r="AA398" s="3">
        <f>N(T398)*IFERROR(VLOOKUP($C398,Assumptions!$A$4:$F$7,5,FALSE),0)</f>
        <v/>
      </c>
      <c r="AB398" s="3">
        <f>N(U398)</f>
        <v/>
      </c>
      <c r="AC398" s="3">
        <f>SUM(W398:AB398)</f>
        <v/>
      </c>
      <c r="AD398" s="3">
        <f>N(AC398)*N(M398)/90</f>
        <v/>
      </c>
      <c r="AE398" s="3">
        <f>IFERROR(AD398-VLOOKUP($C398,Assumptions!$A$29:$C$32,3,FALSE),"")</f>
        <v/>
      </c>
      <c r="AF398" s="3">
        <f>IFERROR(AE398/F398,"")</f>
        <v/>
      </c>
      <c r="AG398">
        <f>IF(AND($E398=TRUE,$C398="GKP"),AD398,"")</f>
        <v/>
      </c>
      <c r="AH398">
        <f>IF(AND($E398=TRUE,$C398="DEF"),AD398,"")</f>
        <v/>
      </c>
      <c r="AI398">
        <f>IF(AND($E398=TRUE,$C398="MID"),AD398,"")</f>
        <v/>
      </c>
      <c r="AJ398">
        <f>IF(AND($E398=TRUE,$C398="FWD"),AD398,"")</f>
        <v/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b">
        <v>1</v>
      </c>
      <c r="F399" s="2" t="n">
        <v>5</v>
      </c>
      <c r="G399" t="inlineStr">
        <is>
          <t>a</t>
        </is>
      </c>
      <c r="I399" s="2" t="n">
        <v>38</v>
      </c>
      <c r="J399" t="n">
        <v>1</v>
      </c>
      <c r="K399" s="3" t="n">
        <v>125</v>
      </c>
      <c r="L399" t="inlineStr">
        <is>
          <t>flat</t>
        </is>
      </c>
      <c r="M399" s="4" t="n">
        <v>38</v>
      </c>
      <c r="N399" s="4" t="n">
        <v>0.29</v>
      </c>
      <c r="O399" s="3" t="n">
        <v>0</v>
      </c>
      <c r="P399" t="inlineStr">
        <is>
          <t>blended xG</t>
        </is>
      </c>
      <c r="Q399" s="3" t="n">
        <v>1</v>
      </c>
      <c r="R399" s="3" t="n">
        <v>0</v>
      </c>
      <c r="S399" s="3" t="n">
        <v>0.0474</v>
      </c>
      <c r="T399" s="3" t="n">
        <v>0</v>
      </c>
      <c r="U399" s="3" t="n">
        <v>0</v>
      </c>
      <c r="V399" s="3" t="n">
        <v>2.368</v>
      </c>
      <c r="W399" s="3">
        <f>IF(V399="",IFERROR(VLOOKUP($C399,Assumptions!$A$4:$F$7,6,FALSE),0),V399)</f>
        <v/>
      </c>
      <c r="X399" s="3">
        <f>N(O399)*IFERROR(VLOOKUP($C399,Assumptions!$A$4:$F$7,2,FALSE),0)</f>
        <v/>
      </c>
      <c r="Y399" s="3">
        <f>N(S399)*IFERROR(VLOOKUP($C399,Assumptions!$A$4:$F$7,3,FALSE),0)*Assumptions!$B$11</f>
        <v/>
      </c>
      <c r="Z399" s="3">
        <f>N(N399)*IFERROR(VLOOKUP($C399,Assumptions!$A$4:$F$7,4,FALSE),0)</f>
        <v/>
      </c>
      <c r="AA399" s="3">
        <f>N(T399)*IFERROR(VLOOKUP($C399,Assumptions!$A$4:$F$7,5,FALSE),0)</f>
        <v/>
      </c>
      <c r="AB399" s="3">
        <f>N(U399)</f>
        <v/>
      </c>
      <c r="AC399" s="3">
        <f>SUM(W399:AB399)</f>
        <v/>
      </c>
      <c r="AD399" s="3">
        <f>N(AC399)*N(M399)/90</f>
        <v/>
      </c>
      <c r="AE399" s="3">
        <f>IFERROR(AD399-VLOOKUP($C399,Assumptions!$A$29:$C$32,3,FALSE),"")</f>
        <v/>
      </c>
      <c r="AF399" s="3">
        <f>IFERROR(AE399/F399,"")</f>
        <v/>
      </c>
      <c r="AG399">
        <f>IF(AND($E399=TRUE,$C399="GKP"),AD399,"")</f>
        <v/>
      </c>
      <c r="AH399">
        <f>IF(AND($E399=TRUE,$C399="DEF"),AD399,"")</f>
        <v/>
      </c>
      <c r="AI399">
        <f>IF(AND($E399=TRUE,$C399="MID"),AD399,"")</f>
        <v/>
      </c>
      <c r="AJ399">
        <f>IF(AND($E399=TRUE,$C399="FWD"),AD399,"")</f>
        <v/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b">
        <v>1</v>
      </c>
      <c r="F400" s="2" t="n">
        <v>4</v>
      </c>
      <c r="G400" t="inlineStr">
        <is>
          <t>a</t>
        </is>
      </c>
      <c r="I400" s="2" t="n">
        <v>1</v>
      </c>
      <c r="J400" t="n">
        <v>1</v>
      </c>
      <c r="K400" s="3" t="n">
        <v>0</v>
      </c>
      <c r="L400" t="inlineStr">
        <is>
          <t>flat</t>
        </is>
      </c>
      <c r="M400" s="4" t="n">
        <v>1</v>
      </c>
      <c r="N400" s="4" t="n">
        <v>0.237</v>
      </c>
      <c r="O400" s="3" t="n">
        <v>0</v>
      </c>
      <c r="P400" t="inlineStr">
        <is>
          <t>blended xG</t>
        </is>
      </c>
      <c r="Q400" s="3" t="n">
        <v>1</v>
      </c>
      <c r="R400" s="3" t="n">
        <v>0</v>
      </c>
      <c r="S400" s="3" t="n">
        <v>0</v>
      </c>
      <c r="T400" s="3" t="n"/>
      <c r="U400" s="3" t="n">
        <v>0</v>
      </c>
      <c r="V400" s="3" t="n">
        <v>90</v>
      </c>
      <c r="W400" s="3">
        <f>IF(V400="",IFERROR(VLOOKUP($C400,Assumptions!$A$4:$F$7,6,FALSE),0),V400)</f>
        <v/>
      </c>
      <c r="X400" s="3">
        <f>N(O400)*IFERROR(VLOOKUP($C400,Assumptions!$A$4:$F$7,2,FALSE),0)</f>
        <v/>
      </c>
      <c r="Y400" s="3">
        <f>N(S400)*IFERROR(VLOOKUP($C400,Assumptions!$A$4:$F$7,3,FALSE),0)*Assumptions!$B$11</f>
        <v/>
      </c>
      <c r="Z400" s="3">
        <f>N(N400)*IFERROR(VLOOKUP($C400,Assumptions!$A$4:$F$7,4,FALSE),0)</f>
        <v/>
      </c>
      <c r="AA400" s="3">
        <f>N(T400)*IFERROR(VLOOKUP($C400,Assumptions!$A$4:$F$7,5,FALSE),0)</f>
        <v/>
      </c>
      <c r="AB400" s="3">
        <f>N(U400)</f>
        <v/>
      </c>
      <c r="AC400" s="3">
        <f>SUM(W400:AB400)</f>
        <v/>
      </c>
      <c r="AD400" s="3">
        <f>N(AC400)*N(M400)/90</f>
        <v/>
      </c>
      <c r="AE400" s="3">
        <f>IFERROR(AD400-VLOOKUP($C400,Assumptions!$A$29:$C$32,3,FALSE),"")</f>
        <v/>
      </c>
      <c r="AF400" s="3">
        <f>IFERROR(AE400/F400,"")</f>
        <v/>
      </c>
      <c r="AG400">
        <f>IF(AND($E400=TRUE,$C400="GKP"),AD400,"")</f>
        <v/>
      </c>
      <c r="AH400">
        <f>IF(AND($E400=TRUE,$C400="DEF"),AD400,"")</f>
        <v/>
      </c>
      <c r="AI400">
        <f>IF(AND($E400=TRUE,$C400="MID"),AD400,"")</f>
        <v/>
      </c>
      <c r="AJ400">
        <f>IF(AND($E400=TRUE,$C400="FWD"),AD400,"")</f>
        <v/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b">
        <v>1</v>
      </c>
      <c r="F401" s="2" t="n">
        <v>4</v>
      </c>
      <c r="G401" t="inlineStr">
        <is>
          <t>u</t>
        </is>
      </c>
      <c r="H401" t="inlineStr">
        <is>
          <t>Has joined Konyaspor permanently</t>
        </is>
      </c>
      <c r="I401" s="2" t="n">
        <v>125</v>
      </c>
      <c r="J401" t="n">
        <v>1</v>
      </c>
      <c r="K401" s="3" t="n"/>
      <c r="M401" s="4" t="n">
        <v>125</v>
      </c>
      <c r="N401" s="4" t="n">
        <v>0.29</v>
      </c>
      <c r="O401" s="3" t="n">
        <v>0.0497</v>
      </c>
      <c r="P401" t="inlineStr">
        <is>
          <t>adjusted xGOT</t>
        </is>
      </c>
      <c r="Q401" s="3" t="n">
        <v>0.991</v>
      </c>
      <c r="R401" s="3" t="n">
        <v>0.1</v>
      </c>
      <c r="S401" s="3" t="n">
        <v>0.0497</v>
      </c>
      <c r="T401" s="3" t="n">
        <v>0</v>
      </c>
      <c r="U401" s="3" t="n">
        <v>0</v>
      </c>
      <c r="V401" s="3" t="n">
        <v>2.16</v>
      </c>
      <c r="W401" s="3">
        <f>IF(V401="",IFERROR(VLOOKUP($C401,Assumptions!$A$4:$F$7,6,FALSE),0),V401)</f>
        <v/>
      </c>
      <c r="X401" s="3">
        <f>N(O401)*IFERROR(VLOOKUP($C401,Assumptions!$A$4:$F$7,2,FALSE),0)</f>
        <v/>
      </c>
      <c r="Y401" s="3">
        <f>N(S401)*IFERROR(VLOOKUP($C401,Assumptions!$A$4:$F$7,3,FALSE),0)*Assumptions!$B$11</f>
        <v/>
      </c>
      <c r="Z401" s="3">
        <f>N(N401)*IFERROR(VLOOKUP($C401,Assumptions!$A$4:$F$7,4,FALSE),0)</f>
        <v/>
      </c>
      <c r="AA401" s="3">
        <f>N(T401)*IFERROR(VLOOKUP($C401,Assumptions!$A$4:$F$7,5,FALSE),0)</f>
        <v/>
      </c>
      <c r="AB401" s="3">
        <f>N(U401)</f>
        <v/>
      </c>
      <c r="AC401" s="3">
        <f>SUM(W401:AB401)</f>
        <v/>
      </c>
      <c r="AD401" s="3">
        <f>N(AC401)*N(M401)/90</f>
        <v/>
      </c>
      <c r="AE401" s="3">
        <f>IFERROR(AD401-VLOOKUP($C401,Assumptions!$A$29:$C$32,3,FALSE),"")</f>
        <v/>
      </c>
      <c r="AF401" s="3">
        <f>IFERROR(AE401/F401,"")</f>
        <v/>
      </c>
      <c r="AG401">
        <f>IF(AND($E401=TRUE,$C401="GKP"),AD401,"")</f>
        <v/>
      </c>
      <c r="AH401">
        <f>IF(AND($E401=TRUE,$C401="DEF"),AD401,"")</f>
        <v/>
      </c>
      <c r="AI401">
        <f>IF(AND($E401=TRUE,$C401="MID"),AD401,"")</f>
        <v/>
      </c>
      <c r="AJ401">
        <f>IF(AND($E401=TRUE,$C401="FWD"),AD401,"")</f>
        <v/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b">
        <v>1</v>
      </c>
      <c r="F402" s="2" t="n">
        <v>4.5</v>
      </c>
      <c r="G402" t="inlineStr">
        <is>
          <t>a</t>
        </is>
      </c>
      <c r="I402" s="2" t="n">
        <v>14</v>
      </c>
      <c r="J402" t="n">
        <v>1</v>
      </c>
      <c r="K402" s="3" t="n">
        <v>0</v>
      </c>
      <c r="L402" t="inlineStr">
        <is>
          <t>flat</t>
        </is>
      </c>
      <c r="M402" s="4" t="n">
        <v>14</v>
      </c>
      <c r="N402" s="4" t="n">
        <v>0.237</v>
      </c>
      <c r="O402" s="3" t="n">
        <v>0</v>
      </c>
      <c r="P402" t="inlineStr">
        <is>
          <t>blended xG</t>
        </is>
      </c>
      <c r="Q402" s="3" t="n">
        <v>1</v>
      </c>
      <c r="R402" s="3" t="n">
        <v>0</v>
      </c>
      <c r="S402" s="3" t="n">
        <v>0.0321</v>
      </c>
      <c r="T402" s="3" t="n"/>
      <c r="U402" s="3" t="n">
        <v>0</v>
      </c>
      <c r="V402" s="3" t="n">
        <v>6.429</v>
      </c>
      <c r="W402" s="3">
        <f>IF(V402="",IFERROR(VLOOKUP($C402,Assumptions!$A$4:$F$7,6,FALSE),0),V402)</f>
        <v/>
      </c>
      <c r="X402" s="3">
        <f>N(O402)*IFERROR(VLOOKUP($C402,Assumptions!$A$4:$F$7,2,FALSE),0)</f>
        <v/>
      </c>
      <c r="Y402" s="3">
        <f>N(S402)*IFERROR(VLOOKUP($C402,Assumptions!$A$4:$F$7,3,FALSE),0)*Assumptions!$B$11</f>
        <v/>
      </c>
      <c r="Z402" s="3">
        <f>N(N402)*IFERROR(VLOOKUP($C402,Assumptions!$A$4:$F$7,4,FALSE),0)</f>
        <v/>
      </c>
      <c r="AA402" s="3">
        <f>N(T402)*IFERROR(VLOOKUP($C402,Assumptions!$A$4:$F$7,5,FALSE),0)</f>
        <v/>
      </c>
      <c r="AB402" s="3">
        <f>N(U402)</f>
        <v/>
      </c>
      <c r="AC402" s="3">
        <f>SUM(W402:AB402)</f>
        <v/>
      </c>
      <c r="AD402" s="3">
        <f>N(AC402)*N(M402)/90</f>
        <v/>
      </c>
      <c r="AE402" s="3">
        <f>IFERROR(AD402-VLOOKUP($C402,Assumptions!$A$29:$C$32,3,FALSE),"")</f>
        <v/>
      </c>
      <c r="AF402" s="3">
        <f>IFERROR(AE402/F402,"")</f>
        <v/>
      </c>
      <c r="AG402">
        <f>IF(AND($E402=TRUE,$C402="GKP"),AD402,"")</f>
        <v/>
      </c>
      <c r="AH402">
        <f>IF(AND($E402=TRUE,$C402="DEF"),AD402,"")</f>
        <v/>
      </c>
      <c r="AI402">
        <f>IF(AND($E402=TRUE,$C402="MID"),AD402,"")</f>
        <v/>
      </c>
      <c r="AJ402">
        <f>IF(AND($E402=TRUE,$C402="FWD"),AD402,"")</f>
        <v/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b">
        <v>1</v>
      </c>
      <c r="F403" s="2" t="n">
        <v>4.5</v>
      </c>
      <c r="G403" t="inlineStr">
        <is>
          <t>a</t>
        </is>
      </c>
      <c r="I403" s="2" t="n">
        <v>26</v>
      </c>
      <c r="J403" t="n">
        <v>1</v>
      </c>
      <c r="K403" s="3" t="n">
        <v>12</v>
      </c>
      <c r="L403" t="inlineStr">
        <is>
          <t>flat</t>
        </is>
      </c>
      <c r="M403" s="4" t="n">
        <v>26</v>
      </c>
      <c r="N403" s="4" t="n">
        <v>0.237</v>
      </c>
      <c r="O403" s="3" t="n">
        <v>0</v>
      </c>
      <c r="P403" t="inlineStr">
        <is>
          <t>blended xG</t>
        </is>
      </c>
      <c r="Q403" s="3" t="n">
        <v>1</v>
      </c>
      <c r="R403" s="3" t="n">
        <v>0</v>
      </c>
      <c r="S403" s="3" t="n">
        <v>0.0173</v>
      </c>
      <c r="T403" s="3" t="n"/>
      <c r="U403" s="3" t="n">
        <v>0</v>
      </c>
      <c r="V403" s="3" t="n">
        <v>10.385</v>
      </c>
      <c r="W403" s="3">
        <f>IF(V403="",IFERROR(VLOOKUP($C403,Assumptions!$A$4:$F$7,6,FALSE),0),V403)</f>
        <v/>
      </c>
      <c r="X403" s="3">
        <f>N(O403)*IFERROR(VLOOKUP($C403,Assumptions!$A$4:$F$7,2,FALSE),0)</f>
        <v/>
      </c>
      <c r="Y403" s="3">
        <f>N(S403)*IFERROR(VLOOKUP($C403,Assumptions!$A$4:$F$7,3,FALSE),0)*Assumptions!$B$11</f>
        <v/>
      </c>
      <c r="Z403" s="3">
        <f>N(N403)*IFERROR(VLOOKUP($C403,Assumptions!$A$4:$F$7,4,FALSE),0)</f>
        <v/>
      </c>
      <c r="AA403" s="3">
        <f>N(T403)*IFERROR(VLOOKUP($C403,Assumptions!$A$4:$F$7,5,FALSE),0)</f>
        <v/>
      </c>
      <c r="AB403" s="3">
        <f>N(U403)</f>
        <v/>
      </c>
      <c r="AC403" s="3">
        <f>SUM(W403:AB403)</f>
        <v/>
      </c>
      <c r="AD403" s="3">
        <f>N(AC403)*N(M403)/90</f>
        <v/>
      </c>
      <c r="AE403" s="3">
        <f>IFERROR(AD403-VLOOKUP($C403,Assumptions!$A$29:$C$32,3,FALSE),"")</f>
        <v/>
      </c>
      <c r="AF403" s="3">
        <f>IFERROR(AE403/F403,"")</f>
        <v/>
      </c>
      <c r="AG403">
        <f>IF(AND($E403=TRUE,$C403="GKP"),AD403,"")</f>
        <v/>
      </c>
      <c r="AH403">
        <f>IF(AND($E403=TRUE,$C403="DEF"),AD403,"")</f>
        <v/>
      </c>
      <c r="AI403">
        <f>IF(AND($E403=TRUE,$C403="MID"),AD403,"")</f>
        <v/>
      </c>
      <c r="AJ403">
        <f>IF(AND($E403=TRUE,$C403="FWD"),AD403,"")</f>
        <v/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b">
        <v>1</v>
      </c>
      <c r="F404" s="2" t="n">
        <v>4.5</v>
      </c>
      <c r="G404" t="inlineStr">
        <is>
          <t>a</t>
        </is>
      </c>
      <c r="I404" s="2" t="n">
        <v>90</v>
      </c>
      <c r="J404" t="n">
        <v>1</v>
      </c>
      <c r="K404" s="3" t="n">
        <v>35</v>
      </c>
      <c r="L404" t="inlineStr">
        <is>
          <t>flat</t>
        </is>
      </c>
      <c r="M404" s="4" t="n">
        <v>90</v>
      </c>
      <c r="N404" s="4" t="n">
        <v>0.263</v>
      </c>
      <c r="O404" s="3" t="n">
        <v>0</v>
      </c>
      <c r="P404" t="inlineStr">
        <is>
          <t>blended xG</t>
        </is>
      </c>
      <c r="Q404" s="3" t="n">
        <v>1</v>
      </c>
      <c r="R404" s="3" t="n">
        <v>0</v>
      </c>
      <c r="S404" s="3" t="n">
        <v>0</v>
      </c>
      <c r="T404" s="3" t="n">
        <v>0</v>
      </c>
      <c r="U404" s="3" t="n">
        <v>0</v>
      </c>
      <c r="V404" s="3" t="n">
        <v>2</v>
      </c>
      <c r="W404" s="3">
        <f>IF(V404="",IFERROR(VLOOKUP($C404,Assumptions!$A$4:$F$7,6,FALSE),0),V404)</f>
        <v/>
      </c>
      <c r="X404" s="3">
        <f>N(O404)*IFERROR(VLOOKUP($C404,Assumptions!$A$4:$F$7,2,FALSE),0)</f>
        <v/>
      </c>
      <c r="Y404" s="3">
        <f>N(S404)*IFERROR(VLOOKUP($C404,Assumptions!$A$4:$F$7,3,FALSE),0)*Assumptions!$B$11</f>
        <v/>
      </c>
      <c r="Z404" s="3">
        <f>N(N404)*IFERROR(VLOOKUP($C404,Assumptions!$A$4:$F$7,4,FALSE),0)</f>
        <v/>
      </c>
      <c r="AA404" s="3">
        <f>N(T404)*IFERROR(VLOOKUP($C404,Assumptions!$A$4:$F$7,5,FALSE),0)</f>
        <v/>
      </c>
      <c r="AB404" s="3">
        <f>N(U404)</f>
        <v/>
      </c>
      <c r="AC404" s="3">
        <f>SUM(W404:AB404)</f>
        <v/>
      </c>
      <c r="AD404" s="3">
        <f>N(AC404)*N(M404)/90</f>
        <v/>
      </c>
      <c r="AE404" s="3">
        <f>IFERROR(AD404-VLOOKUP($C404,Assumptions!$A$29:$C$32,3,FALSE),"")</f>
        <v/>
      </c>
      <c r="AF404" s="3">
        <f>IFERROR(AE404/F404,"")</f>
        <v/>
      </c>
      <c r="AG404">
        <f>IF(AND($E404=TRUE,$C404="GKP"),AD404,"")</f>
        <v/>
      </c>
      <c r="AH404">
        <f>IF(AND($E404=TRUE,$C404="DEF"),AD404,"")</f>
        <v/>
      </c>
      <c r="AI404">
        <f>IF(AND($E404=TRUE,$C404="MID"),AD404,"")</f>
        <v/>
      </c>
      <c r="AJ404">
        <f>IF(AND($E404=TRUE,$C404="FWD"),AD404,"")</f>
        <v/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b">
        <v>1</v>
      </c>
      <c r="F405" s="2" t="n">
        <v>5</v>
      </c>
      <c r="G405" t="inlineStr">
        <is>
          <t>d</t>
        </is>
      </c>
      <c r="H405" t="inlineStr">
        <is>
          <t>Knee injury - 75% chance of playing</t>
        </is>
      </c>
      <c r="I405" s="2" t="n">
        <v>45</v>
      </c>
      <c r="J405" t="n">
        <v>1</v>
      </c>
      <c r="K405" s="3" t="n">
        <v>0</v>
      </c>
      <c r="L405" t="inlineStr">
        <is>
          <t>flat</t>
        </is>
      </c>
      <c r="M405" s="4" t="n">
        <v>45</v>
      </c>
      <c r="N405" s="4" t="n">
        <v>0.263</v>
      </c>
      <c r="O405" s="3" t="n">
        <v>0</v>
      </c>
      <c r="P405" t="inlineStr">
        <is>
          <t>blended xG</t>
        </is>
      </c>
      <c r="Q405" s="3" t="n">
        <v>1</v>
      </c>
      <c r="R405" s="3" t="n">
        <v>0</v>
      </c>
      <c r="S405" s="3" t="n">
        <v>0.01</v>
      </c>
      <c r="T405" s="3" t="n">
        <v>0</v>
      </c>
      <c r="U405" s="3" t="n">
        <v>0</v>
      </c>
      <c r="V405" s="3" t="n">
        <v>2</v>
      </c>
      <c r="W405" s="3">
        <f>IF(V405="",IFERROR(VLOOKUP($C405,Assumptions!$A$4:$F$7,6,FALSE),0),V405)</f>
        <v/>
      </c>
      <c r="X405" s="3">
        <f>N(O405)*IFERROR(VLOOKUP($C405,Assumptions!$A$4:$F$7,2,FALSE),0)</f>
        <v/>
      </c>
      <c r="Y405" s="3">
        <f>N(S405)*IFERROR(VLOOKUP($C405,Assumptions!$A$4:$F$7,3,FALSE),0)*Assumptions!$B$11</f>
        <v/>
      </c>
      <c r="Z405" s="3">
        <f>N(N405)*IFERROR(VLOOKUP($C405,Assumptions!$A$4:$F$7,4,FALSE),0)</f>
        <v/>
      </c>
      <c r="AA405" s="3">
        <f>N(T405)*IFERROR(VLOOKUP($C405,Assumptions!$A$4:$F$7,5,FALSE),0)</f>
        <v/>
      </c>
      <c r="AB405" s="3">
        <f>N(U405)</f>
        <v/>
      </c>
      <c r="AC405" s="3">
        <f>SUM(W405:AB405)</f>
        <v/>
      </c>
      <c r="AD405" s="3">
        <f>N(AC405)*N(M405)/90</f>
        <v/>
      </c>
      <c r="AE405" s="3">
        <f>IFERROR(AD405-VLOOKUP($C405,Assumptions!$A$29:$C$32,3,FALSE),"")</f>
        <v/>
      </c>
      <c r="AF405" s="3">
        <f>IFERROR(AE405/F405,"")</f>
        <v/>
      </c>
      <c r="AG405">
        <f>IF(AND($E405=TRUE,$C405="GKP"),AD405,"")</f>
        <v/>
      </c>
      <c r="AH405">
        <f>IF(AND($E405=TRUE,$C405="DEF"),AD405,"")</f>
        <v/>
      </c>
      <c r="AI405">
        <f>IF(AND($E405=TRUE,$C405="MID"),AD405,"")</f>
        <v/>
      </c>
      <c r="AJ405">
        <f>IF(AND($E405=TRUE,$C405="FWD"),AD405,"")</f>
        <v/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b">
        <v>1</v>
      </c>
      <c r="F406" s="2" t="n">
        <v>4</v>
      </c>
      <c r="G406" t="inlineStr">
        <is>
          <t>a</t>
        </is>
      </c>
      <c r="I406" s="2" t="n">
        <v>2</v>
      </c>
      <c r="J406" t="n">
        <v>1</v>
      </c>
      <c r="K406" s="3" t="n">
        <v>0</v>
      </c>
      <c r="L406" t="inlineStr">
        <is>
          <t>flat</t>
        </is>
      </c>
      <c r="M406" s="4" t="n">
        <v>2</v>
      </c>
      <c r="N406" s="4" t="n">
        <v>0.21</v>
      </c>
      <c r="O406" s="3" t="n">
        <v>0</v>
      </c>
      <c r="P406" t="inlineStr">
        <is>
          <t>blended xG</t>
        </is>
      </c>
      <c r="Q406" s="3" t="n">
        <v>1</v>
      </c>
      <c r="R406" s="3" t="n">
        <v>0</v>
      </c>
      <c r="S406" s="3" t="n">
        <v>0</v>
      </c>
      <c r="T406" s="3" t="n"/>
      <c r="U406" s="3" t="n">
        <v>0</v>
      </c>
      <c r="V406" s="3" t="n">
        <v>45</v>
      </c>
      <c r="W406" s="3">
        <f>IF(V406="",IFERROR(VLOOKUP($C406,Assumptions!$A$4:$F$7,6,FALSE),0),V406)</f>
        <v/>
      </c>
      <c r="X406" s="3">
        <f>N(O406)*IFERROR(VLOOKUP($C406,Assumptions!$A$4:$F$7,2,FALSE),0)</f>
        <v/>
      </c>
      <c r="Y406" s="3">
        <f>N(S406)*IFERROR(VLOOKUP($C406,Assumptions!$A$4:$F$7,3,FALSE),0)*Assumptions!$B$11</f>
        <v/>
      </c>
      <c r="Z406" s="3">
        <f>N(N406)*IFERROR(VLOOKUP($C406,Assumptions!$A$4:$F$7,4,FALSE),0)</f>
        <v/>
      </c>
      <c r="AA406" s="3">
        <f>N(T406)*IFERROR(VLOOKUP($C406,Assumptions!$A$4:$F$7,5,FALSE),0)</f>
        <v/>
      </c>
      <c r="AB406" s="3">
        <f>N(U406)</f>
        <v/>
      </c>
      <c r="AC406" s="3">
        <f>SUM(W406:AB406)</f>
        <v/>
      </c>
      <c r="AD406" s="3">
        <f>N(AC406)*N(M406)/90</f>
        <v/>
      </c>
      <c r="AE406" s="3">
        <f>IFERROR(AD406-VLOOKUP($C406,Assumptions!$A$29:$C$32,3,FALSE),"")</f>
        <v/>
      </c>
      <c r="AF406" s="3">
        <f>IFERROR(AE406/F406,"")</f>
        <v/>
      </c>
      <c r="AG406">
        <f>IF(AND($E406=TRUE,$C406="GKP"),AD406,"")</f>
        <v/>
      </c>
      <c r="AH406">
        <f>IF(AND($E406=TRUE,$C406="DEF"),AD406,"")</f>
        <v/>
      </c>
      <c r="AI406">
        <f>IF(AND($E406=TRUE,$C406="MID"),AD406,"")</f>
        <v/>
      </c>
      <c r="AJ406">
        <f>IF(AND($E406=TRUE,$C406="FWD"),AD406,"")</f>
        <v/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b">
        <v>1</v>
      </c>
      <c r="F407" s="2" t="n">
        <v>5</v>
      </c>
      <c r="G407" t="inlineStr">
        <is>
          <t>a</t>
        </is>
      </c>
      <c r="I407" s="2" t="n">
        <v>0</v>
      </c>
      <c r="J407" t="n">
        <v>0</v>
      </c>
      <c r="K407" s="3" t="n">
        <v>0</v>
      </c>
      <c r="L407" t="inlineStr">
        <is>
          <t>flat</t>
        </is>
      </c>
      <c r="M407" s="4" t="n">
        <v>0</v>
      </c>
      <c r="N407" s="4" t="n">
        <v>0.5</v>
      </c>
      <c r="O407" s="3" t="n"/>
      <c r="P407" t="inlineStr"/>
      <c r="Q407" s="3" t="n"/>
      <c r="R407" s="3" t="n"/>
      <c r="S407" s="3" t="n"/>
      <c r="T407" s="3" t="n">
        <v>0</v>
      </c>
      <c r="U407" s="3" t="n"/>
      <c r="V407" s="3" t="n"/>
      <c r="W407" s="3">
        <f>IF(V407="",IFERROR(VLOOKUP($C407,Assumptions!$A$4:$F$7,6,FALSE),0),V407)</f>
        <v/>
      </c>
      <c r="X407" s="3">
        <f>N(O407)*IFERROR(VLOOKUP($C407,Assumptions!$A$4:$F$7,2,FALSE),0)</f>
        <v/>
      </c>
      <c r="Y407" s="3">
        <f>N(S407)*IFERROR(VLOOKUP($C407,Assumptions!$A$4:$F$7,3,FALSE),0)*Assumptions!$B$11</f>
        <v/>
      </c>
      <c r="Z407" s="3">
        <f>N(N407)*IFERROR(VLOOKUP($C407,Assumptions!$A$4:$F$7,4,FALSE),0)</f>
        <v/>
      </c>
      <c r="AA407" s="3">
        <f>N(T407)*IFERROR(VLOOKUP($C407,Assumptions!$A$4:$F$7,5,FALSE),0)</f>
        <v/>
      </c>
      <c r="AB407" s="3">
        <f>N(U407)</f>
        <v/>
      </c>
      <c r="AC407" s="3">
        <f>SUM(W407:AB407)</f>
        <v/>
      </c>
      <c r="AD407" s="3">
        <f>N(AC407)*N(M407)/90</f>
        <v/>
      </c>
      <c r="AE407" s="3">
        <f>IFERROR(AD407-VLOOKUP($C407,Assumptions!$A$29:$C$32,3,FALSE),"")</f>
        <v/>
      </c>
      <c r="AF407" s="3">
        <f>IFERROR(AE407/F407,"")</f>
        <v/>
      </c>
      <c r="AG407">
        <f>IF(AND($E407=TRUE,$C407="GKP"),AD407,"")</f>
        <v/>
      </c>
      <c r="AH407">
        <f>IF(AND($E407=TRUE,$C407="DEF"),AD407,"")</f>
        <v/>
      </c>
      <c r="AI407">
        <f>IF(AND($E407=TRUE,$C407="MID"),AD407,"")</f>
        <v/>
      </c>
      <c r="AJ407">
        <f>IF(AND($E407=TRUE,$C407="FWD"),AD407,"")</f>
        <v/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b">
        <v>1</v>
      </c>
      <c r="F408" s="2" t="n">
        <v>4.5</v>
      </c>
      <c r="G408" t="inlineStr">
        <is>
          <t>i</t>
        </is>
      </c>
      <c r="H408" t="inlineStr">
        <is>
          <t>Thigh injury - Unknown return date</t>
        </is>
      </c>
      <c r="I408" s="2" t="n">
        <v>0</v>
      </c>
      <c r="J408" t="n">
        <v>0</v>
      </c>
      <c r="K408" s="3" t="n">
        <v>0</v>
      </c>
      <c r="L408" t="inlineStr">
        <is>
          <t>flat</t>
        </is>
      </c>
      <c r="M408" s="4" t="n">
        <v>0</v>
      </c>
      <c r="N408" s="4" t="n">
        <v>0.29</v>
      </c>
      <c r="O408" s="3" t="n"/>
      <c r="P408" t="inlineStr"/>
      <c r="Q408" s="3" t="n"/>
      <c r="R408" s="3" t="n"/>
      <c r="S408" s="3" t="n"/>
      <c r="T408" s="3" t="n"/>
      <c r="U408" s="3" t="n"/>
      <c r="V408" s="3" t="n"/>
      <c r="W408" s="3">
        <f>IF(V408="",IFERROR(VLOOKUP($C408,Assumptions!$A$4:$F$7,6,FALSE),0),V408)</f>
        <v/>
      </c>
      <c r="X408" s="3">
        <f>N(O408)*IFERROR(VLOOKUP($C408,Assumptions!$A$4:$F$7,2,FALSE),0)</f>
        <v/>
      </c>
      <c r="Y408" s="3">
        <f>N(S408)*IFERROR(VLOOKUP($C408,Assumptions!$A$4:$F$7,3,FALSE),0)*Assumptions!$B$11</f>
        <v/>
      </c>
      <c r="Z408" s="3">
        <f>N(N408)*IFERROR(VLOOKUP($C408,Assumptions!$A$4:$F$7,4,FALSE),0)</f>
        <v/>
      </c>
      <c r="AA408" s="3">
        <f>N(T408)*IFERROR(VLOOKUP($C408,Assumptions!$A$4:$F$7,5,FALSE),0)</f>
        <v/>
      </c>
      <c r="AB408" s="3">
        <f>N(U408)</f>
        <v/>
      </c>
      <c r="AC408" s="3">
        <f>SUM(W408:AB408)</f>
        <v/>
      </c>
      <c r="AD408" s="3">
        <f>N(AC408)*N(M408)/90</f>
        <v/>
      </c>
      <c r="AE408" s="3">
        <f>IFERROR(AD408-VLOOKUP($C408,Assumptions!$A$29:$C$32,3,FALSE),"")</f>
        <v/>
      </c>
      <c r="AF408" s="3">
        <f>IFERROR(AE408/F408,"")</f>
        <v/>
      </c>
      <c r="AG408">
        <f>IF(AND($E408=TRUE,$C408="GKP"),AD408,"")</f>
        <v/>
      </c>
      <c r="AH408">
        <f>IF(AND($E408=TRUE,$C408="DEF"),AD408,"")</f>
        <v/>
      </c>
      <c r="AI408">
        <f>IF(AND($E408=TRUE,$C408="MID"),AD408,"")</f>
        <v/>
      </c>
      <c r="AJ408">
        <f>IF(AND($E408=TRUE,$C408="FWD"),AD408,"")</f>
        <v/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b">
        <v>1</v>
      </c>
      <c r="F409" s="2" t="n">
        <v>4.5</v>
      </c>
      <c r="G409" t="inlineStr">
        <is>
          <t>a</t>
        </is>
      </c>
      <c r="I409" s="2" t="n">
        <v>0</v>
      </c>
      <c r="J409" t="n">
        <v>0</v>
      </c>
      <c r="K409" s="3" t="n">
        <v>3317</v>
      </c>
      <c r="L409" t="inlineStr">
        <is>
          <t>flat</t>
        </is>
      </c>
      <c r="M409" s="4" t="n">
        <v>0</v>
      </c>
      <c r="N409" s="4" t="n"/>
      <c r="O409" s="3" t="n"/>
      <c r="P409" t="inlineStr"/>
      <c r="Q409" s="3" t="n"/>
      <c r="R409" s="3" t="n"/>
      <c r="S409" s="3" t="n"/>
      <c r="T409" s="3" t="n">
        <v>0</v>
      </c>
      <c r="U409" s="3" t="n"/>
      <c r="V409" s="3" t="n"/>
      <c r="W409" s="3">
        <f>IF(V409="",IFERROR(VLOOKUP($C409,Assumptions!$A$4:$F$7,6,FALSE),0),V409)</f>
        <v/>
      </c>
      <c r="X409" s="3">
        <f>N(O409)*IFERROR(VLOOKUP($C409,Assumptions!$A$4:$F$7,2,FALSE),0)</f>
        <v/>
      </c>
      <c r="Y409" s="3">
        <f>N(S409)*IFERROR(VLOOKUP($C409,Assumptions!$A$4:$F$7,3,FALSE),0)*Assumptions!$B$11</f>
        <v/>
      </c>
      <c r="Z409" s="3">
        <f>N(N409)*IFERROR(VLOOKUP($C409,Assumptions!$A$4:$F$7,4,FALSE),0)</f>
        <v/>
      </c>
      <c r="AA409" s="3">
        <f>N(T409)*IFERROR(VLOOKUP($C409,Assumptions!$A$4:$F$7,5,FALSE),0)</f>
        <v/>
      </c>
      <c r="AB409" s="3">
        <f>N(U409)</f>
        <v/>
      </c>
      <c r="AC409" s="3">
        <f>SUM(W409:AB409)</f>
        <v/>
      </c>
      <c r="AD409" s="3">
        <f>N(AC409)*N(M409)/90</f>
        <v/>
      </c>
      <c r="AE409" s="3">
        <f>IFERROR(AD409-VLOOKUP($C409,Assumptions!$A$29:$C$32,3,FALSE),"")</f>
        <v/>
      </c>
      <c r="AF409" s="3">
        <f>IFERROR(AE409/F409,"")</f>
        <v/>
      </c>
      <c r="AG409">
        <f>IF(AND($E409=TRUE,$C409="GKP"),AD409,"")</f>
        <v/>
      </c>
      <c r="AH409">
        <f>IF(AND($E409=TRUE,$C409="DEF"),AD409,"")</f>
        <v/>
      </c>
      <c r="AI409">
        <f>IF(AND($E409=TRUE,$C409="MID"),AD409,"")</f>
        <v/>
      </c>
      <c r="AJ409">
        <f>IF(AND($E409=TRUE,$C409="FWD"),AD409,"")</f>
        <v/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b">
        <v>1</v>
      </c>
      <c r="F410" s="2" t="n">
        <v>4</v>
      </c>
      <c r="G410" t="inlineStr">
        <is>
          <t>a</t>
        </is>
      </c>
      <c r="I410" s="2" t="n">
        <v>0</v>
      </c>
      <c r="J410" t="n">
        <v>0</v>
      </c>
      <c r="K410" s="3" t="n">
        <v>0</v>
      </c>
      <c r="L410" t="inlineStr">
        <is>
          <t>flat</t>
        </is>
      </c>
      <c r="M410" s="4" t="n">
        <v>0</v>
      </c>
      <c r="N410" s="4" t="n">
        <v>0.21</v>
      </c>
      <c r="O410" s="3" t="n"/>
      <c r="P410" t="inlineStr"/>
      <c r="Q410" s="3" t="n"/>
      <c r="R410" s="3" t="n"/>
      <c r="S410" s="3" t="n"/>
      <c r="T410" s="3" t="n">
        <v>0</v>
      </c>
      <c r="U410" s="3" t="n"/>
      <c r="V410" s="3" t="n"/>
      <c r="W410" s="3">
        <f>IF(V410="",IFERROR(VLOOKUP($C410,Assumptions!$A$4:$F$7,6,FALSE),0),V410)</f>
        <v/>
      </c>
      <c r="X410" s="3">
        <f>N(O410)*IFERROR(VLOOKUP($C410,Assumptions!$A$4:$F$7,2,FALSE),0)</f>
        <v/>
      </c>
      <c r="Y410" s="3">
        <f>N(S410)*IFERROR(VLOOKUP($C410,Assumptions!$A$4:$F$7,3,FALSE),0)*Assumptions!$B$11</f>
        <v/>
      </c>
      <c r="Z410" s="3">
        <f>N(N410)*IFERROR(VLOOKUP($C410,Assumptions!$A$4:$F$7,4,FALSE),0)</f>
        <v/>
      </c>
      <c r="AA410" s="3">
        <f>N(T410)*IFERROR(VLOOKUP($C410,Assumptions!$A$4:$F$7,5,FALSE),0)</f>
        <v/>
      </c>
      <c r="AB410" s="3">
        <f>N(U410)</f>
        <v/>
      </c>
      <c r="AC410" s="3">
        <f>SUM(W410:AB410)</f>
        <v/>
      </c>
      <c r="AD410" s="3">
        <f>N(AC410)*N(M410)/90</f>
        <v/>
      </c>
      <c r="AE410" s="3">
        <f>IFERROR(AD410-VLOOKUP($C410,Assumptions!$A$29:$C$32,3,FALSE),"")</f>
        <v/>
      </c>
      <c r="AF410" s="3">
        <f>IFERROR(AE410/F410,"")</f>
        <v/>
      </c>
      <c r="AG410">
        <f>IF(AND($E410=TRUE,$C410="GKP"),AD410,"")</f>
        <v/>
      </c>
      <c r="AH410">
        <f>IF(AND($E410=TRUE,$C410="DEF"),AD410,"")</f>
        <v/>
      </c>
      <c r="AI410">
        <f>IF(AND($E410=TRUE,$C410="MID"),AD410,"")</f>
        <v/>
      </c>
      <c r="AJ410">
        <f>IF(AND($E410=TRUE,$C410="FWD"),AD410,"")</f>
        <v/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b">
        <v>1</v>
      </c>
      <c r="F411" s="2" t="n">
        <v>4</v>
      </c>
      <c r="G411" t="inlineStr">
        <is>
          <t>u</t>
        </is>
      </c>
      <c r="H411" t="inlineStr">
        <is>
          <t>Has joined Wrexham permanently</t>
        </is>
      </c>
      <c r="I411" s="2" t="n">
        <v>0</v>
      </c>
      <c r="J411" t="n">
        <v>0</v>
      </c>
      <c r="K411" s="3" t="n"/>
      <c r="M411" s="4" t="n">
        <v>0</v>
      </c>
      <c r="N411" s="4" t="n">
        <v>0.29</v>
      </c>
      <c r="O411" s="3" t="n"/>
      <c r="P411" t="inlineStr"/>
      <c r="Q411" s="3" t="n"/>
      <c r="R411" s="3" t="n"/>
      <c r="S411" s="3" t="n"/>
      <c r="T411" s="3" t="n">
        <v>0</v>
      </c>
      <c r="U411" s="3" t="n"/>
      <c r="V411" s="3" t="n"/>
      <c r="W411" s="3">
        <f>IF(V411="",IFERROR(VLOOKUP($C411,Assumptions!$A$4:$F$7,6,FALSE),0),V411)</f>
        <v/>
      </c>
      <c r="X411" s="3">
        <f>N(O411)*IFERROR(VLOOKUP($C411,Assumptions!$A$4:$F$7,2,FALSE),0)</f>
        <v/>
      </c>
      <c r="Y411" s="3">
        <f>N(S411)*IFERROR(VLOOKUP($C411,Assumptions!$A$4:$F$7,3,FALSE),0)*Assumptions!$B$11</f>
        <v/>
      </c>
      <c r="Z411" s="3">
        <f>N(N411)*IFERROR(VLOOKUP($C411,Assumptions!$A$4:$F$7,4,FALSE),0)</f>
        <v/>
      </c>
      <c r="AA411" s="3">
        <f>N(T411)*IFERROR(VLOOKUP($C411,Assumptions!$A$4:$F$7,5,FALSE),0)</f>
        <v/>
      </c>
      <c r="AB411" s="3">
        <f>N(U411)</f>
        <v/>
      </c>
      <c r="AC411" s="3">
        <f>SUM(W411:AB411)</f>
        <v/>
      </c>
      <c r="AD411" s="3">
        <f>N(AC411)*N(M411)/90</f>
        <v/>
      </c>
      <c r="AE411" s="3">
        <f>IFERROR(AD411-VLOOKUP($C411,Assumptions!$A$29:$C$32,3,FALSE),"")</f>
        <v/>
      </c>
      <c r="AF411" s="3">
        <f>IFERROR(AE411/F411,"")</f>
        <v/>
      </c>
      <c r="AG411">
        <f>IF(AND($E411=TRUE,$C411="GKP"),AD411,"")</f>
        <v/>
      </c>
      <c r="AH411">
        <f>IF(AND($E411=TRUE,$C411="DEF"),AD411,"")</f>
        <v/>
      </c>
      <c r="AI411">
        <f>IF(AND($E411=TRUE,$C411="MID"),AD411,"")</f>
        <v/>
      </c>
      <c r="AJ411">
        <f>IF(AND($E411=TRUE,$C411="FWD"),AD411,"")</f>
        <v/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b">
        <v>1</v>
      </c>
      <c r="F412" s="2" t="n">
        <v>5</v>
      </c>
      <c r="G412" t="inlineStr">
        <is>
          <t>a</t>
        </is>
      </c>
      <c r="I412" s="2" t="n">
        <v>0</v>
      </c>
      <c r="J412" t="n">
        <v>0</v>
      </c>
      <c r="K412" s="3" t="n">
        <v>35</v>
      </c>
      <c r="L412" t="inlineStr">
        <is>
          <t>flat</t>
        </is>
      </c>
      <c r="M412" s="4" t="n">
        <v>0</v>
      </c>
      <c r="N412" s="4" t="n">
        <v>0.29</v>
      </c>
      <c r="O412" s="3" t="n"/>
      <c r="P412" t="inlineStr"/>
      <c r="Q412" s="3" t="n"/>
      <c r="R412" s="3" t="n"/>
      <c r="S412" s="3" t="n"/>
      <c r="T412" s="3" t="n">
        <v>0</v>
      </c>
      <c r="U412" s="3" t="n"/>
      <c r="V412" s="3" t="n"/>
      <c r="W412" s="3">
        <f>IF(V412="",IFERROR(VLOOKUP($C412,Assumptions!$A$4:$F$7,6,FALSE),0),V412)</f>
        <v/>
      </c>
      <c r="X412" s="3">
        <f>N(O412)*IFERROR(VLOOKUP($C412,Assumptions!$A$4:$F$7,2,FALSE),0)</f>
        <v/>
      </c>
      <c r="Y412" s="3">
        <f>N(S412)*IFERROR(VLOOKUP($C412,Assumptions!$A$4:$F$7,3,FALSE),0)*Assumptions!$B$11</f>
        <v/>
      </c>
      <c r="Z412" s="3">
        <f>N(N412)*IFERROR(VLOOKUP($C412,Assumptions!$A$4:$F$7,4,FALSE),0)</f>
        <v/>
      </c>
      <c r="AA412" s="3">
        <f>N(T412)*IFERROR(VLOOKUP($C412,Assumptions!$A$4:$F$7,5,FALSE),0)</f>
        <v/>
      </c>
      <c r="AB412" s="3">
        <f>N(U412)</f>
        <v/>
      </c>
      <c r="AC412" s="3">
        <f>SUM(W412:AB412)</f>
        <v/>
      </c>
      <c r="AD412" s="3">
        <f>N(AC412)*N(M412)/90</f>
        <v/>
      </c>
      <c r="AE412" s="3">
        <f>IFERROR(AD412-VLOOKUP($C412,Assumptions!$A$29:$C$32,3,FALSE),"")</f>
        <v/>
      </c>
      <c r="AF412" s="3">
        <f>IFERROR(AE412/F412,"")</f>
        <v/>
      </c>
      <c r="AG412">
        <f>IF(AND($E412=TRUE,$C412="GKP"),AD412,"")</f>
        <v/>
      </c>
      <c r="AH412">
        <f>IF(AND($E412=TRUE,$C412="DEF"),AD412,"")</f>
        <v/>
      </c>
      <c r="AI412">
        <f>IF(AND($E412=TRUE,$C412="MID"),AD412,"")</f>
        <v/>
      </c>
      <c r="AJ412">
        <f>IF(AND($E412=TRUE,$C412="FWD"),AD412,"")</f>
        <v/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b">
        <v>1</v>
      </c>
      <c r="F413" s="2" t="n">
        <v>5</v>
      </c>
      <c r="G413" t="inlineStr">
        <is>
          <t>a</t>
        </is>
      </c>
      <c r="I413" s="2" t="n">
        <v>0</v>
      </c>
      <c r="J413" t="n">
        <v>0</v>
      </c>
      <c r="K413" s="3" t="n">
        <v>1708</v>
      </c>
      <c r="L413" t="inlineStr">
        <is>
          <t>flat</t>
        </is>
      </c>
      <c r="M413" s="4" t="n">
        <v>0</v>
      </c>
      <c r="N413" s="4" t="n">
        <v>0.263</v>
      </c>
      <c r="O413" s="3" t="n"/>
      <c r="P413" t="inlineStr"/>
      <c r="Q413" s="3" t="n"/>
      <c r="R413" s="3" t="n"/>
      <c r="S413" s="3" t="n"/>
      <c r="T413" s="3" t="n"/>
      <c r="U413" s="3" t="n"/>
      <c r="V413" s="3" t="n"/>
      <c r="W413" s="3">
        <f>IF(V413="",IFERROR(VLOOKUP($C413,Assumptions!$A$4:$F$7,6,FALSE),0),V413)</f>
        <v/>
      </c>
      <c r="X413" s="3">
        <f>N(O413)*IFERROR(VLOOKUP($C413,Assumptions!$A$4:$F$7,2,FALSE),0)</f>
        <v/>
      </c>
      <c r="Y413" s="3">
        <f>N(S413)*IFERROR(VLOOKUP($C413,Assumptions!$A$4:$F$7,3,FALSE),0)*Assumptions!$B$11</f>
        <v/>
      </c>
      <c r="Z413" s="3">
        <f>N(N413)*IFERROR(VLOOKUP($C413,Assumptions!$A$4:$F$7,4,FALSE),0)</f>
        <v/>
      </c>
      <c r="AA413" s="3">
        <f>N(T413)*IFERROR(VLOOKUP($C413,Assumptions!$A$4:$F$7,5,FALSE),0)</f>
        <v/>
      </c>
      <c r="AB413" s="3">
        <f>N(U413)</f>
        <v/>
      </c>
      <c r="AC413" s="3">
        <f>SUM(W413:AB413)</f>
        <v/>
      </c>
      <c r="AD413" s="3">
        <f>N(AC413)*N(M413)/90</f>
        <v/>
      </c>
      <c r="AE413" s="3">
        <f>IFERROR(AD413-VLOOKUP($C413,Assumptions!$A$29:$C$32,3,FALSE),"")</f>
        <v/>
      </c>
      <c r="AF413" s="3">
        <f>IFERROR(AE413/F413,"")</f>
        <v/>
      </c>
      <c r="AG413">
        <f>IF(AND($E413=TRUE,$C413="GKP"),AD413,"")</f>
        <v/>
      </c>
      <c r="AH413">
        <f>IF(AND($E413=TRUE,$C413="DEF"),AD413,"")</f>
        <v/>
      </c>
      <c r="AI413">
        <f>IF(AND($E413=TRUE,$C413="MID"),AD413,"")</f>
        <v/>
      </c>
      <c r="AJ413">
        <f>IF(AND($E413=TRUE,$C413="FWD"),AD413,"")</f>
        <v/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b">
        <v>1</v>
      </c>
      <c r="F414" s="2" t="n">
        <v>4</v>
      </c>
      <c r="G414" t="inlineStr">
        <is>
          <t>a</t>
        </is>
      </c>
      <c r="I414" s="2" t="n">
        <v>0</v>
      </c>
      <c r="J414" t="n">
        <v>0</v>
      </c>
      <c r="K414" s="3" t="n">
        <v>0</v>
      </c>
      <c r="L414" t="inlineStr">
        <is>
          <t>flat</t>
        </is>
      </c>
      <c r="M414" s="4" t="n">
        <v>0</v>
      </c>
      <c r="N414" s="4" t="n">
        <v>0.237</v>
      </c>
      <c r="O414" s="3" t="n"/>
      <c r="P414" t="inlineStr"/>
      <c r="Q414" s="3" t="n"/>
      <c r="R414" s="3" t="n"/>
      <c r="S414" s="3" t="n"/>
      <c r="T414" s="3" t="n">
        <v>0</v>
      </c>
      <c r="U414" s="3" t="n"/>
      <c r="V414" s="3" t="n"/>
      <c r="W414" s="3">
        <f>IF(V414="",IFERROR(VLOOKUP($C414,Assumptions!$A$4:$F$7,6,FALSE),0),V414)</f>
        <v/>
      </c>
      <c r="X414" s="3">
        <f>N(O414)*IFERROR(VLOOKUP($C414,Assumptions!$A$4:$F$7,2,FALSE),0)</f>
        <v/>
      </c>
      <c r="Y414" s="3">
        <f>N(S414)*IFERROR(VLOOKUP($C414,Assumptions!$A$4:$F$7,3,FALSE),0)*Assumptions!$B$11</f>
        <v/>
      </c>
      <c r="Z414" s="3">
        <f>N(N414)*IFERROR(VLOOKUP($C414,Assumptions!$A$4:$F$7,4,FALSE),0)</f>
        <v/>
      </c>
      <c r="AA414" s="3">
        <f>N(T414)*IFERROR(VLOOKUP($C414,Assumptions!$A$4:$F$7,5,FALSE),0)</f>
        <v/>
      </c>
      <c r="AB414" s="3">
        <f>N(U414)</f>
        <v/>
      </c>
      <c r="AC414" s="3">
        <f>SUM(W414:AB414)</f>
        <v/>
      </c>
      <c r="AD414" s="3">
        <f>N(AC414)*N(M414)/90</f>
        <v/>
      </c>
      <c r="AE414" s="3">
        <f>IFERROR(AD414-VLOOKUP($C414,Assumptions!$A$29:$C$32,3,FALSE),"")</f>
        <v/>
      </c>
      <c r="AF414" s="3">
        <f>IFERROR(AE414/F414,"")</f>
        <v/>
      </c>
      <c r="AG414">
        <f>IF(AND($E414=TRUE,$C414="GKP"),AD414,"")</f>
        <v/>
      </c>
      <c r="AH414">
        <f>IF(AND($E414=TRUE,$C414="DEF"),AD414,"")</f>
        <v/>
      </c>
      <c r="AI414">
        <f>IF(AND($E414=TRUE,$C414="MID"),AD414,"")</f>
        <v/>
      </c>
      <c r="AJ414">
        <f>IF(AND($E414=TRUE,$C414="FWD"),AD414,"")</f>
        <v/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b">
        <v>1</v>
      </c>
      <c r="F415" s="2" t="n">
        <v>5</v>
      </c>
      <c r="G415" t="inlineStr">
        <is>
          <t>a</t>
        </is>
      </c>
      <c r="I415" s="2" t="n">
        <v>0</v>
      </c>
      <c r="J415" t="n">
        <v>0</v>
      </c>
      <c r="K415" s="3" t="n">
        <v>256</v>
      </c>
      <c r="L415" t="inlineStr">
        <is>
          <t>flat</t>
        </is>
      </c>
      <c r="M415" s="4" t="n">
        <v>0</v>
      </c>
      <c r="N415" s="4" t="n">
        <v>0.263</v>
      </c>
      <c r="O415" s="3" t="n"/>
      <c r="P415" t="inlineStr"/>
      <c r="Q415" s="3" t="n"/>
      <c r="R415" s="3" t="n"/>
      <c r="S415" s="3" t="n"/>
      <c r="T415" s="3" t="n"/>
      <c r="U415" s="3" t="n"/>
      <c r="V415" s="3" t="n"/>
      <c r="W415" s="3">
        <f>IF(V415="",IFERROR(VLOOKUP($C415,Assumptions!$A$4:$F$7,6,FALSE),0),V415)</f>
        <v/>
      </c>
      <c r="X415" s="3">
        <f>N(O415)*IFERROR(VLOOKUP($C415,Assumptions!$A$4:$F$7,2,FALSE),0)</f>
        <v/>
      </c>
      <c r="Y415" s="3">
        <f>N(S415)*IFERROR(VLOOKUP($C415,Assumptions!$A$4:$F$7,3,FALSE),0)*Assumptions!$B$11</f>
        <v/>
      </c>
      <c r="Z415" s="3">
        <f>N(N415)*IFERROR(VLOOKUP($C415,Assumptions!$A$4:$F$7,4,FALSE),0)</f>
        <v/>
      </c>
      <c r="AA415" s="3">
        <f>N(T415)*IFERROR(VLOOKUP($C415,Assumptions!$A$4:$F$7,5,FALSE),0)</f>
        <v/>
      </c>
      <c r="AB415" s="3">
        <f>N(U415)</f>
        <v/>
      </c>
      <c r="AC415" s="3">
        <f>SUM(W415:AB415)</f>
        <v/>
      </c>
      <c r="AD415" s="3">
        <f>N(AC415)*N(M415)/90</f>
        <v/>
      </c>
      <c r="AE415" s="3">
        <f>IFERROR(AD415-VLOOKUP($C415,Assumptions!$A$29:$C$32,3,FALSE),"")</f>
        <v/>
      </c>
      <c r="AF415" s="3">
        <f>IFERROR(AE415/F415,"")</f>
        <v/>
      </c>
      <c r="AG415">
        <f>IF(AND($E415=TRUE,$C415="GKP"),AD415,"")</f>
        <v/>
      </c>
      <c r="AH415">
        <f>IF(AND($E415=TRUE,$C415="DEF"),AD415,"")</f>
        <v/>
      </c>
      <c r="AI415">
        <f>IF(AND($E415=TRUE,$C415="MID"),AD415,"")</f>
        <v/>
      </c>
      <c r="AJ415">
        <f>IF(AND($E415=TRUE,$C415="FWD"),AD415,"")</f>
        <v/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b">
        <v>1</v>
      </c>
      <c r="F416" s="2" t="n">
        <v>4</v>
      </c>
      <c r="G416" t="inlineStr">
        <is>
          <t>a</t>
        </is>
      </c>
      <c r="I416" s="2" t="n">
        <v>0</v>
      </c>
      <c r="J416" t="n">
        <v>0</v>
      </c>
      <c r="K416" s="3" t="n">
        <v>0</v>
      </c>
      <c r="L416" t="inlineStr">
        <is>
          <t>flat</t>
        </is>
      </c>
      <c r="M416" s="4" t="n">
        <v>0</v>
      </c>
      <c r="N416" s="4" t="n">
        <v>0.237</v>
      </c>
      <c r="O416" s="3" t="n"/>
      <c r="P416" t="inlineStr"/>
      <c r="Q416" s="3" t="n"/>
      <c r="R416" s="3" t="n"/>
      <c r="S416" s="3" t="n"/>
      <c r="T416" s="3" t="n"/>
      <c r="U416" s="3" t="n"/>
      <c r="V416" s="3" t="n"/>
      <c r="W416" s="3">
        <f>IF(V416="",IFERROR(VLOOKUP($C416,Assumptions!$A$4:$F$7,6,FALSE),0),V416)</f>
        <v/>
      </c>
      <c r="X416" s="3">
        <f>N(O416)*IFERROR(VLOOKUP($C416,Assumptions!$A$4:$F$7,2,FALSE),0)</f>
        <v/>
      </c>
      <c r="Y416" s="3">
        <f>N(S416)*IFERROR(VLOOKUP($C416,Assumptions!$A$4:$F$7,3,FALSE),0)*Assumptions!$B$11</f>
        <v/>
      </c>
      <c r="Z416" s="3">
        <f>N(N416)*IFERROR(VLOOKUP($C416,Assumptions!$A$4:$F$7,4,FALSE),0)</f>
        <v/>
      </c>
      <c r="AA416" s="3">
        <f>N(T416)*IFERROR(VLOOKUP($C416,Assumptions!$A$4:$F$7,5,FALSE),0)</f>
        <v/>
      </c>
      <c r="AB416" s="3">
        <f>N(U416)</f>
        <v/>
      </c>
      <c r="AC416" s="3">
        <f>SUM(W416:AB416)</f>
        <v/>
      </c>
      <c r="AD416" s="3">
        <f>N(AC416)*N(M416)/90</f>
        <v/>
      </c>
      <c r="AE416" s="3">
        <f>IFERROR(AD416-VLOOKUP($C416,Assumptions!$A$29:$C$32,3,FALSE),"")</f>
        <v/>
      </c>
      <c r="AF416" s="3">
        <f>IFERROR(AE416/F416,"")</f>
        <v/>
      </c>
      <c r="AG416">
        <f>IF(AND($E416=TRUE,$C416="GKP"),AD416,"")</f>
        <v/>
      </c>
      <c r="AH416">
        <f>IF(AND($E416=TRUE,$C416="DEF"),AD416,"")</f>
        <v/>
      </c>
      <c r="AI416">
        <f>IF(AND($E416=TRUE,$C416="MID"),AD416,"")</f>
        <v/>
      </c>
      <c r="AJ416">
        <f>IF(AND($E416=TRUE,$C416="FWD"),AD416,"")</f>
        <v/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b">
        <v>1</v>
      </c>
      <c r="F417" s="2" t="n">
        <v>7</v>
      </c>
      <c r="G417" t="inlineStr">
        <is>
          <t>a</t>
        </is>
      </c>
      <c r="I417" s="2" t="n">
        <v>0</v>
      </c>
      <c r="J417" t="n">
        <v>0</v>
      </c>
      <c r="K417" s="3" t="n">
        <v>176</v>
      </c>
      <c r="L417" t="inlineStr">
        <is>
          <t>flat</t>
        </is>
      </c>
      <c r="M417" s="4" t="n">
        <v>0</v>
      </c>
      <c r="N417" s="4" t="n">
        <v>0.21</v>
      </c>
      <c r="O417" s="3" t="n"/>
      <c r="P417" t="inlineStr"/>
      <c r="Q417" s="3" t="n"/>
      <c r="R417" s="3" t="n"/>
      <c r="S417" s="3" t="n"/>
      <c r="T417" s="3" t="n"/>
      <c r="U417" s="3" t="n"/>
      <c r="V417" s="3" t="n"/>
      <c r="W417" s="3">
        <f>IF(V417="",IFERROR(VLOOKUP($C417,Assumptions!$A$4:$F$7,6,FALSE),0),V417)</f>
        <v/>
      </c>
      <c r="X417" s="3">
        <f>N(O417)*IFERROR(VLOOKUP($C417,Assumptions!$A$4:$F$7,2,FALSE),0)</f>
        <v/>
      </c>
      <c r="Y417" s="3">
        <f>N(S417)*IFERROR(VLOOKUP($C417,Assumptions!$A$4:$F$7,3,FALSE),0)*Assumptions!$B$11</f>
        <v/>
      </c>
      <c r="Z417" s="3">
        <f>N(N417)*IFERROR(VLOOKUP($C417,Assumptions!$A$4:$F$7,4,FALSE),0)</f>
        <v/>
      </c>
      <c r="AA417" s="3">
        <f>N(T417)*IFERROR(VLOOKUP($C417,Assumptions!$A$4:$F$7,5,FALSE),0)</f>
        <v/>
      </c>
      <c r="AB417" s="3">
        <f>N(U417)</f>
        <v/>
      </c>
      <c r="AC417" s="3">
        <f>SUM(W417:AB417)</f>
        <v/>
      </c>
      <c r="AD417" s="3">
        <f>N(AC417)*N(M417)/90</f>
        <v/>
      </c>
      <c r="AE417" s="3">
        <f>IFERROR(AD417-VLOOKUP($C417,Assumptions!$A$29:$C$32,3,FALSE),"")</f>
        <v/>
      </c>
      <c r="AF417" s="3">
        <f>IFERROR(AE417/F417,"")</f>
        <v/>
      </c>
      <c r="AG417">
        <f>IF(AND($E417=TRUE,$C417="GKP"),AD417,"")</f>
        <v/>
      </c>
      <c r="AH417">
        <f>IF(AND($E417=TRUE,$C417="DEF"),AD417,"")</f>
        <v/>
      </c>
      <c r="AI417">
        <f>IF(AND($E417=TRUE,$C417="MID"),AD417,"")</f>
        <v/>
      </c>
      <c r="AJ417">
        <f>IF(AND($E417=TRUE,$C417="FWD"),AD417,"")</f>
        <v/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b">
        <v>1</v>
      </c>
      <c r="F418" s="2" t="n">
        <v>4.5</v>
      </c>
      <c r="G418" t="inlineStr">
        <is>
          <t>a</t>
        </is>
      </c>
      <c r="I418" s="2" t="n">
        <v>0</v>
      </c>
      <c r="J418" t="n">
        <v>0</v>
      </c>
      <c r="K418" s="3" t="n">
        <v>0</v>
      </c>
      <c r="L418" t="inlineStr">
        <is>
          <t>flat</t>
        </is>
      </c>
      <c r="M418" s="4" t="n">
        <v>0</v>
      </c>
      <c r="N418" s="4" t="n">
        <v>0.421</v>
      </c>
      <c r="O418" s="3" t="n"/>
      <c r="P418" t="inlineStr"/>
      <c r="Q418" s="3" t="n"/>
      <c r="R418" s="3" t="n"/>
      <c r="S418" s="3" t="n"/>
      <c r="T418" s="3" t="n"/>
      <c r="U418" s="3" t="n"/>
      <c r="V418" s="3" t="n"/>
      <c r="W418" s="3">
        <f>IF(V418="",IFERROR(VLOOKUP($C418,Assumptions!$A$4:$F$7,6,FALSE),0),V418)</f>
        <v/>
      </c>
      <c r="X418" s="3">
        <f>N(O418)*IFERROR(VLOOKUP($C418,Assumptions!$A$4:$F$7,2,FALSE),0)</f>
        <v/>
      </c>
      <c r="Y418" s="3">
        <f>N(S418)*IFERROR(VLOOKUP($C418,Assumptions!$A$4:$F$7,3,FALSE),0)*Assumptions!$B$11</f>
        <v/>
      </c>
      <c r="Z418" s="3">
        <f>N(N418)*IFERROR(VLOOKUP($C418,Assumptions!$A$4:$F$7,4,FALSE),0)</f>
        <v/>
      </c>
      <c r="AA418" s="3">
        <f>N(T418)*IFERROR(VLOOKUP($C418,Assumptions!$A$4:$F$7,5,FALSE),0)</f>
        <v/>
      </c>
      <c r="AB418" s="3">
        <f>N(U418)</f>
        <v/>
      </c>
      <c r="AC418" s="3">
        <f>SUM(W418:AB418)</f>
        <v/>
      </c>
      <c r="AD418" s="3">
        <f>N(AC418)*N(M418)/90</f>
        <v/>
      </c>
      <c r="AE418" s="3">
        <f>IFERROR(AD418-VLOOKUP($C418,Assumptions!$A$29:$C$32,3,FALSE),"")</f>
        <v/>
      </c>
      <c r="AF418" s="3">
        <f>IFERROR(AE418/F418,"")</f>
        <v/>
      </c>
      <c r="AG418">
        <f>IF(AND($E418=TRUE,$C418="GKP"),AD418,"")</f>
        <v/>
      </c>
      <c r="AH418">
        <f>IF(AND($E418=TRUE,$C418="DEF"),AD418,"")</f>
        <v/>
      </c>
      <c r="AI418">
        <f>IF(AND($E418=TRUE,$C418="MID"),AD418,"")</f>
        <v/>
      </c>
      <c r="AJ418">
        <f>IF(AND($E418=TRUE,$C418="FWD"),AD418,"")</f>
        <v/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b">
        <v>1</v>
      </c>
      <c r="F419" s="2" t="n">
        <v>4.5</v>
      </c>
      <c r="G419" t="inlineStr">
        <is>
          <t>a</t>
        </is>
      </c>
      <c r="I419" s="2" t="n">
        <v>0</v>
      </c>
      <c r="J419" t="n">
        <v>0</v>
      </c>
      <c r="K419" s="3" t="n">
        <v>274</v>
      </c>
      <c r="L419" t="inlineStr">
        <is>
          <t>flat</t>
        </is>
      </c>
      <c r="M419" s="4" t="n">
        <v>0</v>
      </c>
      <c r="N419" s="4" t="n">
        <v>0.237</v>
      </c>
      <c r="O419" s="3" t="n"/>
      <c r="P419" t="inlineStr"/>
      <c r="Q419" s="3" t="n"/>
      <c r="R419" s="3" t="n"/>
      <c r="S419" s="3" t="n"/>
      <c r="T419" s="3" t="n">
        <v>0</v>
      </c>
      <c r="U419" s="3" t="n"/>
      <c r="V419" s="3" t="n"/>
      <c r="W419" s="3">
        <f>IF(V419="",IFERROR(VLOOKUP($C419,Assumptions!$A$4:$F$7,6,FALSE),0),V419)</f>
        <v/>
      </c>
      <c r="X419" s="3">
        <f>N(O419)*IFERROR(VLOOKUP($C419,Assumptions!$A$4:$F$7,2,FALSE),0)</f>
        <v/>
      </c>
      <c r="Y419" s="3">
        <f>N(S419)*IFERROR(VLOOKUP($C419,Assumptions!$A$4:$F$7,3,FALSE),0)*Assumptions!$B$11</f>
        <v/>
      </c>
      <c r="Z419" s="3">
        <f>N(N419)*IFERROR(VLOOKUP($C419,Assumptions!$A$4:$F$7,4,FALSE),0)</f>
        <v/>
      </c>
      <c r="AA419" s="3">
        <f>N(T419)*IFERROR(VLOOKUP($C419,Assumptions!$A$4:$F$7,5,FALSE),0)</f>
        <v/>
      </c>
      <c r="AB419" s="3">
        <f>N(U419)</f>
        <v/>
      </c>
      <c r="AC419" s="3">
        <f>SUM(W419:AB419)</f>
        <v/>
      </c>
      <c r="AD419" s="3">
        <f>N(AC419)*N(M419)/90</f>
        <v/>
      </c>
      <c r="AE419" s="3">
        <f>IFERROR(AD419-VLOOKUP($C419,Assumptions!$A$29:$C$32,3,FALSE),"")</f>
        <v/>
      </c>
      <c r="AF419" s="3">
        <f>IFERROR(AE419/F419,"")</f>
        <v/>
      </c>
      <c r="AG419">
        <f>IF(AND($E419=TRUE,$C419="GKP"),AD419,"")</f>
        <v/>
      </c>
      <c r="AH419">
        <f>IF(AND($E419=TRUE,$C419="DEF"),AD419,"")</f>
        <v/>
      </c>
      <c r="AI419">
        <f>IF(AND($E419=TRUE,$C419="MID"),AD419,"")</f>
        <v/>
      </c>
      <c r="AJ419">
        <f>IF(AND($E419=TRUE,$C419="FWD"),AD419,"")</f>
        <v/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b">
        <v>1</v>
      </c>
      <c r="F420" s="2" t="n">
        <v>4</v>
      </c>
      <c r="G420" t="inlineStr">
        <is>
          <t>a</t>
        </is>
      </c>
      <c r="I420" s="2" t="n">
        <v>0</v>
      </c>
      <c r="J420" t="n">
        <v>0</v>
      </c>
      <c r="K420" s="3" t="n">
        <v>0</v>
      </c>
      <c r="L420" t="inlineStr">
        <is>
          <t>flat</t>
        </is>
      </c>
      <c r="M420" s="4" t="n">
        <v>0</v>
      </c>
      <c r="N420" s="4" t="n">
        <v>0.316</v>
      </c>
      <c r="O420" s="3" t="n"/>
      <c r="P420" t="inlineStr"/>
      <c r="Q420" s="3" t="n"/>
      <c r="R420" s="3" t="n"/>
      <c r="S420" s="3" t="n"/>
      <c r="T420" s="3" t="n">
        <v>0</v>
      </c>
      <c r="U420" s="3" t="n"/>
      <c r="V420" s="3" t="n"/>
      <c r="W420" s="3">
        <f>IF(V420="",IFERROR(VLOOKUP($C420,Assumptions!$A$4:$F$7,6,FALSE),0),V420)</f>
        <v/>
      </c>
      <c r="X420" s="3">
        <f>N(O420)*IFERROR(VLOOKUP($C420,Assumptions!$A$4:$F$7,2,FALSE),0)</f>
        <v/>
      </c>
      <c r="Y420" s="3">
        <f>N(S420)*IFERROR(VLOOKUP($C420,Assumptions!$A$4:$F$7,3,FALSE),0)*Assumptions!$B$11</f>
        <v/>
      </c>
      <c r="Z420" s="3">
        <f>N(N420)*IFERROR(VLOOKUP($C420,Assumptions!$A$4:$F$7,4,FALSE),0)</f>
        <v/>
      </c>
      <c r="AA420" s="3">
        <f>N(T420)*IFERROR(VLOOKUP($C420,Assumptions!$A$4:$F$7,5,FALSE),0)</f>
        <v/>
      </c>
      <c r="AB420" s="3">
        <f>N(U420)</f>
        <v/>
      </c>
      <c r="AC420" s="3">
        <f>SUM(W420:AB420)</f>
        <v/>
      </c>
      <c r="AD420" s="3">
        <f>N(AC420)*N(M420)/90</f>
        <v/>
      </c>
      <c r="AE420" s="3">
        <f>IFERROR(AD420-VLOOKUP($C420,Assumptions!$A$29:$C$32,3,FALSE),"")</f>
        <v/>
      </c>
      <c r="AF420" s="3">
        <f>IFERROR(AE420/F420,"")</f>
        <v/>
      </c>
      <c r="AG420">
        <f>IF(AND($E420=TRUE,$C420="GKP"),AD420,"")</f>
        <v/>
      </c>
      <c r="AH420">
        <f>IF(AND($E420=TRUE,$C420="DEF"),AD420,"")</f>
        <v/>
      </c>
      <c r="AI420">
        <f>IF(AND($E420=TRUE,$C420="MID"),AD420,"")</f>
        <v/>
      </c>
      <c r="AJ420">
        <f>IF(AND($E420=TRUE,$C420="FWD"),AD420,"")</f>
        <v/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b">
        <v>1</v>
      </c>
      <c r="F421" s="2" t="n">
        <v>4.5</v>
      </c>
      <c r="G421" t="inlineStr">
        <is>
          <t>a</t>
        </is>
      </c>
      <c r="I421" s="2" t="n">
        <v>0</v>
      </c>
      <c r="J421" t="n">
        <v>0</v>
      </c>
      <c r="K421" s="3" t="n">
        <v>0</v>
      </c>
      <c r="L421" t="inlineStr">
        <is>
          <t>flat</t>
        </is>
      </c>
      <c r="M421" s="4" t="n">
        <v>0</v>
      </c>
      <c r="N421" s="4" t="n">
        <v>0.237</v>
      </c>
      <c r="O421" s="3" t="n"/>
      <c r="P421" t="inlineStr"/>
      <c r="Q421" s="3" t="n"/>
      <c r="R421" s="3" t="n"/>
      <c r="S421" s="3" t="n"/>
      <c r="T421" s="3" t="n"/>
      <c r="U421" s="3" t="n"/>
      <c r="V421" s="3" t="n"/>
      <c r="W421" s="3">
        <f>IF(V421="",IFERROR(VLOOKUP($C421,Assumptions!$A$4:$F$7,6,FALSE),0),V421)</f>
        <v/>
      </c>
      <c r="X421" s="3">
        <f>N(O421)*IFERROR(VLOOKUP($C421,Assumptions!$A$4:$F$7,2,FALSE),0)</f>
        <v/>
      </c>
      <c r="Y421" s="3">
        <f>N(S421)*IFERROR(VLOOKUP($C421,Assumptions!$A$4:$F$7,3,FALSE),0)*Assumptions!$B$11</f>
        <v/>
      </c>
      <c r="Z421" s="3">
        <f>N(N421)*IFERROR(VLOOKUP($C421,Assumptions!$A$4:$F$7,4,FALSE),0)</f>
        <v/>
      </c>
      <c r="AA421" s="3">
        <f>N(T421)*IFERROR(VLOOKUP($C421,Assumptions!$A$4:$F$7,5,FALSE),0)</f>
        <v/>
      </c>
      <c r="AB421" s="3">
        <f>N(U421)</f>
        <v/>
      </c>
      <c r="AC421" s="3">
        <f>SUM(W421:AB421)</f>
        <v/>
      </c>
      <c r="AD421" s="3">
        <f>N(AC421)*N(M421)/90</f>
        <v/>
      </c>
      <c r="AE421" s="3">
        <f>IFERROR(AD421-VLOOKUP($C421,Assumptions!$A$29:$C$32,3,FALSE),"")</f>
        <v/>
      </c>
      <c r="AF421" s="3">
        <f>IFERROR(AE421/F421,"")</f>
        <v/>
      </c>
      <c r="AG421">
        <f>IF(AND($E421=TRUE,$C421="GKP"),AD421,"")</f>
        <v/>
      </c>
      <c r="AH421">
        <f>IF(AND($E421=TRUE,$C421="DEF"),AD421,"")</f>
        <v/>
      </c>
      <c r="AI421">
        <f>IF(AND($E421=TRUE,$C421="MID"),AD421,"")</f>
        <v/>
      </c>
      <c r="AJ421">
        <f>IF(AND($E421=TRUE,$C421="FWD"),AD421,"")</f>
        <v/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b">
        <v>1</v>
      </c>
      <c r="F422" s="2" t="n">
        <v>4</v>
      </c>
      <c r="G422" t="inlineStr">
        <is>
          <t>a</t>
        </is>
      </c>
      <c r="I422" s="2" t="n">
        <v>0</v>
      </c>
      <c r="J422" t="n">
        <v>0</v>
      </c>
      <c r="K422" s="3" t="n">
        <v>35</v>
      </c>
      <c r="L422" t="inlineStr">
        <is>
          <t>flat</t>
        </is>
      </c>
      <c r="M422" s="4" t="n">
        <v>0</v>
      </c>
      <c r="N422" s="4" t="n">
        <v>0.29</v>
      </c>
      <c r="O422" s="3" t="n"/>
      <c r="P422" t="inlineStr"/>
      <c r="Q422" s="3" t="n"/>
      <c r="R422" s="3" t="n"/>
      <c r="S422" s="3" t="n"/>
      <c r="T422" s="3" t="n">
        <v>0</v>
      </c>
      <c r="U422" s="3" t="n"/>
      <c r="V422" s="3" t="n"/>
      <c r="W422" s="3">
        <f>IF(V422="",IFERROR(VLOOKUP($C422,Assumptions!$A$4:$F$7,6,FALSE),0),V422)</f>
        <v/>
      </c>
      <c r="X422" s="3">
        <f>N(O422)*IFERROR(VLOOKUP($C422,Assumptions!$A$4:$F$7,2,FALSE),0)</f>
        <v/>
      </c>
      <c r="Y422" s="3">
        <f>N(S422)*IFERROR(VLOOKUP($C422,Assumptions!$A$4:$F$7,3,FALSE),0)*Assumptions!$B$11</f>
        <v/>
      </c>
      <c r="Z422" s="3">
        <f>N(N422)*IFERROR(VLOOKUP($C422,Assumptions!$A$4:$F$7,4,FALSE),0)</f>
        <v/>
      </c>
      <c r="AA422" s="3">
        <f>N(T422)*IFERROR(VLOOKUP($C422,Assumptions!$A$4:$F$7,5,FALSE),0)</f>
        <v/>
      </c>
      <c r="AB422" s="3">
        <f>N(U422)</f>
        <v/>
      </c>
      <c r="AC422" s="3">
        <f>SUM(W422:AB422)</f>
        <v/>
      </c>
      <c r="AD422" s="3">
        <f>N(AC422)*N(M422)/90</f>
        <v/>
      </c>
      <c r="AE422" s="3">
        <f>IFERROR(AD422-VLOOKUP($C422,Assumptions!$A$29:$C$32,3,FALSE),"")</f>
        <v/>
      </c>
      <c r="AF422" s="3">
        <f>IFERROR(AE422/F422,"")</f>
        <v/>
      </c>
      <c r="AG422">
        <f>IF(AND($E422=TRUE,$C422="GKP"),AD422,"")</f>
        <v/>
      </c>
      <c r="AH422">
        <f>IF(AND($E422=TRUE,$C422="DEF"),AD422,"")</f>
        <v/>
      </c>
      <c r="AI422">
        <f>IF(AND($E422=TRUE,$C422="MID"),AD422,"")</f>
        <v/>
      </c>
      <c r="AJ422">
        <f>IF(AND($E422=TRUE,$C422="FWD"),AD422,"")</f>
        <v/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b">
        <v>1</v>
      </c>
      <c r="F423" s="2" t="n">
        <v>4</v>
      </c>
      <c r="G423" t="inlineStr">
        <is>
          <t>a</t>
        </is>
      </c>
      <c r="I423" s="2" t="n">
        <v>0</v>
      </c>
      <c r="J423" t="n">
        <v>0</v>
      </c>
      <c r="K423" s="3" t="n">
        <v>421</v>
      </c>
      <c r="L423" t="inlineStr">
        <is>
          <t>flat</t>
        </is>
      </c>
      <c r="M423" s="4" t="n">
        <v>0</v>
      </c>
      <c r="N423" s="4" t="n"/>
      <c r="O423" s="3" t="n"/>
      <c r="P423" t="inlineStr"/>
      <c r="Q423" s="3" t="n"/>
      <c r="R423" s="3" t="n"/>
      <c r="S423" s="3" t="n"/>
      <c r="T423" s="3" t="n"/>
      <c r="U423" s="3" t="n"/>
      <c r="V423" s="3" t="n"/>
      <c r="W423" s="3">
        <f>IF(V423="",IFERROR(VLOOKUP($C423,Assumptions!$A$4:$F$7,6,FALSE),0),V423)</f>
        <v/>
      </c>
      <c r="X423" s="3">
        <f>N(O423)*IFERROR(VLOOKUP($C423,Assumptions!$A$4:$F$7,2,FALSE),0)</f>
        <v/>
      </c>
      <c r="Y423" s="3">
        <f>N(S423)*IFERROR(VLOOKUP($C423,Assumptions!$A$4:$F$7,3,FALSE),0)*Assumptions!$B$11</f>
        <v/>
      </c>
      <c r="Z423" s="3">
        <f>N(N423)*IFERROR(VLOOKUP($C423,Assumptions!$A$4:$F$7,4,FALSE),0)</f>
        <v/>
      </c>
      <c r="AA423" s="3">
        <f>N(T423)*IFERROR(VLOOKUP($C423,Assumptions!$A$4:$F$7,5,FALSE),0)</f>
        <v/>
      </c>
      <c r="AB423" s="3">
        <f>N(U423)</f>
        <v/>
      </c>
      <c r="AC423" s="3">
        <f>SUM(W423:AB423)</f>
        <v/>
      </c>
      <c r="AD423" s="3">
        <f>N(AC423)*N(M423)/90</f>
        <v/>
      </c>
      <c r="AE423" s="3">
        <f>IFERROR(AD423-VLOOKUP($C423,Assumptions!$A$29:$C$32,3,FALSE),"")</f>
        <v/>
      </c>
      <c r="AF423" s="3">
        <f>IFERROR(AE423/F423,"")</f>
        <v/>
      </c>
      <c r="AG423">
        <f>IF(AND($E423=TRUE,$C423="GKP"),AD423,"")</f>
        <v/>
      </c>
      <c r="AH423">
        <f>IF(AND($E423=TRUE,$C423="DEF"),AD423,"")</f>
        <v/>
      </c>
      <c r="AI423">
        <f>IF(AND($E423=TRUE,$C423="MID"),AD423,"")</f>
        <v/>
      </c>
      <c r="AJ423">
        <f>IF(AND($E423=TRUE,$C423="FWD"),AD423,"")</f>
        <v/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b">
        <v>1</v>
      </c>
      <c r="F424" s="2" t="n">
        <v>5</v>
      </c>
      <c r="G424" t="inlineStr">
        <is>
          <t>a</t>
        </is>
      </c>
      <c r="I424" s="2" t="n">
        <v>0</v>
      </c>
      <c r="J424" t="n">
        <v>0</v>
      </c>
      <c r="K424" s="3" t="n">
        <v>0</v>
      </c>
      <c r="L424" t="inlineStr">
        <is>
          <t>flat</t>
        </is>
      </c>
      <c r="M424" s="4" t="n">
        <v>0</v>
      </c>
      <c r="N424" s="4" t="n">
        <v>0.421</v>
      </c>
      <c r="O424" s="3" t="n"/>
      <c r="P424" t="inlineStr"/>
      <c r="Q424" s="3" t="n"/>
      <c r="R424" s="3" t="n"/>
      <c r="S424" s="3" t="n"/>
      <c r="T424" s="3" t="n"/>
      <c r="U424" s="3" t="n"/>
      <c r="V424" s="3" t="n"/>
      <c r="W424" s="3">
        <f>IF(V424="",IFERROR(VLOOKUP($C424,Assumptions!$A$4:$F$7,6,FALSE),0),V424)</f>
        <v/>
      </c>
      <c r="X424" s="3">
        <f>N(O424)*IFERROR(VLOOKUP($C424,Assumptions!$A$4:$F$7,2,FALSE),0)</f>
        <v/>
      </c>
      <c r="Y424" s="3">
        <f>N(S424)*IFERROR(VLOOKUP($C424,Assumptions!$A$4:$F$7,3,FALSE),0)*Assumptions!$B$11</f>
        <v/>
      </c>
      <c r="Z424" s="3">
        <f>N(N424)*IFERROR(VLOOKUP($C424,Assumptions!$A$4:$F$7,4,FALSE),0)</f>
        <v/>
      </c>
      <c r="AA424" s="3">
        <f>N(T424)*IFERROR(VLOOKUP($C424,Assumptions!$A$4:$F$7,5,FALSE),0)</f>
        <v/>
      </c>
      <c r="AB424" s="3">
        <f>N(U424)</f>
        <v/>
      </c>
      <c r="AC424" s="3">
        <f>SUM(W424:AB424)</f>
        <v/>
      </c>
      <c r="AD424" s="3">
        <f>N(AC424)*N(M424)/90</f>
        <v/>
      </c>
      <c r="AE424" s="3">
        <f>IFERROR(AD424-VLOOKUP($C424,Assumptions!$A$29:$C$32,3,FALSE),"")</f>
        <v/>
      </c>
      <c r="AF424" s="3">
        <f>IFERROR(AE424/F424,"")</f>
        <v/>
      </c>
      <c r="AG424">
        <f>IF(AND($E424=TRUE,$C424="GKP"),AD424,"")</f>
        <v/>
      </c>
      <c r="AH424">
        <f>IF(AND($E424=TRUE,$C424="DEF"),AD424,"")</f>
        <v/>
      </c>
      <c r="AI424">
        <f>IF(AND($E424=TRUE,$C424="MID"),AD424,"")</f>
        <v/>
      </c>
      <c r="AJ424">
        <f>IF(AND($E424=TRUE,$C424="FWD"),AD424,"")</f>
        <v/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b">
        <v>1</v>
      </c>
      <c r="F425" s="2" t="n">
        <v>4.5</v>
      </c>
      <c r="G425" t="inlineStr">
        <is>
          <t>a</t>
        </is>
      </c>
      <c r="I425" s="2" t="n">
        <v>0</v>
      </c>
      <c r="J425" t="n">
        <v>0</v>
      </c>
      <c r="K425" s="3" t="n">
        <v>0</v>
      </c>
      <c r="L425" t="inlineStr">
        <is>
          <t>flat</t>
        </is>
      </c>
      <c r="M425" s="4" t="n">
        <v>0</v>
      </c>
      <c r="N425" s="4" t="n">
        <v>0.29</v>
      </c>
      <c r="O425" s="3" t="n"/>
      <c r="P425" t="inlineStr"/>
      <c r="Q425" s="3" t="n"/>
      <c r="R425" s="3" t="n"/>
      <c r="S425" s="3" t="n"/>
      <c r="T425" s="3" t="n">
        <v>0</v>
      </c>
      <c r="U425" s="3" t="n"/>
      <c r="V425" s="3" t="n"/>
      <c r="W425" s="3">
        <f>IF(V425="",IFERROR(VLOOKUP($C425,Assumptions!$A$4:$F$7,6,FALSE),0),V425)</f>
        <v/>
      </c>
      <c r="X425" s="3">
        <f>N(O425)*IFERROR(VLOOKUP($C425,Assumptions!$A$4:$F$7,2,FALSE),0)</f>
        <v/>
      </c>
      <c r="Y425" s="3">
        <f>N(S425)*IFERROR(VLOOKUP($C425,Assumptions!$A$4:$F$7,3,FALSE),0)*Assumptions!$B$11</f>
        <v/>
      </c>
      <c r="Z425" s="3">
        <f>N(N425)*IFERROR(VLOOKUP($C425,Assumptions!$A$4:$F$7,4,FALSE),0)</f>
        <v/>
      </c>
      <c r="AA425" s="3">
        <f>N(T425)*IFERROR(VLOOKUP($C425,Assumptions!$A$4:$F$7,5,FALSE),0)</f>
        <v/>
      </c>
      <c r="AB425" s="3">
        <f>N(U425)</f>
        <v/>
      </c>
      <c r="AC425" s="3">
        <f>SUM(W425:AB425)</f>
        <v/>
      </c>
      <c r="AD425" s="3">
        <f>N(AC425)*N(M425)/90</f>
        <v/>
      </c>
      <c r="AE425" s="3">
        <f>IFERROR(AD425-VLOOKUP($C425,Assumptions!$A$29:$C$32,3,FALSE),"")</f>
        <v/>
      </c>
      <c r="AF425" s="3">
        <f>IFERROR(AE425/F425,"")</f>
        <v/>
      </c>
      <c r="AG425">
        <f>IF(AND($E425=TRUE,$C425="GKP"),AD425,"")</f>
        <v/>
      </c>
      <c r="AH425">
        <f>IF(AND($E425=TRUE,$C425="DEF"),AD425,"")</f>
        <v/>
      </c>
      <c r="AI425">
        <f>IF(AND($E425=TRUE,$C425="MID"),AD425,"")</f>
        <v/>
      </c>
      <c r="AJ425">
        <f>IF(AND($E425=TRUE,$C425="FWD"),AD425,"")</f>
        <v/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b">
        <v>1</v>
      </c>
      <c r="F426" s="2" t="n">
        <v>4.5</v>
      </c>
      <c r="G426" t="inlineStr">
        <is>
          <t>a</t>
        </is>
      </c>
      <c r="I426" s="2" t="n">
        <v>0</v>
      </c>
      <c r="J426" t="n">
        <v>0</v>
      </c>
      <c r="K426" s="3" t="n">
        <v>0</v>
      </c>
      <c r="L426" t="inlineStr">
        <is>
          <t>flat</t>
        </is>
      </c>
      <c r="M426" s="4" t="n">
        <v>0</v>
      </c>
      <c r="N426" s="4" t="n">
        <v>0.421</v>
      </c>
      <c r="O426" s="3" t="n"/>
      <c r="P426" t="inlineStr"/>
      <c r="Q426" s="3" t="n"/>
      <c r="R426" s="3" t="n"/>
      <c r="S426" s="3" t="n"/>
      <c r="T426" s="3" t="n">
        <v>0</v>
      </c>
      <c r="U426" s="3" t="n"/>
      <c r="V426" s="3" t="n"/>
      <c r="W426" s="3">
        <f>IF(V426="",IFERROR(VLOOKUP($C426,Assumptions!$A$4:$F$7,6,FALSE),0),V426)</f>
        <v/>
      </c>
      <c r="X426" s="3">
        <f>N(O426)*IFERROR(VLOOKUP($C426,Assumptions!$A$4:$F$7,2,FALSE),0)</f>
        <v/>
      </c>
      <c r="Y426" s="3">
        <f>N(S426)*IFERROR(VLOOKUP($C426,Assumptions!$A$4:$F$7,3,FALSE),0)*Assumptions!$B$11</f>
        <v/>
      </c>
      <c r="Z426" s="3">
        <f>N(N426)*IFERROR(VLOOKUP($C426,Assumptions!$A$4:$F$7,4,FALSE),0)</f>
        <v/>
      </c>
      <c r="AA426" s="3">
        <f>N(T426)*IFERROR(VLOOKUP($C426,Assumptions!$A$4:$F$7,5,FALSE),0)</f>
        <v/>
      </c>
      <c r="AB426" s="3">
        <f>N(U426)</f>
        <v/>
      </c>
      <c r="AC426" s="3">
        <f>SUM(W426:AB426)</f>
        <v/>
      </c>
      <c r="AD426" s="3">
        <f>N(AC426)*N(M426)/90</f>
        <v/>
      </c>
      <c r="AE426" s="3">
        <f>IFERROR(AD426-VLOOKUP($C426,Assumptions!$A$29:$C$32,3,FALSE),"")</f>
        <v/>
      </c>
      <c r="AF426" s="3">
        <f>IFERROR(AE426/F426,"")</f>
        <v/>
      </c>
      <c r="AG426">
        <f>IF(AND($E426=TRUE,$C426="GKP"),AD426,"")</f>
        <v/>
      </c>
      <c r="AH426">
        <f>IF(AND($E426=TRUE,$C426="DEF"),AD426,"")</f>
        <v/>
      </c>
      <c r="AI426">
        <f>IF(AND($E426=TRUE,$C426="MID"),AD426,"")</f>
        <v/>
      </c>
      <c r="AJ426">
        <f>IF(AND($E426=TRUE,$C426="FWD"),AD426,"")</f>
        <v/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b">
        <v>1</v>
      </c>
      <c r="F427" s="2" t="n">
        <v>4</v>
      </c>
      <c r="G427" t="inlineStr">
        <is>
          <t>i</t>
        </is>
      </c>
      <c r="H427" t="inlineStr">
        <is>
          <t>Knee injury - Unknown return date</t>
        </is>
      </c>
      <c r="I427" s="2" t="n">
        <v>0</v>
      </c>
      <c r="J427" t="n">
        <v>0</v>
      </c>
      <c r="K427" s="3" t="n">
        <v>28</v>
      </c>
      <c r="L427" t="inlineStr">
        <is>
          <t>flat</t>
        </is>
      </c>
      <c r="M427" s="4" t="n">
        <v>0</v>
      </c>
      <c r="N427" s="4" t="n">
        <v>0.263</v>
      </c>
      <c r="O427" s="3" t="n"/>
      <c r="P427" t="inlineStr"/>
      <c r="Q427" s="3" t="n"/>
      <c r="R427" s="3" t="n"/>
      <c r="S427" s="3" t="n"/>
      <c r="T427" s="3" t="n"/>
      <c r="U427" s="3" t="n"/>
      <c r="V427" s="3" t="n"/>
      <c r="W427" s="3">
        <f>IF(V427="",IFERROR(VLOOKUP($C427,Assumptions!$A$4:$F$7,6,FALSE),0),V427)</f>
        <v/>
      </c>
      <c r="X427" s="3">
        <f>N(O427)*IFERROR(VLOOKUP($C427,Assumptions!$A$4:$F$7,2,FALSE),0)</f>
        <v/>
      </c>
      <c r="Y427" s="3">
        <f>N(S427)*IFERROR(VLOOKUP($C427,Assumptions!$A$4:$F$7,3,FALSE),0)*Assumptions!$B$11</f>
        <v/>
      </c>
      <c r="Z427" s="3">
        <f>N(N427)*IFERROR(VLOOKUP($C427,Assumptions!$A$4:$F$7,4,FALSE),0)</f>
        <v/>
      </c>
      <c r="AA427" s="3">
        <f>N(T427)*IFERROR(VLOOKUP($C427,Assumptions!$A$4:$F$7,5,FALSE),0)</f>
        <v/>
      </c>
      <c r="AB427" s="3">
        <f>N(U427)</f>
        <v/>
      </c>
      <c r="AC427" s="3">
        <f>SUM(W427:AB427)</f>
        <v/>
      </c>
      <c r="AD427" s="3">
        <f>N(AC427)*N(M427)/90</f>
        <v/>
      </c>
      <c r="AE427" s="3">
        <f>IFERROR(AD427-VLOOKUP($C427,Assumptions!$A$29:$C$32,3,FALSE),"")</f>
        <v/>
      </c>
      <c r="AF427" s="3">
        <f>IFERROR(AE427/F427,"")</f>
        <v/>
      </c>
      <c r="AG427">
        <f>IF(AND($E427=TRUE,$C427="GKP"),AD427,"")</f>
        <v/>
      </c>
      <c r="AH427">
        <f>IF(AND($E427=TRUE,$C427="DEF"),AD427,"")</f>
        <v/>
      </c>
      <c r="AI427">
        <f>IF(AND($E427=TRUE,$C427="MID"),AD427,"")</f>
        <v/>
      </c>
      <c r="AJ427">
        <f>IF(AND($E427=TRUE,$C427="FWD"),AD427,"")</f>
        <v/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b">
        <v>1</v>
      </c>
      <c r="F428" s="2" t="n">
        <v>4</v>
      </c>
      <c r="G428" t="inlineStr">
        <is>
          <t>a</t>
        </is>
      </c>
      <c r="I428" s="2" t="n">
        <v>0</v>
      </c>
      <c r="J428" t="n">
        <v>0</v>
      </c>
      <c r="K428" s="3" t="n">
        <v>11</v>
      </c>
      <c r="L428" t="inlineStr">
        <is>
          <t>flat</t>
        </is>
      </c>
      <c r="M428" s="4" t="n">
        <v>0</v>
      </c>
      <c r="N428" s="4" t="n">
        <v>0.237</v>
      </c>
      <c r="O428" s="3" t="n"/>
      <c r="P428" t="inlineStr"/>
      <c r="Q428" s="3" t="n"/>
      <c r="R428" s="3" t="n"/>
      <c r="S428" s="3" t="n"/>
      <c r="T428" s="3" t="n">
        <v>0</v>
      </c>
      <c r="U428" s="3" t="n"/>
      <c r="V428" s="3" t="n"/>
      <c r="W428" s="3">
        <f>IF(V428="",IFERROR(VLOOKUP($C428,Assumptions!$A$4:$F$7,6,FALSE),0),V428)</f>
        <v/>
      </c>
      <c r="X428" s="3">
        <f>N(O428)*IFERROR(VLOOKUP($C428,Assumptions!$A$4:$F$7,2,FALSE),0)</f>
        <v/>
      </c>
      <c r="Y428" s="3">
        <f>N(S428)*IFERROR(VLOOKUP($C428,Assumptions!$A$4:$F$7,3,FALSE),0)*Assumptions!$B$11</f>
        <v/>
      </c>
      <c r="Z428" s="3">
        <f>N(N428)*IFERROR(VLOOKUP($C428,Assumptions!$A$4:$F$7,4,FALSE),0)</f>
        <v/>
      </c>
      <c r="AA428" s="3">
        <f>N(T428)*IFERROR(VLOOKUP($C428,Assumptions!$A$4:$F$7,5,FALSE),0)</f>
        <v/>
      </c>
      <c r="AB428" s="3">
        <f>N(U428)</f>
        <v/>
      </c>
      <c r="AC428" s="3">
        <f>SUM(W428:AB428)</f>
        <v/>
      </c>
      <c r="AD428" s="3">
        <f>N(AC428)*N(M428)/90</f>
        <v/>
      </c>
      <c r="AE428" s="3">
        <f>IFERROR(AD428-VLOOKUP($C428,Assumptions!$A$29:$C$32,3,FALSE),"")</f>
        <v/>
      </c>
      <c r="AF428" s="3">
        <f>IFERROR(AE428/F428,"")</f>
        <v/>
      </c>
      <c r="AG428">
        <f>IF(AND($E428=TRUE,$C428="GKP"),AD428,"")</f>
        <v/>
      </c>
      <c r="AH428">
        <f>IF(AND($E428=TRUE,$C428="DEF"),AD428,"")</f>
        <v/>
      </c>
      <c r="AI428">
        <f>IF(AND($E428=TRUE,$C428="MID"),AD428,"")</f>
        <v/>
      </c>
      <c r="AJ428">
        <f>IF(AND($E428=TRUE,$C428="FWD"),AD428,"")</f>
        <v/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b">
        <v>1</v>
      </c>
      <c r="F429" s="2" t="n">
        <v>4.5</v>
      </c>
      <c r="G429" t="inlineStr">
        <is>
          <t>a</t>
        </is>
      </c>
      <c r="I429" s="2" t="n">
        <v>0</v>
      </c>
      <c r="J429" t="n">
        <v>0</v>
      </c>
      <c r="K429" s="3" t="n">
        <v>0</v>
      </c>
      <c r="L429" t="inlineStr">
        <is>
          <t>flat</t>
        </is>
      </c>
      <c r="M429" s="4" t="n">
        <v>0</v>
      </c>
      <c r="N429" s="4" t="n">
        <v>0.21</v>
      </c>
      <c r="O429" s="3" t="n"/>
      <c r="P429" t="inlineStr"/>
      <c r="Q429" s="3" t="n"/>
      <c r="R429" s="3" t="n"/>
      <c r="S429" s="3" t="n"/>
      <c r="T429" s="3" t="n">
        <v>0</v>
      </c>
      <c r="U429" s="3" t="n"/>
      <c r="V429" s="3" t="n"/>
      <c r="W429" s="3">
        <f>IF(V429="",IFERROR(VLOOKUP($C429,Assumptions!$A$4:$F$7,6,FALSE),0),V429)</f>
        <v/>
      </c>
      <c r="X429" s="3">
        <f>N(O429)*IFERROR(VLOOKUP($C429,Assumptions!$A$4:$F$7,2,FALSE),0)</f>
        <v/>
      </c>
      <c r="Y429" s="3">
        <f>N(S429)*IFERROR(VLOOKUP($C429,Assumptions!$A$4:$F$7,3,FALSE),0)*Assumptions!$B$11</f>
        <v/>
      </c>
      <c r="Z429" s="3">
        <f>N(N429)*IFERROR(VLOOKUP($C429,Assumptions!$A$4:$F$7,4,FALSE),0)</f>
        <v/>
      </c>
      <c r="AA429" s="3">
        <f>N(T429)*IFERROR(VLOOKUP($C429,Assumptions!$A$4:$F$7,5,FALSE),0)</f>
        <v/>
      </c>
      <c r="AB429" s="3">
        <f>N(U429)</f>
        <v/>
      </c>
      <c r="AC429" s="3">
        <f>SUM(W429:AB429)</f>
        <v/>
      </c>
      <c r="AD429" s="3">
        <f>N(AC429)*N(M429)/90</f>
        <v/>
      </c>
      <c r="AE429" s="3">
        <f>IFERROR(AD429-VLOOKUP($C429,Assumptions!$A$29:$C$32,3,FALSE),"")</f>
        <v/>
      </c>
      <c r="AF429" s="3">
        <f>IFERROR(AE429/F429,"")</f>
        <v/>
      </c>
      <c r="AG429">
        <f>IF(AND($E429=TRUE,$C429="GKP"),AD429,"")</f>
        <v/>
      </c>
      <c r="AH429">
        <f>IF(AND($E429=TRUE,$C429="DEF"),AD429,"")</f>
        <v/>
      </c>
      <c r="AI429">
        <f>IF(AND($E429=TRUE,$C429="MID"),AD429,"")</f>
        <v/>
      </c>
      <c r="AJ429">
        <f>IF(AND($E429=TRUE,$C429="FWD"),AD429,"")</f>
        <v/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b">
        <v>1</v>
      </c>
      <c r="F430" s="2" t="n">
        <v>4</v>
      </c>
      <c r="G430" t="inlineStr">
        <is>
          <t>a</t>
        </is>
      </c>
      <c r="I430" s="2" t="n">
        <v>0</v>
      </c>
      <c r="J430" t="n">
        <v>0</v>
      </c>
      <c r="K430" s="3" t="n">
        <v>35</v>
      </c>
      <c r="L430" t="inlineStr">
        <is>
          <t>flat</t>
        </is>
      </c>
      <c r="M430" s="4" t="n">
        <v>0</v>
      </c>
      <c r="N430" s="4" t="n">
        <v>0.263</v>
      </c>
      <c r="O430" s="3" t="n"/>
      <c r="P430" t="inlineStr"/>
      <c r="Q430" s="3" t="n"/>
      <c r="R430" s="3" t="n"/>
      <c r="S430" s="3" t="n"/>
      <c r="T430" s="3" t="n">
        <v>0</v>
      </c>
      <c r="U430" s="3" t="n"/>
      <c r="V430" s="3" t="n"/>
      <c r="W430" s="3">
        <f>IF(V430="",IFERROR(VLOOKUP($C430,Assumptions!$A$4:$F$7,6,FALSE),0),V430)</f>
        <v/>
      </c>
      <c r="X430" s="3">
        <f>N(O430)*IFERROR(VLOOKUP($C430,Assumptions!$A$4:$F$7,2,FALSE),0)</f>
        <v/>
      </c>
      <c r="Y430" s="3">
        <f>N(S430)*IFERROR(VLOOKUP($C430,Assumptions!$A$4:$F$7,3,FALSE),0)*Assumptions!$B$11</f>
        <v/>
      </c>
      <c r="Z430" s="3">
        <f>N(N430)*IFERROR(VLOOKUP($C430,Assumptions!$A$4:$F$7,4,FALSE),0)</f>
        <v/>
      </c>
      <c r="AA430" s="3">
        <f>N(T430)*IFERROR(VLOOKUP($C430,Assumptions!$A$4:$F$7,5,FALSE),0)</f>
        <v/>
      </c>
      <c r="AB430" s="3">
        <f>N(U430)</f>
        <v/>
      </c>
      <c r="AC430" s="3">
        <f>SUM(W430:AB430)</f>
        <v/>
      </c>
      <c r="AD430" s="3">
        <f>N(AC430)*N(M430)/90</f>
        <v/>
      </c>
      <c r="AE430" s="3">
        <f>IFERROR(AD430-VLOOKUP($C430,Assumptions!$A$29:$C$32,3,FALSE),"")</f>
        <v/>
      </c>
      <c r="AF430" s="3">
        <f>IFERROR(AE430/F430,"")</f>
        <v/>
      </c>
      <c r="AG430">
        <f>IF(AND($E430=TRUE,$C430="GKP"),AD430,"")</f>
        <v/>
      </c>
      <c r="AH430">
        <f>IF(AND($E430=TRUE,$C430="DEF"),AD430,"")</f>
        <v/>
      </c>
      <c r="AI430">
        <f>IF(AND($E430=TRUE,$C430="MID"),AD430,"")</f>
        <v/>
      </c>
      <c r="AJ430">
        <f>IF(AND($E430=TRUE,$C430="FWD"),AD430,"")</f>
        <v/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b">
        <v>1</v>
      </c>
      <c r="F431" s="2" t="n">
        <v>4</v>
      </c>
      <c r="G431" t="inlineStr">
        <is>
          <t>a</t>
        </is>
      </c>
      <c r="I431" s="2" t="n">
        <v>0</v>
      </c>
      <c r="J431" t="n">
        <v>0</v>
      </c>
      <c r="K431" s="3" t="n">
        <v>0</v>
      </c>
      <c r="L431" t="inlineStr">
        <is>
          <t>flat</t>
        </is>
      </c>
      <c r="M431" s="4" t="n">
        <v>0</v>
      </c>
      <c r="N431" s="4" t="n">
        <v>0.29</v>
      </c>
      <c r="O431" s="3" t="n"/>
      <c r="P431" t="inlineStr"/>
      <c r="Q431" s="3" t="n"/>
      <c r="R431" s="3" t="n"/>
      <c r="S431" s="3" t="n"/>
      <c r="T431" s="3" t="n">
        <v>0</v>
      </c>
      <c r="U431" s="3" t="n"/>
      <c r="V431" s="3" t="n"/>
      <c r="W431" s="3">
        <f>IF(V431="",IFERROR(VLOOKUP($C431,Assumptions!$A$4:$F$7,6,FALSE),0),V431)</f>
        <v/>
      </c>
      <c r="X431" s="3">
        <f>N(O431)*IFERROR(VLOOKUP($C431,Assumptions!$A$4:$F$7,2,FALSE),0)</f>
        <v/>
      </c>
      <c r="Y431" s="3">
        <f>N(S431)*IFERROR(VLOOKUP($C431,Assumptions!$A$4:$F$7,3,FALSE),0)*Assumptions!$B$11</f>
        <v/>
      </c>
      <c r="Z431" s="3">
        <f>N(N431)*IFERROR(VLOOKUP($C431,Assumptions!$A$4:$F$7,4,FALSE),0)</f>
        <v/>
      </c>
      <c r="AA431" s="3">
        <f>N(T431)*IFERROR(VLOOKUP($C431,Assumptions!$A$4:$F$7,5,FALSE),0)</f>
        <v/>
      </c>
      <c r="AB431" s="3">
        <f>N(U431)</f>
        <v/>
      </c>
      <c r="AC431" s="3">
        <f>SUM(W431:AB431)</f>
        <v/>
      </c>
      <c r="AD431" s="3">
        <f>N(AC431)*N(M431)/90</f>
        <v/>
      </c>
      <c r="AE431" s="3">
        <f>IFERROR(AD431-VLOOKUP($C431,Assumptions!$A$29:$C$32,3,FALSE),"")</f>
        <v/>
      </c>
      <c r="AF431" s="3">
        <f>IFERROR(AE431/F431,"")</f>
        <v/>
      </c>
      <c r="AG431">
        <f>IF(AND($E431=TRUE,$C431="GKP"),AD431,"")</f>
        <v/>
      </c>
      <c r="AH431">
        <f>IF(AND($E431=TRUE,$C431="DEF"),AD431,"")</f>
        <v/>
      </c>
      <c r="AI431">
        <f>IF(AND($E431=TRUE,$C431="MID"),AD431,"")</f>
        <v/>
      </c>
      <c r="AJ431">
        <f>IF(AND($E431=TRUE,$C431="FWD"),AD431,"")</f>
        <v/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b">
        <v>1</v>
      </c>
      <c r="F432" s="2" t="n">
        <v>5</v>
      </c>
      <c r="G432" t="inlineStr">
        <is>
          <t>a</t>
        </is>
      </c>
      <c r="I432" s="2" t="n">
        <v>0</v>
      </c>
      <c r="J432" t="n">
        <v>0</v>
      </c>
      <c r="K432" s="3" t="n">
        <v>0</v>
      </c>
      <c r="L432" t="inlineStr">
        <is>
          <t>flat</t>
        </is>
      </c>
      <c r="M432" s="4" t="n">
        <v>0</v>
      </c>
      <c r="N432" s="4" t="n">
        <v>0.316</v>
      </c>
      <c r="O432" s="3" t="n"/>
      <c r="P432" t="inlineStr"/>
      <c r="Q432" s="3" t="n"/>
      <c r="R432" s="3" t="n"/>
      <c r="S432" s="3" t="n"/>
      <c r="T432" s="3" t="n"/>
      <c r="U432" s="3" t="n"/>
      <c r="V432" s="3" t="n"/>
      <c r="W432" s="3">
        <f>IF(V432="",IFERROR(VLOOKUP($C432,Assumptions!$A$4:$F$7,6,FALSE),0),V432)</f>
        <v/>
      </c>
      <c r="X432" s="3">
        <f>N(O432)*IFERROR(VLOOKUP($C432,Assumptions!$A$4:$F$7,2,FALSE),0)</f>
        <v/>
      </c>
      <c r="Y432" s="3">
        <f>N(S432)*IFERROR(VLOOKUP($C432,Assumptions!$A$4:$F$7,3,FALSE),0)*Assumptions!$B$11</f>
        <v/>
      </c>
      <c r="Z432" s="3">
        <f>N(N432)*IFERROR(VLOOKUP($C432,Assumptions!$A$4:$F$7,4,FALSE),0)</f>
        <v/>
      </c>
      <c r="AA432" s="3">
        <f>N(T432)*IFERROR(VLOOKUP($C432,Assumptions!$A$4:$F$7,5,FALSE),0)</f>
        <v/>
      </c>
      <c r="AB432" s="3">
        <f>N(U432)</f>
        <v/>
      </c>
      <c r="AC432" s="3">
        <f>SUM(W432:AB432)</f>
        <v/>
      </c>
      <c r="AD432" s="3">
        <f>N(AC432)*N(M432)/90</f>
        <v/>
      </c>
      <c r="AE432" s="3">
        <f>IFERROR(AD432-VLOOKUP($C432,Assumptions!$A$29:$C$32,3,FALSE),"")</f>
        <v/>
      </c>
      <c r="AF432" s="3">
        <f>IFERROR(AE432/F432,"")</f>
        <v/>
      </c>
      <c r="AG432">
        <f>IF(AND($E432=TRUE,$C432="GKP"),AD432,"")</f>
        <v/>
      </c>
      <c r="AH432">
        <f>IF(AND($E432=TRUE,$C432="DEF"),AD432,"")</f>
        <v/>
      </c>
      <c r="AI432">
        <f>IF(AND($E432=TRUE,$C432="MID"),AD432,"")</f>
        <v/>
      </c>
      <c r="AJ432">
        <f>IF(AND($E432=TRUE,$C432="FWD"),AD432,"")</f>
        <v/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b">
        <v>1</v>
      </c>
      <c r="F433" s="2" t="n">
        <v>5</v>
      </c>
      <c r="G433" t="inlineStr">
        <is>
          <t>a</t>
        </is>
      </c>
      <c r="I433" s="2" t="n">
        <v>0</v>
      </c>
      <c r="J433" t="n">
        <v>0</v>
      </c>
      <c r="K433" s="3" t="n">
        <v>0</v>
      </c>
      <c r="L433" t="inlineStr">
        <is>
          <t>flat</t>
        </is>
      </c>
      <c r="M433" s="4" t="n">
        <v>0</v>
      </c>
      <c r="N433" s="4" t="n">
        <v>0.21</v>
      </c>
      <c r="O433" s="3" t="n"/>
      <c r="P433" t="inlineStr"/>
      <c r="Q433" s="3" t="n"/>
      <c r="R433" s="3" t="n"/>
      <c r="S433" s="3" t="n"/>
      <c r="T433" s="3" t="n"/>
      <c r="U433" s="3" t="n"/>
      <c r="V433" s="3" t="n"/>
      <c r="W433" s="3">
        <f>IF(V433="",IFERROR(VLOOKUP($C433,Assumptions!$A$4:$F$7,6,FALSE),0),V433)</f>
        <v/>
      </c>
      <c r="X433" s="3">
        <f>N(O433)*IFERROR(VLOOKUP($C433,Assumptions!$A$4:$F$7,2,FALSE),0)</f>
        <v/>
      </c>
      <c r="Y433" s="3">
        <f>N(S433)*IFERROR(VLOOKUP($C433,Assumptions!$A$4:$F$7,3,FALSE),0)*Assumptions!$B$11</f>
        <v/>
      </c>
      <c r="Z433" s="3">
        <f>N(N433)*IFERROR(VLOOKUP($C433,Assumptions!$A$4:$F$7,4,FALSE),0)</f>
        <v/>
      </c>
      <c r="AA433" s="3">
        <f>N(T433)*IFERROR(VLOOKUP($C433,Assumptions!$A$4:$F$7,5,FALSE),0)</f>
        <v/>
      </c>
      <c r="AB433" s="3">
        <f>N(U433)</f>
        <v/>
      </c>
      <c r="AC433" s="3">
        <f>SUM(W433:AB433)</f>
        <v/>
      </c>
      <c r="AD433" s="3">
        <f>N(AC433)*N(M433)/90</f>
        <v/>
      </c>
      <c r="AE433" s="3">
        <f>IFERROR(AD433-VLOOKUP($C433,Assumptions!$A$29:$C$32,3,FALSE),"")</f>
        <v/>
      </c>
      <c r="AF433" s="3">
        <f>IFERROR(AE433/F433,"")</f>
        <v/>
      </c>
      <c r="AG433">
        <f>IF(AND($E433=TRUE,$C433="GKP"),AD433,"")</f>
        <v/>
      </c>
      <c r="AH433">
        <f>IF(AND($E433=TRUE,$C433="DEF"),AD433,"")</f>
        <v/>
      </c>
      <c r="AI433">
        <f>IF(AND($E433=TRUE,$C433="MID"),AD433,"")</f>
        <v/>
      </c>
      <c r="AJ433">
        <f>IF(AND($E433=TRUE,$C433="FWD"),AD433,"")</f>
        <v/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b">
        <v>1</v>
      </c>
      <c r="F434" s="2" t="n">
        <v>6.5</v>
      </c>
      <c r="G434" t="inlineStr">
        <is>
          <t>i</t>
        </is>
      </c>
      <c r="H434" t="inlineStr">
        <is>
          <t>Knee injury - Unknown return date</t>
        </is>
      </c>
      <c r="I434" s="2" t="n">
        <v>0</v>
      </c>
      <c r="J434" t="n">
        <v>0</v>
      </c>
      <c r="K434" s="3" t="n">
        <v>280</v>
      </c>
      <c r="L434" t="inlineStr">
        <is>
          <t>flat</t>
        </is>
      </c>
      <c r="M434" s="4" t="n">
        <v>0</v>
      </c>
      <c r="N434" s="4" t="n">
        <v>0.237</v>
      </c>
      <c r="O434" s="3" t="n"/>
      <c r="P434" t="inlineStr"/>
      <c r="Q434" s="3" t="n"/>
      <c r="R434" s="3" t="n"/>
      <c r="S434" s="3" t="n"/>
      <c r="T434" s="3" t="n"/>
      <c r="U434" s="3" t="n"/>
      <c r="V434" s="3" t="n"/>
      <c r="W434" s="3">
        <f>IF(V434="",IFERROR(VLOOKUP($C434,Assumptions!$A$4:$F$7,6,FALSE),0),V434)</f>
        <v/>
      </c>
      <c r="X434" s="3">
        <f>N(O434)*IFERROR(VLOOKUP($C434,Assumptions!$A$4:$F$7,2,FALSE),0)</f>
        <v/>
      </c>
      <c r="Y434" s="3">
        <f>N(S434)*IFERROR(VLOOKUP($C434,Assumptions!$A$4:$F$7,3,FALSE),0)*Assumptions!$B$11</f>
        <v/>
      </c>
      <c r="Z434" s="3">
        <f>N(N434)*IFERROR(VLOOKUP($C434,Assumptions!$A$4:$F$7,4,FALSE),0)</f>
        <v/>
      </c>
      <c r="AA434" s="3">
        <f>N(T434)*IFERROR(VLOOKUP($C434,Assumptions!$A$4:$F$7,5,FALSE),0)</f>
        <v/>
      </c>
      <c r="AB434" s="3">
        <f>N(U434)</f>
        <v/>
      </c>
      <c r="AC434" s="3">
        <f>SUM(W434:AB434)</f>
        <v/>
      </c>
      <c r="AD434" s="3">
        <f>N(AC434)*N(M434)/90</f>
        <v/>
      </c>
      <c r="AE434" s="3">
        <f>IFERROR(AD434-VLOOKUP($C434,Assumptions!$A$29:$C$32,3,FALSE),"")</f>
        <v/>
      </c>
      <c r="AF434" s="3">
        <f>IFERROR(AE434/F434,"")</f>
        <v/>
      </c>
      <c r="AG434">
        <f>IF(AND($E434=TRUE,$C434="GKP"),AD434,"")</f>
        <v/>
      </c>
      <c r="AH434">
        <f>IF(AND($E434=TRUE,$C434="DEF"),AD434,"")</f>
        <v/>
      </c>
      <c r="AI434">
        <f>IF(AND($E434=TRUE,$C434="MID"),AD434,"")</f>
        <v/>
      </c>
      <c r="AJ434">
        <f>IF(AND($E434=TRUE,$C434="FWD"),AD434,"")</f>
        <v/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b">
        <v>1</v>
      </c>
      <c r="F435" s="2" t="n">
        <v>4.5</v>
      </c>
      <c r="G435" t="inlineStr">
        <is>
          <t>a</t>
        </is>
      </c>
      <c r="I435" s="2" t="n">
        <v>0</v>
      </c>
      <c r="J435" t="n">
        <v>0</v>
      </c>
      <c r="K435" s="3" t="n">
        <v>0</v>
      </c>
      <c r="L435" t="inlineStr">
        <is>
          <t>flat</t>
        </is>
      </c>
      <c r="M435" s="4" t="n">
        <v>0</v>
      </c>
      <c r="N435" s="4" t="n">
        <v>0.263</v>
      </c>
      <c r="O435" s="3" t="n"/>
      <c r="P435" t="inlineStr"/>
      <c r="Q435" s="3" t="n"/>
      <c r="R435" s="3" t="n"/>
      <c r="S435" s="3" t="n"/>
      <c r="T435" s="3" t="n"/>
      <c r="U435" s="3" t="n"/>
      <c r="V435" s="3" t="n"/>
      <c r="W435" s="3">
        <f>IF(V435="",IFERROR(VLOOKUP($C435,Assumptions!$A$4:$F$7,6,FALSE),0),V435)</f>
        <v/>
      </c>
      <c r="X435" s="3">
        <f>N(O435)*IFERROR(VLOOKUP($C435,Assumptions!$A$4:$F$7,2,FALSE),0)</f>
        <v/>
      </c>
      <c r="Y435" s="3">
        <f>N(S435)*IFERROR(VLOOKUP($C435,Assumptions!$A$4:$F$7,3,FALSE),0)*Assumptions!$B$11</f>
        <v/>
      </c>
      <c r="Z435" s="3">
        <f>N(N435)*IFERROR(VLOOKUP($C435,Assumptions!$A$4:$F$7,4,FALSE),0)</f>
        <v/>
      </c>
      <c r="AA435" s="3">
        <f>N(T435)*IFERROR(VLOOKUP($C435,Assumptions!$A$4:$F$7,5,FALSE),0)</f>
        <v/>
      </c>
      <c r="AB435" s="3">
        <f>N(U435)</f>
        <v/>
      </c>
      <c r="AC435" s="3">
        <f>SUM(W435:AB435)</f>
        <v/>
      </c>
      <c r="AD435" s="3">
        <f>N(AC435)*N(M435)/90</f>
        <v/>
      </c>
      <c r="AE435" s="3">
        <f>IFERROR(AD435-VLOOKUP($C435,Assumptions!$A$29:$C$32,3,FALSE),"")</f>
        <v/>
      </c>
      <c r="AF435" s="3">
        <f>IFERROR(AE435/F435,"")</f>
        <v/>
      </c>
      <c r="AG435">
        <f>IF(AND($E435=TRUE,$C435="GKP"),AD435,"")</f>
        <v/>
      </c>
      <c r="AH435">
        <f>IF(AND($E435=TRUE,$C435="DEF"),AD435,"")</f>
        <v/>
      </c>
      <c r="AI435">
        <f>IF(AND($E435=TRUE,$C435="MID"),AD435,"")</f>
        <v/>
      </c>
      <c r="AJ435">
        <f>IF(AND($E435=TRUE,$C435="FWD"),AD435,"")</f>
        <v/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b">
        <v>1</v>
      </c>
      <c r="F436" s="2" t="n">
        <v>5</v>
      </c>
      <c r="G436" t="inlineStr">
        <is>
          <t>a</t>
        </is>
      </c>
      <c r="I436" s="2" t="n">
        <v>0</v>
      </c>
      <c r="J436" t="n">
        <v>0</v>
      </c>
      <c r="K436" s="3" t="n">
        <v>0</v>
      </c>
      <c r="L436" t="inlineStr">
        <is>
          <t>flat</t>
        </is>
      </c>
      <c r="M436" s="4" t="n">
        <v>0</v>
      </c>
      <c r="N436" s="4" t="n">
        <v>0.316</v>
      </c>
      <c r="O436" s="3" t="n"/>
      <c r="P436" t="inlineStr"/>
      <c r="Q436" s="3" t="n"/>
      <c r="R436" s="3" t="n"/>
      <c r="S436" s="3" t="n"/>
      <c r="T436" s="3" t="n"/>
      <c r="U436" s="3" t="n"/>
      <c r="V436" s="3" t="n"/>
      <c r="W436" s="3">
        <f>IF(V436="",IFERROR(VLOOKUP($C436,Assumptions!$A$4:$F$7,6,FALSE),0),V436)</f>
        <v/>
      </c>
      <c r="X436" s="3">
        <f>N(O436)*IFERROR(VLOOKUP($C436,Assumptions!$A$4:$F$7,2,FALSE),0)</f>
        <v/>
      </c>
      <c r="Y436" s="3">
        <f>N(S436)*IFERROR(VLOOKUP($C436,Assumptions!$A$4:$F$7,3,FALSE),0)*Assumptions!$B$11</f>
        <v/>
      </c>
      <c r="Z436" s="3">
        <f>N(N436)*IFERROR(VLOOKUP($C436,Assumptions!$A$4:$F$7,4,FALSE),0)</f>
        <v/>
      </c>
      <c r="AA436" s="3">
        <f>N(T436)*IFERROR(VLOOKUP($C436,Assumptions!$A$4:$F$7,5,FALSE),0)</f>
        <v/>
      </c>
      <c r="AB436" s="3">
        <f>N(U436)</f>
        <v/>
      </c>
      <c r="AC436" s="3">
        <f>SUM(W436:AB436)</f>
        <v/>
      </c>
      <c r="AD436" s="3">
        <f>N(AC436)*N(M436)/90</f>
        <v/>
      </c>
      <c r="AE436" s="3">
        <f>IFERROR(AD436-VLOOKUP($C436,Assumptions!$A$29:$C$32,3,FALSE),"")</f>
        <v/>
      </c>
      <c r="AF436" s="3">
        <f>IFERROR(AE436/F436,"")</f>
        <v/>
      </c>
      <c r="AG436">
        <f>IF(AND($E436=TRUE,$C436="GKP"),AD436,"")</f>
        <v/>
      </c>
      <c r="AH436">
        <f>IF(AND($E436=TRUE,$C436="DEF"),AD436,"")</f>
        <v/>
      </c>
      <c r="AI436">
        <f>IF(AND($E436=TRUE,$C436="MID"),AD436,"")</f>
        <v/>
      </c>
      <c r="AJ436">
        <f>IF(AND($E436=TRUE,$C436="FWD"),AD436,"")</f>
        <v/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b">
        <v>1</v>
      </c>
      <c r="F437" s="2" t="n">
        <v>5</v>
      </c>
      <c r="G437" t="inlineStr">
        <is>
          <t>i</t>
        </is>
      </c>
      <c r="H437" t="inlineStr">
        <is>
          <t>Hamstring injury - Expected back 23 Aug</t>
        </is>
      </c>
      <c r="I437" s="2" t="n">
        <v>0</v>
      </c>
      <c r="J437" t="n">
        <v>0</v>
      </c>
      <c r="K437" s="3" t="n">
        <v>0</v>
      </c>
      <c r="L437" t="inlineStr">
        <is>
          <t>flat</t>
        </is>
      </c>
      <c r="M437" s="4" t="n">
        <v>0</v>
      </c>
      <c r="N437" s="4" t="n">
        <v>0.263</v>
      </c>
      <c r="O437" s="3" t="n"/>
      <c r="P437" t="inlineStr"/>
      <c r="Q437" s="3" t="n"/>
      <c r="R437" s="3" t="n"/>
      <c r="S437" s="3" t="n"/>
      <c r="T437" s="3" t="n"/>
      <c r="U437" s="3" t="n"/>
      <c r="V437" s="3" t="n"/>
      <c r="W437" s="3">
        <f>IF(V437="",IFERROR(VLOOKUP($C437,Assumptions!$A$4:$F$7,6,FALSE),0),V437)</f>
        <v/>
      </c>
      <c r="X437" s="3">
        <f>N(O437)*IFERROR(VLOOKUP($C437,Assumptions!$A$4:$F$7,2,FALSE),0)</f>
        <v/>
      </c>
      <c r="Y437" s="3">
        <f>N(S437)*IFERROR(VLOOKUP($C437,Assumptions!$A$4:$F$7,3,FALSE),0)*Assumptions!$B$11</f>
        <v/>
      </c>
      <c r="Z437" s="3">
        <f>N(N437)*IFERROR(VLOOKUP($C437,Assumptions!$A$4:$F$7,4,FALSE),0)</f>
        <v/>
      </c>
      <c r="AA437" s="3">
        <f>N(T437)*IFERROR(VLOOKUP($C437,Assumptions!$A$4:$F$7,5,FALSE),0)</f>
        <v/>
      </c>
      <c r="AB437" s="3">
        <f>N(U437)</f>
        <v/>
      </c>
      <c r="AC437" s="3">
        <f>SUM(W437:AB437)</f>
        <v/>
      </c>
      <c r="AD437" s="3">
        <f>N(AC437)*N(M437)/90</f>
        <v/>
      </c>
      <c r="AE437" s="3">
        <f>IFERROR(AD437-VLOOKUP($C437,Assumptions!$A$29:$C$32,3,FALSE),"")</f>
        <v/>
      </c>
      <c r="AF437" s="3">
        <f>IFERROR(AE437/F437,"")</f>
        <v/>
      </c>
      <c r="AG437">
        <f>IF(AND($E437=TRUE,$C437="GKP"),AD437,"")</f>
        <v/>
      </c>
      <c r="AH437">
        <f>IF(AND($E437=TRUE,$C437="DEF"),AD437,"")</f>
        <v/>
      </c>
      <c r="AI437">
        <f>IF(AND($E437=TRUE,$C437="MID"),AD437,"")</f>
        <v/>
      </c>
      <c r="AJ437">
        <f>IF(AND($E437=TRUE,$C437="FWD"),AD437,"")</f>
        <v/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b">
        <v>1</v>
      </c>
      <c r="F438" s="2" t="n">
        <v>4</v>
      </c>
      <c r="G438" t="inlineStr">
        <is>
          <t>a</t>
        </is>
      </c>
      <c r="I438" s="2" t="n">
        <v>0</v>
      </c>
      <c r="J438" t="n">
        <v>0</v>
      </c>
      <c r="K438" s="3" t="n">
        <v>0</v>
      </c>
      <c r="L438" t="inlineStr">
        <is>
          <t>flat</t>
        </is>
      </c>
      <c r="M438" s="4" t="n">
        <v>0</v>
      </c>
      <c r="N438" s="4" t="n">
        <v>0.263</v>
      </c>
      <c r="O438" s="3" t="n"/>
      <c r="P438" t="inlineStr"/>
      <c r="Q438" s="3" t="n"/>
      <c r="R438" s="3" t="n"/>
      <c r="S438" s="3" t="n"/>
      <c r="T438" s="3" t="n"/>
      <c r="U438" s="3" t="n"/>
      <c r="V438" s="3" t="n"/>
      <c r="W438" s="3">
        <f>IF(V438="",IFERROR(VLOOKUP($C438,Assumptions!$A$4:$F$7,6,FALSE),0),V438)</f>
        <v/>
      </c>
      <c r="X438" s="3">
        <f>N(O438)*IFERROR(VLOOKUP($C438,Assumptions!$A$4:$F$7,2,FALSE),0)</f>
        <v/>
      </c>
      <c r="Y438" s="3">
        <f>N(S438)*IFERROR(VLOOKUP($C438,Assumptions!$A$4:$F$7,3,FALSE),0)*Assumptions!$B$11</f>
        <v/>
      </c>
      <c r="Z438" s="3">
        <f>N(N438)*IFERROR(VLOOKUP($C438,Assumptions!$A$4:$F$7,4,FALSE),0)</f>
        <v/>
      </c>
      <c r="AA438" s="3">
        <f>N(T438)*IFERROR(VLOOKUP($C438,Assumptions!$A$4:$F$7,5,FALSE),0)</f>
        <v/>
      </c>
      <c r="AB438" s="3">
        <f>N(U438)</f>
        <v/>
      </c>
      <c r="AC438" s="3">
        <f>SUM(W438:AB438)</f>
        <v/>
      </c>
      <c r="AD438" s="3">
        <f>N(AC438)*N(M438)/90</f>
        <v/>
      </c>
      <c r="AE438" s="3">
        <f>IFERROR(AD438-VLOOKUP($C438,Assumptions!$A$29:$C$32,3,FALSE),"")</f>
        <v/>
      </c>
      <c r="AF438" s="3">
        <f>IFERROR(AE438/F438,"")</f>
        <v/>
      </c>
      <c r="AG438">
        <f>IF(AND($E438=TRUE,$C438="GKP"),AD438,"")</f>
        <v/>
      </c>
      <c r="AH438">
        <f>IF(AND($E438=TRUE,$C438="DEF"),AD438,"")</f>
        <v/>
      </c>
      <c r="AI438">
        <f>IF(AND($E438=TRUE,$C438="MID"),AD438,"")</f>
        <v/>
      </c>
      <c r="AJ438">
        <f>IF(AND($E438=TRUE,$C438="FWD"),AD438,"")</f>
        <v/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b">
        <v>1</v>
      </c>
      <c r="F439" s="2" t="n">
        <v>6.5</v>
      </c>
      <c r="G439" t="inlineStr">
        <is>
          <t>a</t>
        </is>
      </c>
      <c r="I439" s="2" t="n">
        <v>0</v>
      </c>
      <c r="J439" t="n">
        <v>0</v>
      </c>
      <c r="K439" s="3" t="n">
        <v>10</v>
      </c>
      <c r="L439" t="inlineStr">
        <is>
          <t>flat</t>
        </is>
      </c>
      <c r="M439" s="4" t="n">
        <v>0</v>
      </c>
      <c r="N439" s="4" t="n">
        <v>0.237</v>
      </c>
      <c r="O439" s="3" t="n"/>
      <c r="P439" t="inlineStr"/>
      <c r="Q439" s="3" t="n"/>
      <c r="R439" s="3" t="n"/>
      <c r="S439" s="3" t="n"/>
      <c r="T439" s="3" t="n"/>
      <c r="U439" s="3" t="n"/>
      <c r="V439" s="3" t="n"/>
      <c r="W439" s="3">
        <f>IF(V439="",IFERROR(VLOOKUP($C439,Assumptions!$A$4:$F$7,6,FALSE),0),V439)</f>
        <v/>
      </c>
      <c r="X439" s="3">
        <f>N(O439)*IFERROR(VLOOKUP($C439,Assumptions!$A$4:$F$7,2,FALSE),0)</f>
        <v/>
      </c>
      <c r="Y439" s="3">
        <f>N(S439)*IFERROR(VLOOKUP($C439,Assumptions!$A$4:$F$7,3,FALSE),0)*Assumptions!$B$11</f>
        <v/>
      </c>
      <c r="Z439" s="3">
        <f>N(N439)*IFERROR(VLOOKUP($C439,Assumptions!$A$4:$F$7,4,FALSE),0)</f>
        <v/>
      </c>
      <c r="AA439" s="3">
        <f>N(T439)*IFERROR(VLOOKUP($C439,Assumptions!$A$4:$F$7,5,FALSE),0)</f>
        <v/>
      </c>
      <c r="AB439" s="3">
        <f>N(U439)</f>
        <v/>
      </c>
      <c r="AC439" s="3">
        <f>SUM(W439:AB439)</f>
        <v/>
      </c>
      <c r="AD439" s="3">
        <f>N(AC439)*N(M439)/90</f>
        <v/>
      </c>
      <c r="AE439" s="3">
        <f>IFERROR(AD439-VLOOKUP($C439,Assumptions!$A$29:$C$32,3,FALSE),"")</f>
        <v/>
      </c>
      <c r="AF439" s="3">
        <f>IFERROR(AE439/F439,"")</f>
        <v/>
      </c>
      <c r="AG439">
        <f>IF(AND($E439=TRUE,$C439="GKP"),AD439,"")</f>
        <v/>
      </c>
      <c r="AH439">
        <f>IF(AND($E439=TRUE,$C439="DEF"),AD439,"")</f>
        <v/>
      </c>
      <c r="AI439">
        <f>IF(AND($E439=TRUE,$C439="MID"),AD439,"")</f>
        <v/>
      </c>
      <c r="AJ439">
        <f>IF(AND($E439=TRUE,$C439="FWD"),AD439,"")</f>
        <v/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b">
        <v>1</v>
      </c>
      <c r="F440" s="2" t="n">
        <v>4.5</v>
      </c>
      <c r="G440" t="inlineStr">
        <is>
          <t>i</t>
        </is>
      </c>
      <c r="H440" t="inlineStr">
        <is>
          <t>Knee injury - Unknown return date</t>
        </is>
      </c>
      <c r="I440" s="2" t="n">
        <v>0</v>
      </c>
      <c r="J440" t="n">
        <v>0</v>
      </c>
      <c r="K440" s="3" t="n">
        <v>0</v>
      </c>
      <c r="L440" t="inlineStr">
        <is>
          <t>flat</t>
        </is>
      </c>
      <c r="M440" s="4" t="n">
        <v>0</v>
      </c>
      <c r="N440" s="4" t="n">
        <v>0.21</v>
      </c>
      <c r="O440" s="3" t="n"/>
      <c r="P440" t="inlineStr"/>
      <c r="Q440" s="3" t="n"/>
      <c r="R440" s="3" t="n"/>
      <c r="S440" s="3" t="n"/>
      <c r="T440" s="3" t="n"/>
      <c r="U440" s="3" t="n"/>
      <c r="V440" s="3" t="n"/>
      <c r="W440" s="3">
        <f>IF(V440="",IFERROR(VLOOKUP($C440,Assumptions!$A$4:$F$7,6,FALSE),0),V440)</f>
        <v/>
      </c>
      <c r="X440" s="3">
        <f>N(O440)*IFERROR(VLOOKUP($C440,Assumptions!$A$4:$F$7,2,FALSE),0)</f>
        <v/>
      </c>
      <c r="Y440" s="3">
        <f>N(S440)*IFERROR(VLOOKUP($C440,Assumptions!$A$4:$F$7,3,FALSE),0)*Assumptions!$B$11</f>
        <v/>
      </c>
      <c r="Z440" s="3">
        <f>N(N440)*IFERROR(VLOOKUP($C440,Assumptions!$A$4:$F$7,4,FALSE),0)</f>
        <v/>
      </c>
      <c r="AA440" s="3">
        <f>N(T440)*IFERROR(VLOOKUP($C440,Assumptions!$A$4:$F$7,5,FALSE),0)</f>
        <v/>
      </c>
      <c r="AB440" s="3">
        <f>N(U440)</f>
        <v/>
      </c>
      <c r="AC440" s="3">
        <f>SUM(W440:AB440)</f>
        <v/>
      </c>
      <c r="AD440" s="3">
        <f>N(AC440)*N(M440)/90</f>
        <v/>
      </c>
      <c r="AE440" s="3">
        <f>IFERROR(AD440-VLOOKUP($C440,Assumptions!$A$29:$C$32,3,FALSE),"")</f>
        <v/>
      </c>
      <c r="AF440" s="3">
        <f>IFERROR(AE440/F440,"")</f>
        <v/>
      </c>
      <c r="AG440">
        <f>IF(AND($E440=TRUE,$C440="GKP"),AD440,"")</f>
        <v/>
      </c>
      <c r="AH440">
        <f>IF(AND($E440=TRUE,$C440="DEF"),AD440,"")</f>
        <v/>
      </c>
      <c r="AI440">
        <f>IF(AND($E440=TRUE,$C440="MID"),AD440,"")</f>
        <v/>
      </c>
      <c r="AJ440">
        <f>IF(AND($E440=TRUE,$C440="FWD"),AD440,"")</f>
        <v/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b">
        <v>1</v>
      </c>
      <c r="F441" s="2" t="n">
        <v>4.5</v>
      </c>
      <c r="G441" t="inlineStr">
        <is>
          <t>a</t>
        </is>
      </c>
      <c r="I441" s="2" t="n">
        <v>0</v>
      </c>
      <c r="J441" t="n">
        <v>0</v>
      </c>
      <c r="K441" s="3" t="n">
        <v>0</v>
      </c>
      <c r="L441" t="inlineStr">
        <is>
          <t>flat</t>
        </is>
      </c>
      <c r="M441" s="4" t="n">
        <v>0</v>
      </c>
      <c r="N441" s="4" t="n">
        <v>0.263</v>
      </c>
      <c r="O441" s="3" t="n"/>
      <c r="P441" t="inlineStr"/>
      <c r="Q441" s="3" t="n"/>
      <c r="R441" s="3" t="n"/>
      <c r="S441" s="3" t="n"/>
      <c r="T441" s="3" t="n"/>
      <c r="U441" s="3" t="n"/>
      <c r="V441" s="3" t="n"/>
      <c r="W441" s="3">
        <f>IF(V441="",IFERROR(VLOOKUP($C441,Assumptions!$A$4:$F$7,6,FALSE),0),V441)</f>
        <v/>
      </c>
      <c r="X441" s="3">
        <f>N(O441)*IFERROR(VLOOKUP($C441,Assumptions!$A$4:$F$7,2,FALSE),0)</f>
        <v/>
      </c>
      <c r="Y441" s="3">
        <f>N(S441)*IFERROR(VLOOKUP($C441,Assumptions!$A$4:$F$7,3,FALSE),0)*Assumptions!$B$11</f>
        <v/>
      </c>
      <c r="Z441" s="3">
        <f>N(N441)*IFERROR(VLOOKUP($C441,Assumptions!$A$4:$F$7,4,FALSE),0)</f>
        <v/>
      </c>
      <c r="AA441" s="3">
        <f>N(T441)*IFERROR(VLOOKUP($C441,Assumptions!$A$4:$F$7,5,FALSE),0)</f>
        <v/>
      </c>
      <c r="AB441" s="3">
        <f>N(U441)</f>
        <v/>
      </c>
      <c r="AC441" s="3">
        <f>SUM(W441:AB441)</f>
        <v/>
      </c>
      <c r="AD441" s="3">
        <f>N(AC441)*N(M441)/90</f>
        <v/>
      </c>
      <c r="AE441" s="3">
        <f>IFERROR(AD441-VLOOKUP($C441,Assumptions!$A$29:$C$32,3,FALSE),"")</f>
        <v/>
      </c>
      <c r="AF441" s="3">
        <f>IFERROR(AE441/F441,"")</f>
        <v/>
      </c>
      <c r="AG441">
        <f>IF(AND($E441=TRUE,$C441="GKP"),AD441,"")</f>
        <v/>
      </c>
      <c r="AH441">
        <f>IF(AND($E441=TRUE,$C441="DEF"),AD441,"")</f>
        <v/>
      </c>
      <c r="AI441">
        <f>IF(AND($E441=TRUE,$C441="MID"),AD441,"")</f>
        <v/>
      </c>
      <c r="AJ441">
        <f>IF(AND($E441=TRUE,$C441="FWD"),AD441,"")</f>
        <v/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b">
        <v>1</v>
      </c>
      <c r="F442" s="2" t="n">
        <v>4</v>
      </c>
      <c r="G442" t="inlineStr">
        <is>
          <t>a</t>
        </is>
      </c>
      <c r="I442" s="2" t="n">
        <v>0</v>
      </c>
      <c r="J442" t="n">
        <v>0</v>
      </c>
      <c r="K442" s="3" t="n">
        <v>0</v>
      </c>
      <c r="L442" t="inlineStr">
        <is>
          <t>flat</t>
        </is>
      </c>
      <c r="M442" s="4" t="n">
        <v>0</v>
      </c>
      <c r="N442" s="4" t="n">
        <v>0.237</v>
      </c>
      <c r="O442" s="3" t="n"/>
      <c r="P442" t="inlineStr"/>
      <c r="Q442" s="3" t="n"/>
      <c r="R442" s="3" t="n"/>
      <c r="S442" s="3" t="n"/>
      <c r="T442" s="3" t="n">
        <v>0</v>
      </c>
      <c r="U442" s="3" t="n"/>
      <c r="V442" s="3" t="n"/>
      <c r="W442" s="3">
        <f>IF(V442="",IFERROR(VLOOKUP($C442,Assumptions!$A$4:$F$7,6,FALSE),0),V442)</f>
        <v/>
      </c>
      <c r="X442" s="3">
        <f>N(O442)*IFERROR(VLOOKUP($C442,Assumptions!$A$4:$F$7,2,FALSE),0)</f>
        <v/>
      </c>
      <c r="Y442" s="3">
        <f>N(S442)*IFERROR(VLOOKUP($C442,Assumptions!$A$4:$F$7,3,FALSE),0)*Assumptions!$B$11</f>
        <v/>
      </c>
      <c r="Z442" s="3">
        <f>N(N442)*IFERROR(VLOOKUP($C442,Assumptions!$A$4:$F$7,4,FALSE),0)</f>
        <v/>
      </c>
      <c r="AA442" s="3">
        <f>N(T442)*IFERROR(VLOOKUP($C442,Assumptions!$A$4:$F$7,5,FALSE),0)</f>
        <v/>
      </c>
      <c r="AB442" s="3">
        <f>N(U442)</f>
        <v/>
      </c>
      <c r="AC442" s="3">
        <f>SUM(W442:AB442)</f>
        <v/>
      </c>
      <c r="AD442" s="3">
        <f>N(AC442)*N(M442)/90</f>
        <v/>
      </c>
      <c r="AE442" s="3">
        <f>IFERROR(AD442-VLOOKUP($C442,Assumptions!$A$29:$C$32,3,FALSE),"")</f>
        <v/>
      </c>
      <c r="AF442" s="3">
        <f>IFERROR(AE442/F442,"")</f>
        <v/>
      </c>
      <c r="AG442">
        <f>IF(AND($E442=TRUE,$C442="GKP"),AD442,"")</f>
        <v/>
      </c>
      <c r="AH442">
        <f>IF(AND($E442=TRUE,$C442="DEF"),AD442,"")</f>
        <v/>
      </c>
      <c r="AI442">
        <f>IF(AND($E442=TRUE,$C442="MID"),AD442,"")</f>
        <v/>
      </c>
      <c r="AJ442">
        <f>IF(AND($E442=TRUE,$C442="FWD"),AD442,"")</f>
        <v/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b">
        <v>1</v>
      </c>
      <c r="F443" s="2" t="n">
        <v>4.5</v>
      </c>
      <c r="G443" t="inlineStr">
        <is>
          <t>i</t>
        </is>
      </c>
      <c r="H443" t="inlineStr">
        <is>
          <t>Unspecified injury - Unknown return date</t>
        </is>
      </c>
      <c r="I443" s="2" t="n">
        <v>0</v>
      </c>
      <c r="J443" t="n">
        <v>0</v>
      </c>
      <c r="K443" s="3" t="n">
        <v>0</v>
      </c>
      <c r="L443" t="inlineStr">
        <is>
          <t>flat</t>
        </is>
      </c>
      <c r="M443" s="4" t="n">
        <v>0</v>
      </c>
      <c r="N443" s="4" t="n">
        <v>0.263</v>
      </c>
      <c r="O443" s="3" t="n"/>
      <c r="P443" t="inlineStr"/>
      <c r="Q443" s="3" t="n"/>
      <c r="R443" s="3" t="n"/>
      <c r="S443" s="3" t="n"/>
      <c r="T443" s="3" t="n"/>
      <c r="U443" s="3" t="n"/>
      <c r="V443" s="3" t="n"/>
      <c r="W443" s="3">
        <f>IF(V443="",IFERROR(VLOOKUP($C443,Assumptions!$A$4:$F$7,6,FALSE),0),V443)</f>
        <v/>
      </c>
      <c r="X443" s="3">
        <f>N(O443)*IFERROR(VLOOKUP($C443,Assumptions!$A$4:$F$7,2,FALSE),0)</f>
        <v/>
      </c>
      <c r="Y443" s="3">
        <f>N(S443)*IFERROR(VLOOKUP($C443,Assumptions!$A$4:$F$7,3,FALSE),0)*Assumptions!$B$11</f>
        <v/>
      </c>
      <c r="Z443" s="3">
        <f>N(N443)*IFERROR(VLOOKUP($C443,Assumptions!$A$4:$F$7,4,FALSE),0)</f>
        <v/>
      </c>
      <c r="AA443" s="3">
        <f>N(T443)*IFERROR(VLOOKUP($C443,Assumptions!$A$4:$F$7,5,FALSE),0)</f>
        <v/>
      </c>
      <c r="AB443" s="3">
        <f>N(U443)</f>
        <v/>
      </c>
      <c r="AC443" s="3">
        <f>SUM(W443:AB443)</f>
        <v/>
      </c>
      <c r="AD443" s="3">
        <f>N(AC443)*N(M443)/90</f>
        <v/>
      </c>
      <c r="AE443" s="3">
        <f>IFERROR(AD443-VLOOKUP($C443,Assumptions!$A$29:$C$32,3,FALSE),"")</f>
        <v/>
      </c>
      <c r="AF443" s="3">
        <f>IFERROR(AE443/F443,"")</f>
        <v/>
      </c>
      <c r="AG443">
        <f>IF(AND($E443=TRUE,$C443="GKP"),AD443,"")</f>
        <v/>
      </c>
      <c r="AH443">
        <f>IF(AND($E443=TRUE,$C443="DEF"),AD443,"")</f>
        <v/>
      </c>
      <c r="AI443">
        <f>IF(AND($E443=TRUE,$C443="MID"),AD443,"")</f>
        <v/>
      </c>
      <c r="AJ443">
        <f>IF(AND($E443=TRUE,$C443="FWD"),AD443,"")</f>
        <v/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b">
        <v>1</v>
      </c>
      <c r="F444" s="2" t="n">
        <v>5</v>
      </c>
      <c r="G444" t="inlineStr">
        <is>
          <t>a</t>
        </is>
      </c>
      <c r="I444" s="2" t="n">
        <v>0</v>
      </c>
      <c r="J444" t="n">
        <v>0</v>
      </c>
      <c r="K444" s="3" t="n">
        <v>0</v>
      </c>
      <c r="L444" t="inlineStr">
        <is>
          <t>flat</t>
        </is>
      </c>
      <c r="M444" s="4" t="n">
        <v>0</v>
      </c>
      <c r="N444" s="4" t="n">
        <v>0.421</v>
      </c>
      <c r="O444" s="3" t="n"/>
      <c r="P444" t="inlineStr"/>
      <c r="Q444" s="3" t="n"/>
      <c r="R444" s="3" t="n"/>
      <c r="S444" s="3" t="n"/>
      <c r="T444" s="3" t="n"/>
      <c r="U444" s="3" t="n"/>
      <c r="V444" s="3" t="n"/>
      <c r="W444" s="3">
        <f>IF(V444="",IFERROR(VLOOKUP($C444,Assumptions!$A$4:$F$7,6,FALSE),0),V444)</f>
        <v/>
      </c>
      <c r="X444" s="3">
        <f>N(O444)*IFERROR(VLOOKUP($C444,Assumptions!$A$4:$F$7,2,FALSE),0)</f>
        <v/>
      </c>
      <c r="Y444" s="3">
        <f>N(S444)*IFERROR(VLOOKUP($C444,Assumptions!$A$4:$F$7,3,FALSE),0)*Assumptions!$B$11</f>
        <v/>
      </c>
      <c r="Z444" s="3">
        <f>N(N444)*IFERROR(VLOOKUP($C444,Assumptions!$A$4:$F$7,4,FALSE),0)</f>
        <v/>
      </c>
      <c r="AA444" s="3">
        <f>N(T444)*IFERROR(VLOOKUP($C444,Assumptions!$A$4:$F$7,5,FALSE),0)</f>
        <v/>
      </c>
      <c r="AB444" s="3">
        <f>N(U444)</f>
        <v/>
      </c>
      <c r="AC444" s="3">
        <f>SUM(W444:AB444)</f>
        <v/>
      </c>
      <c r="AD444" s="3">
        <f>N(AC444)*N(M444)/90</f>
        <v/>
      </c>
      <c r="AE444" s="3">
        <f>IFERROR(AD444-VLOOKUP($C444,Assumptions!$A$29:$C$32,3,FALSE),"")</f>
        <v/>
      </c>
      <c r="AF444" s="3">
        <f>IFERROR(AE444/F444,"")</f>
        <v/>
      </c>
      <c r="AG444">
        <f>IF(AND($E444=TRUE,$C444="GKP"),AD444,"")</f>
        <v/>
      </c>
      <c r="AH444">
        <f>IF(AND($E444=TRUE,$C444="DEF"),AD444,"")</f>
        <v/>
      </c>
      <c r="AI444">
        <f>IF(AND($E444=TRUE,$C444="MID"),AD444,"")</f>
        <v/>
      </c>
      <c r="AJ444">
        <f>IF(AND($E444=TRUE,$C444="FWD"),AD444,"")</f>
        <v/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b">
        <v>1</v>
      </c>
      <c r="F445" s="2" t="n">
        <v>5</v>
      </c>
      <c r="G445" t="inlineStr">
        <is>
          <t>a</t>
        </is>
      </c>
      <c r="I445" s="2" t="n">
        <v>0</v>
      </c>
      <c r="J445" t="n">
        <v>0</v>
      </c>
      <c r="K445" s="3" t="n">
        <v>0</v>
      </c>
      <c r="L445" t="inlineStr">
        <is>
          <t>flat</t>
        </is>
      </c>
      <c r="M445" s="4" t="n">
        <v>0</v>
      </c>
      <c r="N445" s="4" t="n">
        <v>0.237</v>
      </c>
      <c r="O445" s="3" t="n"/>
      <c r="P445" t="inlineStr"/>
      <c r="Q445" s="3" t="n"/>
      <c r="R445" s="3" t="n"/>
      <c r="S445" s="3" t="n"/>
      <c r="T445" s="3" t="n"/>
      <c r="U445" s="3" t="n"/>
      <c r="V445" s="3" t="n"/>
      <c r="W445" s="3">
        <f>IF(V445="",IFERROR(VLOOKUP($C445,Assumptions!$A$4:$F$7,6,FALSE),0),V445)</f>
        <v/>
      </c>
      <c r="X445" s="3">
        <f>N(O445)*IFERROR(VLOOKUP($C445,Assumptions!$A$4:$F$7,2,FALSE),0)</f>
        <v/>
      </c>
      <c r="Y445" s="3">
        <f>N(S445)*IFERROR(VLOOKUP($C445,Assumptions!$A$4:$F$7,3,FALSE),0)*Assumptions!$B$11</f>
        <v/>
      </c>
      <c r="Z445" s="3">
        <f>N(N445)*IFERROR(VLOOKUP($C445,Assumptions!$A$4:$F$7,4,FALSE),0)</f>
        <v/>
      </c>
      <c r="AA445" s="3">
        <f>N(T445)*IFERROR(VLOOKUP($C445,Assumptions!$A$4:$F$7,5,FALSE),0)</f>
        <v/>
      </c>
      <c r="AB445" s="3">
        <f>N(U445)</f>
        <v/>
      </c>
      <c r="AC445" s="3">
        <f>SUM(W445:AB445)</f>
        <v/>
      </c>
      <c r="AD445" s="3">
        <f>N(AC445)*N(M445)/90</f>
        <v/>
      </c>
      <c r="AE445" s="3">
        <f>IFERROR(AD445-VLOOKUP($C445,Assumptions!$A$29:$C$32,3,FALSE),"")</f>
        <v/>
      </c>
      <c r="AF445" s="3">
        <f>IFERROR(AE445/F445,"")</f>
        <v/>
      </c>
      <c r="AG445">
        <f>IF(AND($E445=TRUE,$C445="GKP"),AD445,"")</f>
        <v/>
      </c>
      <c r="AH445">
        <f>IF(AND($E445=TRUE,$C445="DEF"),AD445,"")</f>
        <v/>
      </c>
      <c r="AI445">
        <f>IF(AND($E445=TRUE,$C445="MID"),AD445,"")</f>
        <v/>
      </c>
      <c r="AJ445">
        <f>IF(AND($E445=TRUE,$C445="FWD"),AD445,"")</f>
        <v/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b">
        <v>1</v>
      </c>
      <c r="F446" s="2" t="n">
        <v>4</v>
      </c>
      <c r="G446" t="inlineStr">
        <is>
          <t>a</t>
        </is>
      </c>
      <c r="I446" s="2" t="n">
        <v>0</v>
      </c>
      <c r="J446" t="n">
        <v>0</v>
      </c>
      <c r="K446" s="3" t="n">
        <v>0</v>
      </c>
      <c r="L446" t="inlineStr">
        <is>
          <t>flat</t>
        </is>
      </c>
      <c r="M446" s="4" t="n">
        <v>0</v>
      </c>
      <c r="N446" s="4" t="n">
        <v>0.29</v>
      </c>
      <c r="O446" s="3" t="n"/>
      <c r="P446" t="inlineStr"/>
      <c r="Q446" s="3" t="n"/>
      <c r="R446" s="3" t="n"/>
      <c r="S446" s="3" t="n"/>
      <c r="T446" s="3" t="n"/>
      <c r="U446" s="3" t="n"/>
      <c r="V446" s="3" t="n"/>
      <c r="W446" s="3">
        <f>IF(V446="",IFERROR(VLOOKUP($C446,Assumptions!$A$4:$F$7,6,FALSE),0),V446)</f>
        <v/>
      </c>
      <c r="X446" s="3">
        <f>N(O446)*IFERROR(VLOOKUP($C446,Assumptions!$A$4:$F$7,2,FALSE),0)</f>
        <v/>
      </c>
      <c r="Y446" s="3">
        <f>N(S446)*IFERROR(VLOOKUP($C446,Assumptions!$A$4:$F$7,3,FALSE),0)*Assumptions!$B$11</f>
        <v/>
      </c>
      <c r="Z446" s="3">
        <f>N(N446)*IFERROR(VLOOKUP($C446,Assumptions!$A$4:$F$7,4,FALSE),0)</f>
        <v/>
      </c>
      <c r="AA446" s="3">
        <f>N(T446)*IFERROR(VLOOKUP($C446,Assumptions!$A$4:$F$7,5,FALSE),0)</f>
        <v/>
      </c>
      <c r="AB446" s="3">
        <f>N(U446)</f>
        <v/>
      </c>
      <c r="AC446" s="3">
        <f>SUM(W446:AB446)</f>
        <v/>
      </c>
      <c r="AD446" s="3">
        <f>N(AC446)*N(M446)/90</f>
        <v/>
      </c>
      <c r="AE446" s="3">
        <f>IFERROR(AD446-VLOOKUP($C446,Assumptions!$A$29:$C$32,3,FALSE),"")</f>
        <v/>
      </c>
      <c r="AF446" s="3">
        <f>IFERROR(AE446/F446,"")</f>
        <v/>
      </c>
      <c r="AG446">
        <f>IF(AND($E446=TRUE,$C446="GKP"),AD446,"")</f>
        <v/>
      </c>
      <c r="AH446">
        <f>IF(AND($E446=TRUE,$C446="DEF"),AD446,"")</f>
        <v/>
      </c>
      <c r="AI446">
        <f>IF(AND($E446=TRUE,$C446="MID"),AD446,"")</f>
        <v/>
      </c>
      <c r="AJ446">
        <f>IF(AND($E446=TRUE,$C446="FWD"),AD446,"")</f>
        <v/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b">
        <v>1</v>
      </c>
      <c r="F447" s="2" t="n">
        <v>5</v>
      </c>
      <c r="G447" t="inlineStr">
        <is>
          <t>a</t>
        </is>
      </c>
      <c r="I447" s="2" t="n">
        <v>0</v>
      </c>
      <c r="J447" t="n">
        <v>0</v>
      </c>
      <c r="K447" s="3" t="n">
        <v>0</v>
      </c>
      <c r="L447" t="inlineStr">
        <is>
          <t>flat</t>
        </is>
      </c>
      <c r="M447" s="4" t="n">
        <v>0</v>
      </c>
      <c r="N447" s="4" t="n">
        <v>0.21</v>
      </c>
      <c r="O447" s="3" t="n"/>
      <c r="P447" t="inlineStr"/>
      <c r="Q447" s="3" t="n"/>
      <c r="R447" s="3" t="n"/>
      <c r="S447" s="3" t="n"/>
      <c r="T447" s="3" t="n"/>
      <c r="U447" s="3" t="n"/>
      <c r="V447" s="3" t="n"/>
      <c r="W447" s="3">
        <f>IF(V447="",IFERROR(VLOOKUP($C447,Assumptions!$A$4:$F$7,6,FALSE),0),V447)</f>
        <v/>
      </c>
      <c r="X447" s="3">
        <f>N(O447)*IFERROR(VLOOKUP($C447,Assumptions!$A$4:$F$7,2,FALSE),0)</f>
        <v/>
      </c>
      <c r="Y447" s="3">
        <f>N(S447)*IFERROR(VLOOKUP($C447,Assumptions!$A$4:$F$7,3,FALSE),0)*Assumptions!$B$11</f>
        <v/>
      </c>
      <c r="Z447" s="3">
        <f>N(N447)*IFERROR(VLOOKUP($C447,Assumptions!$A$4:$F$7,4,FALSE),0)</f>
        <v/>
      </c>
      <c r="AA447" s="3">
        <f>N(T447)*IFERROR(VLOOKUP($C447,Assumptions!$A$4:$F$7,5,FALSE),0)</f>
        <v/>
      </c>
      <c r="AB447" s="3">
        <f>N(U447)</f>
        <v/>
      </c>
      <c r="AC447" s="3">
        <f>SUM(W447:AB447)</f>
        <v/>
      </c>
      <c r="AD447" s="3">
        <f>N(AC447)*N(M447)/90</f>
        <v/>
      </c>
      <c r="AE447" s="3">
        <f>IFERROR(AD447-VLOOKUP($C447,Assumptions!$A$29:$C$32,3,FALSE),"")</f>
        <v/>
      </c>
      <c r="AF447" s="3">
        <f>IFERROR(AE447/F447,"")</f>
        <v/>
      </c>
      <c r="AG447">
        <f>IF(AND($E447=TRUE,$C447="GKP"),AD447,"")</f>
        <v/>
      </c>
      <c r="AH447">
        <f>IF(AND($E447=TRUE,$C447="DEF"),AD447,"")</f>
        <v/>
      </c>
      <c r="AI447">
        <f>IF(AND($E447=TRUE,$C447="MID"),AD447,"")</f>
        <v/>
      </c>
      <c r="AJ447">
        <f>IF(AND($E447=TRUE,$C447="FWD"),AD447,"")</f>
        <v/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b">
        <v>1</v>
      </c>
      <c r="F448" s="2" t="n">
        <v>4.5</v>
      </c>
      <c r="G448" t="inlineStr">
        <is>
          <t>a</t>
        </is>
      </c>
      <c r="I448" s="2" t="n">
        <v>0</v>
      </c>
      <c r="J448" t="n">
        <v>0</v>
      </c>
      <c r="K448" s="3" t="n">
        <v>0</v>
      </c>
      <c r="L448" t="inlineStr">
        <is>
          <t>flat</t>
        </is>
      </c>
      <c r="M448" s="4" t="n">
        <v>0</v>
      </c>
      <c r="N448" s="4" t="n">
        <v>0.21</v>
      </c>
      <c r="O448" s="3" t="n"/>
      <c r="P448" t="inlineStr"/>
      <c r="Q448" s="3" t="n"/>
      <c r="R448" s="3" t="n"/>
      <c r="S448" s="3" t="n"/>
      <c r="T448" s="3" t="n"/>
      <c r="U448" s="3" t="n"/>
      <c r="V448" s="3" t="n"/>
      <c r="W448" s="3">
        <f>IF(V448="",IFERROR(VLOOKUP($C448,Assumptions!$A$4:$F$7,6,FALSE),0),V448)</f>
        <v/>
      </c>
      <c r="X448" s="3">
        <f>N(O448)*IFERROR(VLOOKUP($C448,Assumptions!$A$4:$F$7,2,FALSE),0)</f>
        <v/>
      </c>
      <c r="Y448" s="3">
        <f>N(S448)*IFERROR(VLOOKUP($C448,Assumptions!$A$4:$F$7,3,FALSE),0)*Assumptions!$B$11</f>
        <v/>
      </c>
      <c r="Z448" s="3">
        <f>N(N448)*IFERROR(VLOOKUP($C448,Assumptions!$A$4:$F$7,4,FALSE),0)</f>
        <v/>
      </c>
      <c r="AA448" s="3">
        <f>N(T448)*IFERROR(VLOOKUP($C448,Assumptions!$A$4:$F$7,5,FALSE),0)</f>
        <v/>
      </c>
      <c r="AB448" s="3">
        <f>N(U448)</f>
        <v/>
      </c>
      <c r="AC448" s="3">
        <f>SUM(W448:AB448)</f>
        <v/>
      </c>
      <c r="AD448" s="3">
        <f>N(AC448)*N(M448)/90</f>
        <v/>
      </c>
      <c r="AE448" s="3">
        <f>IFERROR(AD448-VLOOKUP($C448,Assumptions!$A$29:$C$32,3,FALSE),"")</f>
        <v/>
      </c>
      <c r="AF448" s="3">
        <f>IFERROR(AE448/F448,"")</f>
        <v/>
      </c>
      <c r="AG448">
        <f>IF(AND($E448=TRUE,$C448="GKP"),AD448,"")</f>
        <v/>
      </c>
      <c r="AH448">
        <f>IF(AND($E448=TRUE,$C448="DEF"),AD448,"")</f>
        <v/>
      </c>
      <c r="AI448">
        <f>IF(AND($E448=TRUE,$C448="MID"),AD448,"")</f>
        <v/>
      </c>
      <c r="AJ448">
        <f>IF(AND($E448=TRUE,$C448="FWD"),AD448,"")</f>
        <v/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b">
        <v>1</v>
      </c>
      <c r="F449" s="2" t="n">
        <v>4</v>
      </c>
      <c r="G449" t="inlineStr">
        <is>
          <t>a</t>
        </is>
      </c>
      <c r="I449" s="2" t="n">
        <v>0</v>
      </c>
      <c r="J449" t="n">
        <v>0</v>
      </c>
      <c r="K449" s="3" t="n">
        <v>103</v>
      </c>
      <c r="L449" t="inlineStr">
        <is>
          <t>flat</t>
        </is>
      </c>
      <c r="M449" s="4" t="n">
        <v>0</v>
      </c>
      <c r="N449" s="4" t="n">
        <v>0.263</v>
      </c>
      <c r="O449" s="3" t="n"/>
      <c r="P449" t="inlineStr"/>
      <c r="Q449" s="3" t="n"/>
      <c r="R449" s="3" t="n"/>
      <c r="S449" s="3" t="n"/>
      <c r="T449" s="3" t="n"/>
      <c r="U449" s="3" t="n"/>
      <c r="V449" s="3" t="n"/>
      <c r="W449" s="3">
        <f>IF(V449="",IFERROR(VLOOKUP($C449,Assumptions!$A$4:$F$7,6,FALSE),0),V449)</f>
        <v/>
      </c>
      <c r="X449" s="3">
        <f>N(O449)*IFERROR(VLOOKUP($C449,Assumptions!$A$4:$F$7,2,FALSE),0)</f>
        <v/>
      </c>
      <c r="Y449" s="3">
        <f>N(S449)*IFERROR(VLOOKUP($C449,Assumptions!$A$4:$F$7,3,FALSE),0)*Assumptions!$B$11</f>
        <v/>
      </c>
      <c r="Z449" s="3">
        <f>N(N449)*IFERROR(VLOOKUP($C449,Assumptions!$A$4:$F$7,4,FALSE),0)</f>
        <v/>
      </c>
      <c r="AA449" s="3">
        <f>N(T449)*IFERROR(VLOOKUP($C449,Assumptions!$A$4:$F$7,5,FALSE),0)</f>
        <v/>
      </c>
      <c r="AB449" s="3">
        <f>N(U449)</f>
        <v/>
      </c>
      <c r="AC449" s="3">
        <f>SUM(W449:AB449)</f>
        <v/>
      </c>
      <c r="AD449" s="3">
        <f>N(AC449)*N(M449)/90</f>
        <v/>
      </c>
      <c r="AE449" s="3">
        <f>IFERROR(AD449-VLOOKUP($C449,Assumptions!$A$29:$C$32,3,FALSE),"")</f>
        <v/>
      </c>
      <c r="AF449" s="3">
        <f>IFERROR(AE449/F449,"")</f>
        <v/>
      </c>
      <c r="AG449">
        <f>IF(AND($E449=TRUE,$C449="GKP"),AD449,"")</f>
        <v/>
      </c>
      <c r="AH449">
        <f>IF(AND($E449=TRUE,$C449="DEF"),AD449,"")</f>
        <v/>
      </c>
      <c r="AI449">
        <f>IF(AND($E449=TRUE,$C449="MID"),AD449,"")</f>
        <v/>
      </c>
      <c r="AJ449">
        <f>IF(AND($E449=TRUE,$C449="FWD"),AD449,"")</f>
        <v/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b">
        <v>1</v>
      </c>
      <c r="F450" s="2" t="n">
        <v>5</v>
      </c>
      <c r="G450" t="inlineStr">
        <is>
          <t>i</t>
        </is>
      </c>
      <c r="H450" t="inlineStr">
        <is>
          <t>Ankle injury - Expected back 10 Oct</t>
        </is>
      </c>
      <c r="I450" s="2" t="n">
        <v>0</v>
      </c>
      <c r="J450" t="n">
        <v>0</v>
      </c>
      <c r="K450" s="3" t="n">
        <v>0</v>
      </c>
      <c r="L450" t="inlineStr">
        <is>
          <t>flat</t>
        </is>
      </c>
      <c r="M450" s="4" t="n">
        <v>0</v>
      </c>
      <c r="N450" s="4" t="n">
        <v>0.263</v>
      </c>
      <c r="O450" s="3" t="n"/>
      <c r="P450" t="inlineStr"/>
      <c r="Q450" s="3" t="n"/>
      <c r="R450" s="3" t="n"/>
      <c r="S450" s="3" t="n"/>
      <c r="T450" s="3" t="n"/>
      <c r="U450" s="3" t="n"/>
      <c r="V450" s="3" t="n"/>
      <c r="W450" s="3">
        <f>IF(V450="",IFERROR(VLOOKUP($C450,Assumptions!$A$4:$F$7,6,FALSE),0),V450)</f>
        <v/>
      </c>
      <c r="X450" s="3">
        <f>N(O450)*IFERROR(VLOOKUP($C450,Assumptions!$A$4:$F$7,2,FALSE),0)</f>
        <v/>
      </c>
      <c r="Y450" s="3">
        <f>N(S450)*IFERROR(VLOOKUP($C450,Assumptions!$A$4:$F$7,3,FALSE),0)*Assumptions!$B$11</f>
        <v/>
      </c>
      <c r="Z450" s="3">
        <f>N(N450)*IFERROR(VLOOKUP($C450,Assumptions!$A$4:$F$7,4,FALSE),0)</f>
        <v/>
      </c>
      <c r="AA450" s="3">
        <f>N(T450)*IFERROR(VLOOKUP($C450,Assumptions!$A$4:$F$7,5,FALSE),0)</f>
        <v/>
      </c>
      <c r="AB450" s="3">
        <f>N(U450)</f>
        <v/>
      </c>
      <c r="AC450" s="3">
        <f>SUM(W450:AB450)</f>
        <v/>
      </c>
      <c r="AD450" s="3">
        <f>N(AC450)*N(M450)/90</f>
        <v/>
      </c>
      <c r="AE450" s="3">
        <f>IFERROR(AD450-VLOOKUP($C450,Assumptions!$A$29:$C$32,3,FALSE),"")</f>
        <v/>
      </c>
      <c r="AF450" s="3">
        <f>IFERROR(AE450/F450,"")</f>
        <v/>
      </c>
      <c r="AG450">
        <f>IF(AND($E450=TRUE,$C450="GKP"),AD450,"")</f>
        <v/>
      </c>
      <c r="AH450">
        <f>IF(AND($E450=TRUE,$C450="DEF"),AD450,"")</f>
        <v/>
      </c>
      <c r="AI450">
        <f>IF(AND($E450=TRUE,$C450="MID"),AD450,"")</f>
        <v/>
      </c>
      <c r="AJ450">
        <f>IF(AND($E450=TRUE,$C450="FWD"),AD450,"")</f>
        <v/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b">
        <v>1</v>
      </c>
      <c r="F451" s="2" t="n">
        <v>4</v>
      </c>
      <c r="G451" t="inlineStr">
        <is>
          <t>a</t>
        </is>
      </c>
      <c r="I451" s="2" t="n">
        <v>0</v>
      </c>
      <c r="J451" t="n">
        <v>0</v>
      </c>
      <c r="K451" s="3" t="n">
        <v>79</v>
      </c>
      <c r="L451" t="inlineStr">
        <is>
          <t>flat</t>
        </is>
      </c>
      <c r="M451" s="4" t="n">
        <v>0</v>
      </c>
      <c r="N451" s="4" t="n">
        <v>0.21</v>
      </c>
      <c r="O451" s="3" t="n"/>
      <c r="P451" t="inlineStr"/>
      <c r="Q451" s="3" t="n"/>
      <c r="R451" s="3" t="n"/>
      <c r="S451" s="3" t="n"/>
      <c r="T451" s="3" t="n"/>
      <c r="U451" s="3" t="n"/>
      <c r="V451" s="3" t="n"/>
      <c r="W451" s="3">
        <f>IF(V451="",IFERROR(VLOOKUP($C451,Assumptions!$A$4:$F$7,6,FALSE),0),V451)</f>
        <v/>
      </c>
      <c r="X451" s="3">
        <f>N(O451)*IFERROR(VLOOKUP($C451,Assumptions!$A$4:$F$7,2,FALSE),0)</f>
        <v/>
      </c>
      <c r="Y451" s="3">
        <f>N(S451)*IFERROR(VLOOKUP($C451,Assumptions!$A$4:$F$7,3,FALSE),0)*Assumptions!$B$11</f>
        <v/>
      </c>
      <c r="Z451" s="3">
        <f>N(N451)*IFERROR(VLOOKUP($C451,Assumptions!$A$4:$F$7,4,FALSE),0)</f>
        <v/>
      </c>
      <c r="AA451" s="3">
        <f>N(T451)*IFERROR(VLOOKUP($C451,Assumptions!$A$4:$F$7,5,FALSE),0)</f>
        <v/>
      </c>
      <c r="AB451" s="3">
        <f>N(U451)</f>
        <v/>
      </c>
      <c r="AC451" s="3">
        <f>SUM(W451:AB451)</f>
        <v/>
      </c>
      <c r="AD451" s="3">
        <f>N(AC451)*N(M451)/90</f>
        <v/>
      </c>
      <c r="AE451" s="3">
        <f>IFERROR(AD451-VLOOKUP($C451,Assumptions!$A$29:$C$32,3,FALSE),"")</f>
        <v/>
      </c>
      <c r="AF451" s="3">
        <f>IFERROR(AE451/F451,"")</f>
        <v/>
      </c>
      <c r="AG451">
        <f>IF(AND($E451=TRUE,$C451="GKP"),AD451,"")</f>
        <v/>
      </c>
      <c r="AH451">
        <f>IF(AND($E451=TRUE,$C451="DEF"),AD451,"")</f>
        <v/>
      </c>
      <c r="AI451">
        <f>IF(AND($E451=TRUE,$C451="MID"),AD451,"")</f>
        <v/>
      </c>
      <c r="AJ451">
        <f>IF(AND($E451=TRUE,$C451="FWD"),AD451,"")</f>
        <v/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b">
        <v>1</v>
      </c>
      <c r="F452" s="2" t="n">
        <v>4</v>
      </c>
      <c r="G452" t="inlineStr">
        <is>
          <t>u</t>
        </is>
      </c>
      <c r="H452" t="inlineStr">
        <is>
          <t>Has joined KV Mechelen on loan for the rest of the season</t>
        </is>
      </c>
      <c r="I452" s="2" t="n">
        <v>0</v>
      </c>
      <c r="J452" t="n">
        <v>0</v>
      </c>
      <c r="K452" s="3" t="n"/>
      <c r="M452" s="4" t="n">
        <v>0</v>
      </c>
      <c r="N452" s="4" t="n">
        <v>0.29</v>
      </c>
      <c r="O452" s="3" t="n"/>
      <c r="P452" t="inlineStr"/>
      <c r="Q452" s="3" t="n"/>
      <c r="R452" s="3" t="n"/>
      <c r="S452" s="3" t="n"/>
      <c r="T452" s="3" t="n"/>
      <c r="U452" s="3" t="n"/>
      <c r="V452" s="3" t="n"/>
      <c r="W452" s="3">
        <f>IF(V452="",IFERROR(VLOOKUP($C452,Assumptions!$A$4:$F$7,6,FALSE),0),V452)</f>
        <v/>
      </c>
      <c r="X452" s="3">
        <f>N(O452)*IFERROR(VLOOKUP($C452,Assumptions!$A$4:$F$7,2,FALSE),0)</f>
        <v/>
      </c>
      <c r="Y452" s="3">
        <f>N(S452)*IFERROR(VLOOKUP($C452,Assumptions!$A$4:$F$7,3,FALSE),0)*Assumptions!$B$11</f>
        <v/>
      </c>
      <c r="Z452" s="3">
        <f>N(N452)*IFERROR(VLOOKUP($C452,Assumptions!$A$4:$F$7,4,FALSE),0)</f>
        <v/>
      </c>
      <c r="AA452" s="3">
        <f>N(T452)*IFERROR(VLOOKUP($C452,Assumptions!$A$4:$F$7,5,FALSE),0)</f>
        <v/>
      </c>
      <c r="AB452" s="3">
        <f>N(U452)</f>
        <v/>
      </c>
      <c r="AC452" s="3">
        <f>SUM(W452:AB452)</f>
        <v/>
      </c>
      <c r="AD452" s="3">
        <f>N(AC452)*N(M452)/90</f>
        <v/>
      </c>
      <c r="AE452" s="3">
        <f>IFERROR(AD452-VLOOKUP($C452,Assumptions!$A$29:$C$32,3,FALSE),"")</f>
        <v/>
      </c>
      <c r="AF452" s="3">
        <f>IFERROR(AE452/F452,"")</f>
        <v/>
      </c>
      <c r="AG452">
        <f>IF(AND($E452=TRUE,$C452="GKP"),AD452,"")</f>
        <v/>
      </c>
      <c r="AH452">
        <f>IF(AND($E452=TRUE,$C452="DEF"),AD452,"")</f>
        <v/>
      </c>
      <c r="AI452">
        <f>IF(AND($E452=TRUE,$C452="MID"),AD452,"")</f>
        <v/>
      </c>
      <c r="AJ452">
        <f>IF(AND($E452=TRUE,$C452="FWD"),AD452,"")</f>
        <v/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b">
        <v>1</v>
      </c>
      <c r="F453" s="2" t="n">
        <v>4</v>
      </c>
      <c r="G453" t="inlineStr">
        <is>
          <t>a</t>
        </is>
      </c>
      <c r="I453" s="2" t="n">
        <v>0</v>
      </c>
      <c r="J453" t="n">
        <v>0</v>
      </c>
      <c r="K453" s="3" t="n">
        <v>0</v>
      </c>
      <c r="L453" t="inlineStr">
        <is>
          <t>flat</t>
        </is>
      </c>
      <c r="M453" s="4" t="n">
        <v>0</v>
      </c>
      <c r="N453" s="4" t="n">
        <v>0.263</v>
      </c>
      <c r="O453" s="3" t="n"/>
      <c r="P453" t="inlineStr"/>
      <c r="Q453" s="3" t="n"/>
      <c r="R453" s="3" t="n"/>
      <c r="S453" s="3" t="n"/>
      <c r="T453" s="3" t="n">
        <v>0</v>
      </c>
      <c r="U453" s="3" t="n"/>
      <c r="V453" s="3" t="n"/>
      <c r="W453" s="3">
        <f>IF(V453="",IFERROR(VLOOKUP($C453,Assumptions!$A$4:$F$7,6,FALSE),0),V453)</f>
        <v/>
      </c>
      <c r="X453" s="3">
        <f>N(O453)*IFERROR(VLOOKUP($C453,Assumptions!$A$4:$F$7,2,FALSE),0)</f>
        <v/>
      </c>
      <c r="Y453" s="3">
        <f>N(S453)*IFERROR(VLOOKUP($C453,Assumptions!$A$4:$F$7,3,FALSE),0)*Assumptions!$B$11</f>
        <v/>
      </c>
      <c r="Z453" s="3">
        <f>N(N453)*IFERROR(VLOOKUP($C453,Assumptions!$A$4:$F$7,4,FALSE),0)</f>
        <v/>
      </c>
      <c r="AA453" s="3">
        <f>N(T453)*IFERROR(VLOOKUP($C453,Assumptions!$A$4:$F$7,5,FALSE),0)</f>
        <v/>
      </c>
      <c r="AB453" s="3">
        <f>N(U453)</f>
        <v/>
      </c>
      <c r="AC453" s="3">
        <f>SUM(W453:AB453)</f>
        <v/>
      </c>
      <c r="AD453" s="3">
        <f>N(AC453)*N(M453)/90</f>
        <v/>
      </c>
      <c r="AE453" s="3">
        <f>IFERROR(AD453-VLOOKUP($C453,Assumptions!$A$29:$C$32,3,FALSE),"")</f>
        <v/>
      </c>
      <c r="AF453" s="3">
        <f>IFERROR(AE453/F453,"")</f>
        <v/>
      </c>
      <c r="AG453">
        <f>IF(AND($E453=TRUE,$C453="GKP"),AD453,"")</f>
        <v/>
      </c>
      <c r="AH453">
        <f>IF(AND($E453=TRUE,$C453="DEF"),AD453,"")</f>
        <v/>
      </c>
      <c r="AI453">
        <f>IF(AND($E453=TRUE,$C453="MID"),AD453,"")</f>
        <v/>
      </c>
      <c r="AJ453">
        <f>IF(AND($E453=TRUE,$C453="FWD"),AD453,"")</f>
        <v/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b">
        <v>1</v>
      </c>
      <c r="F454" s="2" t="n">
        <v>4.5</v>
      </c>
      <c r="G454" t="inlineStr">
        <is>
          <t>a</t>
        </is>
      </c>
      <c r="I454" s="2" t="n">
        <v>0</v>
      </c>
      <c r="J454" t="n">
        <v>0</v>
      </c>
      <c r="K454" s="3" t="n">
        <v>3385</v>
      </c>
      <c r="L454" t="inlineStr">
        <is>
          <t>flat</t>
        </is>
      </c>
      <c r="M454" s="4" t="n">
        <v>0</v>
      </c>
      <c r="N454" s="4" t="n"/>
      <c r="O454" s="3" t="n"/>
      <c r="P454" t="inlineStr"/>
      <c r="Q454" s="3" t="n"/>
      <c r="R454" s="3" t="n"/>
      <c r="S454" s="3" t="n"/>
      <c r="T454" s="3" t="n">
        <v>0</v>
      </c>
      <c r="U454" s="3" t="n"/>
      <c r="V454" s="3" t="n"/>
      <c r="W454" s="3">
        <f>IF(V454="",IFERROR(VLOOKUP($C454,Assumptions!$A$4:$F$7,6,FALSE),0),V454)</f>
        <v/>
      </c>
      <c r="X454" s="3">
        <f>N(O454)*IFERROR(VLOOKUP($C454,Assumptions!$A$4:$F$7,2,FALSE),0)</f>
        <v/>
      </c>
      <c r="Y454" s="3">
        <f>N(S454)*IFERROR(VLOOKUP($C454,Assumptions!$A$4:$F$7,3,FALSE),0)*Assumptions!$B$11</f>
        <v/>
      </c>
      <c r="Z454" s="3">
        <f>N(N454)*IFERROR(VLOOKUP($C454,Assumptions!$A$4:$F$7,4,FALSE),0)</f>
        <v/>
      </c>
      <c r="AA454" s="3">
        <f>N(T454)*IFERROR(VLOOKUP($C454,Assumptions!$A$4:$F$7,5,FALSE),0)</f>
        <v/>
      </c>
      <c r="AB454" s="3">
        <f>N(U454)</f>
        <v/>
      </c>
      <c r="AC454" s="3">
        <f>SUM(W454:AB454)</f>
        <v/>
      </c>
      <c r="AD454" s="3">
        <f>N(AC454)*N(M454)/90</f>
        <v/>
      </c>
      <c r="AE454" s="3">
        <f>IFERROR(AD454-VLOOKUP($C454,Assumptions!$A$29:$C$32,3,FALSE),"")</f>
        <v/>
      </c>
      <c r="AF454" s="3">
        <f>IFERROR(AE454/F454,"")</f>
        <v/>
      </c>
      <c r="AG454">
        <f>IF(AND($E454=TRUE,$C454="GKP"),AD454,"")</f>
        <v/>
      </c>
      <c r="AH454">
        <f>IF(AND($E454=TRUE,$C454="DEF"),AD454,"")</f>
        <v/>
      </c>
      <c r="AI454">
        <f>IF(AND($E454=TRUE,$C454="MID"),AD454,"")</f>
        <v/>
      </c>
      <c r="AJ454">
        <f>IF(AND($E454=TRUE,$C454="FWD"),AD454,"")</f>
        <v/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b">
        <v>1</v>
      </c>
      <c r="F455" s="2" t="n">
        <v>4.5</v>
      </c>
      <c r="G455" t="inlineStr">
        <is>
          <t>i</t>
        </is>
      </c>
      <c r="H455" t="inlineStr">
        <is>
          <t>Thigh injury - Unknown return date</t>
        </is>
      </c>
      <c r="I455" s="2" t="n">
        <v>0</v>
      </c>
      <c r="J455" t="n">
        <v>0</v>
      </c>
      <c r="K455" s="3" t="n">
        <v>0</v>
      </c>
      <c r="L455" t="inlineStr">
        <is>
          <t>flat</t>
        </is>
      </c>
      <c r="M455" s="4" t="n">
        <v>0</v>
      </c>
      <c r="N455" s="4" t="n"/>
      <c r="O455" s="3" t="n"/>
      <c r="P455" t="inlineStr"/>
      <c r="Q455" s="3" t="n"/>
      <c r="R455" s="3" t="n"/>
      <c r="S455" s="3" t="n"/>
      <c r="T455" s="3" t="n"/>
      <c r="U455" s="3" t="n"/>
      <c r="V455" s="3" t="n"/>
      <c r="W455" s="3">
        <f>IF(V455="",IFERROR(VLOOKUP($C455,Assumptions!$A$4:$F$7,6,FALSE),0),V455)</f>
        <v/>
      </c>
      <c r="X455" s="3">
        <f>N(O455)*IFERROR(VLOOKUP($C455,Assumptions!$A$4:$F$7,2,FALSE),0)</f>
        <v/>
      </c>
      <c r="Y455" s="3">
        <f>N(S455)*IFERROR(VLOOKUP($C455,Assumptions!$A$4:$F$7,3,FALSE),0)*Assumptions!$B$11</f>
        <v/>
      </c>
      <c r="Z455" s="3">
        <f>N(N455)*IFERROR(VLOOKUP($C455,Assumptions!$A$4:$F$7,4,FALSE),0)</f>
        <v/>
      </c>
      <c r="AA455" s="3">
        <f>N(T455)*IFERROR(VLOOKUP($C455,Assumptions!$A$4:$F$7,5,FALSE),0)</f>
        <v/>
      </c>
      <c r="AB455" s="3">
        <f>N(U455)</f>
        <v/>
      </c>
      <c r="AC455" s="3">
        <f>SUM(W455:AB455)</f>
        <v/>
      </c>
      <c r="AD455" s="3">
        <f>N(AC455)*N(M455)/90</f>
        <v/>
      </c>
      <c r="AE455" s="3">
        <f>IFERROR(AD455-VLOOKUP($C455,Assumptions!$A$29:$C$32,3,FALSE),"")</f>
        <v/>
      </c>
      <c r="AF455" s="3">
        <f>IFERROR(AE455/F455,"")</f>
        <v/>
      </c>
      <c r="AG455">
        <f>IF(AND($E455=TRUE,$C455="GKP"),AD455,"")</f>
        <v/>
      </c>
      <c r="AH455">
        <f>IF(AND($E455=TRUE,$C455="DEF"),AD455,"")</f>
        <v/>
      </c>
      <c r="AI455">
        <f>IF(AND($E455=TRUE,$C455="MID"),AD455,"")</f>
        <v/>
      </c>
      <c r="AJ455">
        <f>IF(AND($E455=TRUE,$C455="FWD"),AD455,"")</f>
        <v/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b">
        <v>1</v>
      </c>
      <c r="F456" s="2" t="n">
        <v>5</v>
      </c>
      <c r="G456" t="inlineStr">
        <is>
          <t>a</t>
        </is>
      </c>
      <c r="I456" s="2" t="n">
        <v>0</v>
      </c>
      <c r="J456" t="n">
        <v>0</v>
      </c>
      <c r="K456" s="3" t="n">
        <v>0</v>
      </c>
      <c r="L456" t="inlineStr">
        <is>
          <t>flat</t>
        </is>
      </c>
      <c r="M456" s="4" t="n">
        <v>0</v>
      </c>
      <c r="N456" s="4" t="n">
        <v>0.237</v>
      </c>
      <c r="O456" s="3" t="n"/>
      <c r="P456" t="inlineStr"/>
      <c r="Q456" s="3" t="n"/>
      <c r="R456" s="3" t="n"/>
      <c r="S456" s="3" t="n"/>
      <c r="T456" s="3" t="n"/>
      <c r="U456" s="3" t="n"/>
      <c r="V456" s="3" t="n"/>
      <c r="W456" s="3">
        <f>IF(V456="",IFERROR(VLOOKUP($C456,Assumptions!$A$4:$F$7,6,FALSE),0),V456)</f>
        <v/>
      </c>
      <c r="X456" s="3">
        <f>N(O456)*IFERROR(VLOOKUP($C456,Assumptions!$A$4:$F$7,2,FALSE),0)</f>
        <v/>
      </c>
      <c r="Y456" s="3">
        <f>N(S456)*IFERROR(VLOOKUP($C456,Assumptions!$A$4:$F$7,3,FALSE),0)*Assumptions!$B$11</f>
        <v/>
      </c>
      <c r="Z456" s="3">
        <f>N(N456)*IFERROR(VLOOKUP($C456,Assumptions!$A$4:$F$7,4,FALSE),0)</f>
        <v/>
      </c>
      <c r="AA456" s="3">
        <f>N(T456)*IFERROR(VLOOKUP($C456,Assumptions!$A$4:$F$7,5,FALSE),0)</f>
        <v/>
      </c>
      <c r="AB456" s="3">
        <f>N(U456)</f>
        <v/>
      </c>
      <c r="AC456" s="3">
        <f>SUM(W456:AB456)</f>
        <v/>
      </c>
      <c r="AD456" s="3">
        <f>N(AC456)*N(M456)/90</f>
        <v/>
      </c>
      <c r="AE456" s="3">
        <f>IFERROR(AD456-VLOOKUP($C456,Assumptions!$A$29:$C$32,3,FALSE),"")</f>
        <v/>
      </c>
      <c r="AF456" s="3">
        <f>IFERROR(AE456/F456,"")</f>
        <v/>
      </c>
      <c r="AG456">
        <f>IF(AND($E456=TRUE,$C456="GKP"),AD456,"")</f>
        <v/>
      </c>
      <c r="AH456">
        <f>IF(AND($E456=TRUE,$C456="DEF"),AD456,"")</f>
        <v/>
      </c>
      <c r="AI456">
        <f>IF(AND($E456=TRUE,$C456="MID"),AD456,"")</f>
        <v/>
      </c>
      <c r="AJ456">
        <f>IF(AND($E456=TRUE,$C456="FWD"),AD456,"")</f>
        <v/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b">
        <v>1</v>
      </c>
      <c r="F457" s="2" t="n">
        <v>5.5</v>
      </c>
      <c r="G457" t="inlineStr">
        <is>
          <t>a</t>
        </is>
      </c>
      <c r="I457" s="2" t="n">
        <v>0</v>
      </c>
      <c r="J457" t="n">
        <v>0</v>
      </c>
      <c r="K457" s="3" t="n">
        <v>20</v>
      </c>
      <c r="L457" t="inlineStr">
        <is>
          <t>flat</t>
        </is>
      </c>
      <c r="M457" s="4" t="n">
        <v>0</v>
      </c>
      <c r="N457" s="4" t="n">
        <v>0.237</v>
      </c>
      <c r="O457" s="3" t="n"/>
      <c r="P457" t="inlineStr"/>
      <c r="Q457" s="3" t="n"/>
      <c r="R457" s="3" t="n"/>
      <c r="S457" s="3" t="n"/>
      <c r="T457" s="3" t="n"/>
      <c r="U457" s="3" t="n"/>
      <c r="V457" s="3" t="n"/>
      <c r="W457" s="3">
        <f>IF(V457="",IFERROR(VLOOKUP($C457,Assumptions!$A$4:$F$7,6,FALSE),0),V457)</f>
        <v/>
      </c>
      <c r="X457" s="3">
        <f>N(O457)*IFERROR(VLOOKUP($C457,Assumptions!$A$4:$F$7,2,FALSE),0)</f>
        <v/>
      </c>
      <c r="Y457" s="3">
        <f>N(S457)*IFERROR(VLOOKUP($C457,Assumptions!$A$4:$F$7,3,FALSE),0)*Assumptions!$B$11</f>
        <v/>
      </c>
      <c r="Z457" s="3">
        <f>N(N457)*IFERROR(VLOOKUP($C457,Assumptions!$A$4:$F$7,4,FALSE),0)</f>
        <v/>
      </c>
      <c r="AA457" s="3">
        <f>N(T457)*IFERROR(VLOOKUP($C457,Assumptions!$A$4:$F$7,5,FALSE),0)</f>
        <v/>
      </c>
      <c r="AB457" s="3">
        <f>N(U457)</f>
        <v/>
      </c>
      <c r="AC457" s="3">
        <f>SUM(W457:AB457)</f>
        <v/>
      </c>
      <c r="AD457" s="3">
        <f>N(AC457)*N(M457)/90</f>
        <v/>
      </c>
      <c r="AE457" s="3">
        <f>IFERROR(AD457-VLOOKUP($C457,Assumptions!$A$29:$C$32,3,FALSE),"")</f>
        <v/>
      </c>
      <c r="AF457" s="3">
        <f>IFERROR(AE457/F457,"")</f>
        <v/>
      </c>
      <c r="AG457">
        <f>IF(AND($E457=TRUE,$C457="GKP"),AD457,"")</f>
        <v/>
      </c>
      <c r="AH457">
        <f>IF(AND($E457=TRUE,$C457="DEF"),AD457,"")</f>
        <v/>
      </c>
      <c r="AI457">
        <f>IF(AND($E457=TRUE,$C457="MID"),AD457,"")</f>
        <v/>
      </c>
      <c r="AJ457">
        <f>IF(AND($E457=TRUE,$C457="FWD"),AD457,"")</f>
        <v/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b">
        <v>1</v>
      </c>
      <c r="F458" s="2" t="n">
        <v>4.5</v>
      </c>
      <c r="G458" t="inlineStr">
        <is>
          <t>a</t>
        </is>
      </c>
      <c r="I458" s="2" t="n">
        <v>0</v>
      </c>
      <c r="J458" t="n">
        <v>0</v>
      </c>
      <c r="K458" s="3" t="n">
        <v>0</v>
      </c>
      <c r="L458" t="inlineStr">
        <is>
          <t>flat</t>
        </is>
      </c>
      <c r="M458" s="4" t="n">
        <v>0</v>
      </c>
      <c r="N458" s="4" t="n">
        <v>0.237</v>
      </c>
      <c r="O458" s="3" t="n"/>
      <c r="P458" t="inlineStr"/>
      <c r="Q458" s="3" t="n"/>
      <c r="R458" s="3" t="n"/>
      <c r="S458" s="3" t="n"/>
      <c r="T458" s="3" t="n"/>
      <c r="U458" s="3" t="n"/>
      <c r="V458" s="3" t="n"/>
      <c r="W458" s="3">
        <f>IF(V458="",IFERROR(VLOOKUP($C458,Assumptions!$A$4:$F$7,6,FALSE),0),V458)</f>
        <v/>
      </c>
      <c r="X458" s="3">
        <f>N(O458)*IFERROR(VLOOKUP($C458,Assumptions!$A$4:$F$7,2,FALSE),0)</f>
        <v/>
      </c>
      <c r="Y458" s="3">
        <f>N(S458)*IFERROR(VLOOKUP($C458,Assumptions!$A$4:$F$7,3,FALSE),0)*Assumptions!$B$11</f>
        <v/>
      </c>
      <c r="Z458" s="3">
        <f>N(N458)*IFERROR(VLOOKUP($C458,Assumptions!$A$4:$F$7,4,FALSE),0)</f>
        <v/>
      </c>
      <c r="AA458" s="3">
        <f>N(T458)*IFERROR(VLOOKUP($C458,Assumptions!$A$4:$F$7,5,FALSE),0)</f>
        <v/>
      </c>
      <c r="AB458" s="3">
        <f>N(U458)</f>
        <v/>
      </c>
      <c r="AC458" s="3">
        <f>SUM(W458:AB458)</f>
        <v/>
      </c>
      <c r="AD458" s="3">
        <f>N(AC458)*N(M458)/90</f>
        <v/>
      </c>
      <c r="AE458" s="3">
        <f>IFERROR(AD458-VLOOKUP($C458,Assumptions!$A$29:$C$32,3,FALSE),"")</f>
        <v/>
      </c>
      <c r="AF458" s="3">
        <f>IFERROR(AE458/F458,"")</f>
        <v/>
      </c>
      <c r="AG458">
        <f>IF(AND($E458=TRUE,$C458="GKP"),AD458,"")</f>
        <v/>
      </c>
      <c r="AH458">
        <f>IF(AND($E458=TRUE,$C458="DEF"),AD458,"")</f>
        <v/>
      </c>
      <c r="AI458">
        <f>IF(AND($E458=TRUE,$C458="MID"),AD458,"")</f>
        <v/>
      </c>
      <c r="AJ458">
        <f>IF(AND($E458=TRUE,$C458="FWD"),AD458,"")</f>
        <v/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b">
        <v>1</v>
      </c>
      <c r="F459" s="2" t="n">
        <v>5</v>
      </c>
      <c r="G459" t="inlineStr">
        <is>
          <t>a</t>
        </is>
      </c>
      <c r="I459" s="2" t="n">
        <v>0</v>
      </c>
      <c r="J459" t="n">
        <v>0</v>
      </c>
      <c r="K459" s="3" t="n">
        <v>0</v>
      </c>
      <c r="L459" t="inlineStr">
        <is>
          <t>flat</t>
        </is>
      </c>
      <c r="M459" s="4" t="n">
        <v>0</v>
      </c>
      <c r="N459" s="4" t="n">
        <v>0.316</v>
      </c>
      <c r="O459" s="3" t="n"/>
      <c r="P459" t="inlineStr"/>
      <c r="Q459" s="3" t="n"/>
      <c r="R459" s="3" t="n"/>
      <c r="S459" s="3" t="n"/>
      <c r="T459" s="3" t="n"/>
      <c r="U459" s="3" t="n"/>
      <c r="V459" s="3" t="n"/>
      <c r="W459" s="3">
        <f>IF(V459="",IFERROR(VLOOKUP($C459,Assumptions!$A$4:$F$7,6,FALSE),0),V459)</f>
        <v/>
      </c>
      <c r="X459" s="3">
        <f>N(O459)*IFERROR(VLOOKUP($C459,Assumptions!$A$4:$F$7,2,FALSE),0)</f>
        <v/>
      </c>
      <c r="Y459" s="3">
        <f>N(S459)*IFERROR(VLOOKUP($C459,Assumptions!$A$4:$F$7,3,FALSE),0)*Assumptions!$B$11</f>
        <v/>
      </c>
      <c r="Z459" s="3">
        <f>N(N459)*IFERROR(VLOOKUP($C459,Assumptions!$A$4:$F$7,4,FALSE),0)</f>
        <v/>
      </c>
      <c r="AA459" s="3">
        <f>N(T459)*IFERROR(VLOOKUP($C459,Assumptions!$A$4:$F$7,5,FALSE),0)</f>
        <v/>
      </c>
      <c r="AB459" s="3">
        <f>N(U459)</f>
        <v/>
      </c>
      <c r="AC459" s="3">
        <f>SUM(W459:AB459)</f>
        <v/>
      </c>
      <c r="AD459" s="3">
        <f>N(AC459)*N(M459)/90</f>
        <v/>
      </c>
      <c r="AE459" s="3">
        <f>IFERROR(AD459-VLOOKUP($C459,Assumptions!$A$29:$C$32,3,FALSE),"")</f>
        <v/>
      </c>
      <c r="AF459" s="3">
        <f>IFERROR(AE459/F459,"")</f>
        <v/>
      </c>
      <c r="AG459">
        <f>IF(AND($E459=TRUE,$C459="GKP"),AD459,"")</f>
        <v/>
      </c>
      <c r="AH459">
        <f>IF(AND($E459=TRUE,$C459="DEF"),AD459,"")</f>
        <v/>
      </c>
      <c r="AI459">
        <f>IF(AND($E459=TRUE,$C459="MID"),AD459,"")</f>
        <v/>
      </c>
      <c r="AJ459">
        <f>IF(AND($E459=TRUE,$C459="FWD"),AD459,"")</f>
        <v/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b">
        <v>1</v>
      </c>
      <c r="F460" s="2" t="n">
        <v>5.5</v>
      </c>
      <c r="G460" t="inlineStr">
        <is>
          <t>a</t>
        </is>
      </c>
      <c r="I460" s="2" t="n">
        <v>0</v>
      </c>
      <c r="J460" t="n">
        <v>0</v>
      </c>
      <c r="K460" s="3" t="n">
        <v>0</v>
      </c>
      <c r="L460" t="inlineStr">
        <is>
          <t>flat</t>
        </is>
      </c>
      <c r="M460" s="4" t="n">
        <v>0</v>
      </c>
      <c r="N460" s="4" t="n">
        <v>0.5</v>
      </c>
      <c r="O460" s="3" t="n"/>
      <c r="P460" t="inlineStr"/>
      <c r="Q460" s="3" t="n"/>
      <c r="R460" s="3" t="n"/>
      <c r="S460" s="3" t="n"/>
      <c r="T460" s="3" t="n"/>
      <c r="U460" s="3" t="n"/>
      <c r="V460" s="3" t="n"/>
      <c r="W460" s="3">
        <f>IF(V460="",IFERROR(VLOOKUP($C460,Assumptions!$A$4:$F$7,6,FALSE),0),V460)</f>
        <v/>
      </c>
      <c r="X460" s="3">
        <f>N(O460)*IFERROR(VLOOKUP($C460,Assumptions!$A$4:$F$7,2,FALSE),0)</f>
        <v/>
      </c>
      <c r="Y460" s="3">
        <f>N(S460)*IFERROR(VLOOKUP($C460,Assumptions!$A$4:$F$7,3,FALSE),0)*Assumptions!$B$11</f>
        <v/>
      </c>
      <c r="Z460" s="3">
        <f>N(N460)*IFERROR(VLOOKUP($C460,Assumptions!$A$4:$F$7,4,FALSE),0)</f>
        <v/>
      </c>
      <c r="AA460" s="3">
        <f>N(T460)*IFERROR(VLOOKUP($C460,Assumptions!$A$4:$F$7,5,FALSE),0)</f>
        <v/>
      </c>
      <c r="AB460" s="3">
        <f>N(U460)</f>
        <v/>
      </c>
      <c r="AC460" s="3">
        <f>SUM(W460:AB460)</f>
        <v/>
      </c>
      <c r="AD460" s="3">
        <f>N(AC460)*N(M460)/90</f>
        <v/>
      </c>
      <c r="AE460" s="3">
        <f>IFERROR(AD460-VLOOKUP($C460,Assumptions!$A$29:$C$32,3,FALSE),"")</f>
        <v/>
      </c>
      <c r="AF460" s="3">
        <f>IFERROR(AE460/F460,"")</f>
        <v/>
      </c>
      <c r="AG460">
        <f>IF(AND($E460=TRUE,$C460="GKP"),AD460,"")</f>
        <v/>
      </c>
      <c r="AH460">
        <f>IF(AND($E460=TRUE,$C460="DEF"),AD460,"")</f>
        <v/>
      </c>
      <c r="AI460">
        <f>IF(AND($E460=TRUE,$C460="MID"),AD460,"")</f>
        <v/>
      </c>
      <c r="AJ460">
        <f>IF(AND($E460=TRUE,$C460="FWD"),AD460,"")</f>
        <v/>
      </c>
    </row>
    <row r="461">
      <c r="A461" t="inlineStr">
        <is>
          <t>James Milner</t>
        </is>
      </c>
      <c r="D461" t="inlineStr">
        <is>
          <t>MID</t>
        </is>
      </c>
      <c r="E461" t="b">
        <v>0</v>
      </c>
      <c r="F461" s="2" t="n"/>
      <c r="I461" s="2" t="n">
        <v>778</v>
      </c>
      <c r="K461" s="3" t="n"/>
      <c r="M461" s="4" t="n">
        <v>778</v>
      </c>
      <c r="N461" s="4" t="n"/>
      <c r="O461" s="3" t="n">
        <v>0.1109</v>
      </c>
      <c r="P461" t="inlineStr">
        <is>
          <t>adjusted xGOT</t>
        </is>
      </c>
      <c r="Q461" s="3" t="n">
        <v>0.931</v>
      </c>
      <c r="R461" s="3" t="n">
        <v>1.9</v>
      </c>
      <c r="S461" s="3" t="n">
        <v>0.07580000000000001</v>
      </c>
      <c r="T461" s="3" t="n">
        <v>0.286</v>
      </c>
      <c r="U461" s="3" t="n">
        <v>0</v>
      </c>
      <c r="V461" s="3" t="n">
        <v>3.123</v>
      </c>
      <c r="W461" s="3">
        <f>IF(V461="",IFERROR(VLOOKUP($C461,Assumptions!$A$4:$F$7,6,FALSE),0),V461)</f>
        <v/>
      </c>
      <c r="X461" s="3">
        <f>N(O461)*IFERROR(VLOOKUP($C461,Assumptions!$A$4:$F$7,2,FALSE),0)</f>
        <v/>
      </c>
      <c r="Y461" s="3">
        <f>N(S461)*IFERROR(VLOOKUP($C461,Assumptions!$A$4:$F$7,3,FALSE),0)*Assumptions!$B$11</f>
        <v/>
      </c>
      <c r="Z461" s="3">
        <f>N(N461)*IFERROR(VLOOKUP($C461,Assumptions!$A$4:$F$7,4,FALSE),0)</f>
        <v/>
      </c>
      <c r="AA461" s="3">
        <f>N(T461)*IFERROR(VLOOKUP($C461,Assumptions!$A$4:$F$7,5,FALSE),0)</f>
        <v/>
      </c>
      <c r="AB461" s="3">
        <f>N(U461)</f>
        <v/>
      </c>
      <c r="AC461" s="3">
        <f>SUM(W461:AB461)</f>
        <v/>
      </c>
      <c r="AD461" s="3">
        <f>N(AC461)*N(M461)/90</f>
        <v/>
      </c>
      <c r="AE461" s="3">
        <f>IFERROR(AD461-VLOOKUP($C461,Assumptions!$A$29:$C$32,3,FALSE),"")</f>
        <v/>
      </c>
      <c r="AF461" s="3">
        <f>IFERROR(AE461/F461,"")</f>
        <v/>
      </c>
      <c r="AG461">
        <f>IF(AND($E461=TRUE,$C461="GKP"),AD461,"")</f>
        <v/>
      </c>
      <c r="AH461">
        <f>IF(AND($E461=TRUE,$C461="DEF"),AD461,"")</f>
        <v/>
      </c>
      <c r="AI461">
        <f>IF(AND($E461=TRUE,$C461="MID"),AD461,"")</f>
        <v/>
      </c>
      <c r="AJ461">
        <f>IF(AND($E461=TRUE,$C461="FWD"),AD461,"")</f>
        <v/>
      </c>
    </row>
    <row r="462">
      <c r="A462" t="inlineStr">
        <is>
          <t>Ashley Barnes</t>
        </is>
      </c>
      <c r="D462" t="inlineStr">
        <is>
          <t>FWD</t>
        </is>
      </c>
      <c r="E462" t="b">
        <v>0</v>
      </c>
      <c r="F462" s="2" t="n"/>
      <c r="I462" s="2" t="n">
        <v>40</v>
      </c>
      <c r="K462" s="3" t="n"/>
      <c r="M462" s="4" t="n">
        <v>40</v>
      </c>
      <c r="N462" s="4" t="n"/>
      <c r="O462" s="3" t="n">
        <v>0.5738</v>
      </c>
      <c r="P462" t="inlineStr">
        <is>
          <t>adjusted xGOT</t>
        </is>
      </c>
      <c r="Q462" s="3" t="n">
        <v>1.018</v>
      </c>
      <c r="R462" s="3" t="n">
        <v>0.2</v>
      </c>
      <c r="S462" s="3" t="n">
        <v>0</v>
      </c>
      <c r="T462" s="3" t="n"/>
      <c r="U462" s="3" t="n">
        <v>0</v>
      </c>
      <c r="V462" s="3" t="n">
        <v>15.75</v>
      </c>
      <c r="W462" s="3">
        <f>IF(V462="",IFERROR(VLOOKUP($C462,Assumptions!$A$4:$F$7,6,FALSE),0),V462)</f>
        <v/>
      </c>
      <c r="X462" s="3">
        <f>N(O462)*IFERROR(VLOOKUP($C462,Assumptions!$A$4:$F$7,2,FALSE),0)</f>
        <v/>
      </c>
      <c r="Y462" s="3">
        <f>N(S462)*IFERROR(VLOOKUP($C462,Assumptions!$A$4:$F$7,3,FALSE),0)*Assumptions!$B$11</f>
        <v/>
      </c>
      <c r="Z462" s="3">
        <f>N(N462)*IFERROR(VLOOKUP($C462,Assumptions!$A$4:$F$7,4,FALSE),0)</f>
        <v/>
      </c>
      <c r="AA462" s="3">
        <f>N(T462)*IFERROR(VLOOKUP($C462,Assumptions!$A$4:$F$7,5,FALSE),0)</f>
        <v/>
      </c>
      <c r="AB462" s="3">
        <f>N(U462)</f>
        <v/>
      </c>
      <c r="AC462" s="3">
        <f>SUM(W462:AB462)</f>
        <v/>
      </c>
      <c r="AD462" s="3">
        <f>N(AC462)*N(M462)/90</f>
        <v/>
      </c>
      <c r="AE462" s="3">
        <f>IFERROR(AD462-VLOOKUP($C462,Assumptions!$A$29:$C$32,3,FALSE),"")</f>
        <v/>
      </c>
      <c r="AF462" s="3">
        <f>IFERROR(AE462/F462,"")</f>
        <v/>
      </c>
      <c r="AG462">
        <f>IF(AND($E462=TRUE,$C462="GKP"),AD462,"")</f>
        <v/>
      </c>
      <c r="AH462">
        <f>IF(AND($E462=TRUE,$C462="DEF"),AD462,"")</f>
        <v/>
      </c>
      <c r="AI462">
        <f>IF(AND($E462=TRUE,$C462="MID"),AD462,"")</f>
        <v/>
      </c>
      <c r="AJ462">
        <f>IF(AND($E462=TRUE,$C462="FWD"),AD462,"")</f>
        <v/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b">
        <v>1</v>
      </c>
      <c r="F463" s="2" t="n">
        <v>4</v>
      </c>
      <c r="G463" t="inlineStr">
        <is>
          <t>a</t>
        </is>
      </c>
      <c r="I463" s="2" t="n"/>
      <c r="K463" s="3" t="n">
        <v>0</v>
      </c>
      <c r="L463" t="inlineStr">
        <is>
          <t>flat</t>
        </is>
      </c>
      <c r="M463" s="4" t="n"/>
      <c r="N463" s="4" t="n"/>
      <c r="O463" s="3" t="n"/>
      <c r="P463" t="inlineStr"/>
      <c r="Q463" s="3" t="n"/>
      <c r="R463" s="3" t="n"/>
      <c r="S463" s="3" t="n"/>
      <c r="T463" s="3" t="n">
        <v>0</v>
      </c>
      <c r="U463" s="3" t="n"/>
      <c r="V463" s="3" t="n"/>
      <c r="W463" s="3">
        <f>IF(V463="",IFERROR(VLOOKUP($C463,Assumptions!$A$4:$F$7,6,FALSE),0),V463)</f>
        <v/>
      </c>
      <c r="X463" s="3">
        <f>N(O463)*IFERROR(VLOOKUP($C463,Assumptions!$A$4:$F$7,2,FALSE),0)</f>
        <v/>
      </c>
      <c r="Y463" s="3">
        <f>N(S463)*IFERROR(VLOOKUP($C463,Assumptions!$A$4:$F$7,3,FALSE),0)*Assumptions!$B$11</f>
        <v/>
      </c>
      <c r="Z463" s="3">
        <f>N(N463)*IFERROR(VLOOKUP($C463,Assumptions!$A$4:$F$7,4,FALSE),0)</f>
        <v/>
      </c>
      <c r="AA463" s="3">
        <f>N(T463)*IFERROR(VLOOKUP($C463,Assumptions!$A$4:$F$7,5,FALSE),0)</f>
        <v/>
      </c>
      <c r="AB463" s="3">
        <f>N(U463)</f>
        <v/>
      </c>
      <c r="AC463" s="3">
        <f>SUM(W463:AB463)</f>
        <v/>
      </c>
      <c r="AD463" s="3">
        <f>N(AC463)*N(M463)/90</f>
        <v/>
      </c>
      <c r="AE463" s="3">
        <f>IFERROR(AD463-VLOOKUP($C463,Assumptions!$A$29:$C$32,3,FALSE),"")</f>
        <v/>
      </c>
      <c r="AF463" s="3">
        <f>IFERROR(AE463/F463,"")</f>
        <v/>
      </c>
      <c r="AG463">
        <f>IF(AND($E463=TRUE,$C463="GKP"),AD463,"")</f>
        <v/>
      </c>
      <c r="AH463">
        <f>IF(AND($E463=TRUE,$C463="DEF"),AD463,"")</f>
        <v/>
      </c>
      <c r="AI463">
        <f>IF(AND($E463=TRUE,$C463="MID"),AD463,"")</f>
        <v/>
      </c>
      <c r="AJ463">
        <f>IF(AND($E463=TRUE,$C463="FWD"),AD463,"")</f>
        <v/>
      </c>
    </row>
    <row r="464">
      <c r="A464" t="inlineStr">
        <is>
          <t>Nathaniel Clyne</t>
        </is>
      </c>
      <c r="D464" t="inlineStr">
        <is>
          <t>DEF</t>
        </is>
      </c>
      <c r="E464" t="b">
        <v>0</v>
      </c>
      <c r="F464" s="2" t="n"/>
      <c r="I464" s="2" t="n">
        <v>596</v>
      </c>
      <c r="K464" s="3" t="n"/>
      <c r="M464" s="4" t="n">
        <v>596</v>
      </c>
      <c r="N464" s="4" t="n"/>
      <c r="O464" s="3" t="n">
        <v>0.0599</v>
      </c>
      <c r="P464" t="inlineStr">
        <is>
          <t>adjusted xGOT</t>
        </is>
      </c>
      <c r="Q464" s="3" t="n">
        <v>0.924</v>
      </c>
      <c r="R464" s="3" t="n">
        <v>0.7</v>
      </c>
      <c r="S464" s="3" t="n">
        <v>0.1019</v>
      </c>
      <c r="T464" s="3" t="n">
        <v>0</v>
      </c>
      <c r="U464" s="3" t="n">
        <v>0.302</v>
      </c>
      <c r="V464" s="3" t="n">
        <v>2.416</v>
      </c>
      <c r="W464" s="3">
        <f>IF(V464="",IFERROR(VLOOKUP($C464,Assumptions!$A$4:$F$7,6,FALSE),0),V464)</f>
        <v/>
      </c>
      <c r="X464" s="3">
        <f>N(O464)*IFERROR(VLOOKUP($C464,Assumptions!$A$4:$F$7,2,FALSE),0)</f>
        <v/>
      </c>
      <c r="Y464" s="3">
        <f>N(S464)*IFERROR(VLOOKUP($C464,Assumptions!$A$4:$F$7,3,FALSE),0)*Assumptions!$B$11</f>
        <v/>
      </c>
      <c r="Z464" s="3">
        <f>N(N464)*IFERROR(VLOOKUP($C464,Assumptions!$A$4:$F$7,4,FALSE),0)</f>
        <v/>
      </c>
      <c r="AA464" s="3">
        <f>N(T464)*IFERROR(VLOOKUP($C464,Assumptions!$A$4:$F$7,5,FALSE),0)</f>
        <v/>
      </c>
      <c r="AB464" s="3">
        <f>N(U464)</f>
        <v/>
      </c>
      <c r="AC464" s="3">
        <f>SUM(W464:AB464)</f>
        <v/>
      </c>
      <c r="AD464" s="3">
        <f>N(AC464)*N(M464)/90</f>
        <v/>
      </c>
      <c r="AE464" s="3">
        <f>IFERROR(AD464-VLOOKUP($C464,Assumptions!$A$29:$C$32,3,FALSE),"")</f>
        <v/>
      </c>
      <c r="AF464" s="3">
        <f>IFERROR(AE464/F464,"")</f>
        <v/>
      </c>
      <c r="AG464">
        <f>IF(AND($E464=TRUE,$C464="GKP"),AD464,"")</f>
        <v/>
      </c>
      <c r="AH464">
        <f>IF(AND($E464=TRUE,$C464="DEF"),AD464,"")</f>
        <v/>
      </c>
      <c r="AI464">
        <f>IF(AND($E464=TRUE,$C464="MID"),AD464,"")</f>
        <v/>
      </c>
      <c r="AJ464">
        <f>IF(AND($E464=TRUE,$C464="FWD"),AD464,"")</f>
        <v/>
      </c>
    </row>
    <row r="465">
      <c r="A465" t="inlineStr">
        <is>
          <t>Kyle Walker</t>
        </is>
      </c>
      <c r="D465" t="inlineStr">
        <is>
          <t>DEF</t>
        </is>
      </c>
      <c r="E465" t="b">
        <v>0</v>
      </c>
      <c r="F465" s="2" t="n"/>
      <c r="I465" s="2" t="n">
        <v>3097</v>
      </c>
      <c r="K465" s="3" t="n"/>
      <c r="M465" s="4" t="n">
        <v>3097</v>
      </c>
      <c r="N465" s="4" t="n"/>
      <c r="O465" s="3" t="n">
        <v>0.004</v>
      </c>
      <c r="P465" t="inlineStr">
        <is>
          <t>adjusted xGOT</t>
        </is>
      </c>
      <c r="Q465" s="3" t="n">
        <v>0.916</v>
      </c>
      <c r="R465" s="3" t="n">
        <v>1.1</v>
      </c>
      <c r="S465" s="3" t="n">
        <v>0.0484</v>
      </c>
      <c r="T465" s="3" t="n">
        <v>0.114</v>
      </c>
      <c r="U465" s="3" t="n">
        <v>0.0872</v>
      </c>
      <c r="V465" s="3" t="n">
        <v>2.034</v>
      </c>
      <c r="W465" s="3">
        <f>IF(V465="",IFERROR(VLOOKUP($C465,Assumptions!$A$4:$F$7,6,FALSE),0),V465)</f>
        <v/>
      </c>
      <c r="X465" s="3">
        <f>N(O465)*IFERROR(VLOOKUP($C465,Assumptions!$A$4:$F$7,2,FALSE),0)</f>
        <v/>
      </c>
      <c r="Y465" s="3">
        <f>N(S465)*IFERROR(VLOOKUP($C465,Assumptions!$A$4:$F$7,3,FALSE),0)*Assumptions!$B$11</f>
        <v/>
      </c>
      <c r="Z465" s="3">
        <f>N(N465)*IFERROR(VLOOKUP($C465,Assumptions!$A$4:$F$7,4,FALSE),0)</f>
        <v/>
      </c>
      <c r="AA465" s="3">
        <f>N(T465)*IFERROR(VLOOKUP($C465,Assumptions!$A$4:$F$7,5,FALSE),0)</f>
        <v/>
      </c>
      <c r="AB465" s="3">
        <f>N(U465)</f>
        <v/>
      </c>
      <c r="AC465" s="3">
        <f>SUM(W465:AB465)</f>
        <v/>
      </c>
      <c r="AD465" s="3">
        <f>N(AC465)*N(M465)/90</f>
        <v/>
      </c>
      <c r="AE465" s="3">
        <f>IFERROR(AD465-VLOOKUP($C465,Assumptions!$A$29:$C$32,3,FALSE),"")</f>
        <v/>
      </c>
      <c r="AF465" s="3">
        <f>IFERROR(AE465/F465,"")</f>
        <v/>
      </c>
      <c r="AG465">
        <f>IF(AND($E465=TRUE,$C465="GKP"),AD465,"")</f>
        <v/>
      </c>
      <c r="AH465">
        <f>IF(AND($E465=TRUE,$C465="DEF"),AD465,"")</f>
        <v/>
      </c>
      <c r="AI465">
        <f>IF(AND($E465=TRUE,$C465="MID"),AD465,"")</f>
        <v/>
      </c>
      <c r="AJ465">
        <f>IF(AND($E465=TRUE,$C465="FWD"),AD465,"")</f>
        <v/>
      </c>
    </row>
    <row r="466">
      <c r="A466" t="inlineStr">
        <is>
          <t>Séamus Coleman</t>
        </is>
      </c>
      <c r="D466" t="inlineStr">
        <is>
          <t>DEF</t>
        </is>
      </c>
      <c r="E466" t="b">
        <v>0</v>
      </c>
      <c r="F466" s="2" t="n"/>
      <c r="I466" s="2" t="n">
        <v>20</v>
      </c>
      <c r="K466" s="3" t="n"/>
      <c r="M466" s="4" t="n">
        <v>20</v>
      </c>
      <c r="N466" s="4" t="n"/>
      <c r="O466" s="3" t="n">
        <v>0</v>
      </c>
      <c r="P466" t="inlineStr">
        <is>
          <t>adjusted xGOT</t>
        </is>
      </c>
      <c r="Q466" s="3" t="n">
        <v>0.93</v>
      </c>
      <c r="R466" s="3" t="n">
        <v>0.9</v>
      </c>
      <c r="S466" s="3" t="n">
        <v>0.1706</v>
      </c>
      <c r="T466" s="3" t="n">
        <v>0</v>
      </c>
      <c r="U466" s="3" t="n">
        <v>0</v>
      </c>
      <c r="V466" s="3" t="n">
        <v>22.5</v>
      </c>
      <c r="W466" s="3">
        <f>IF(V466="",IFERROR(VLOOKUP($C466,Assumptions!$A$4:$F$7,6,FALSE),0),V466)</f>
        <v/>
      </c>
      <c r="X466" s="3">
        <f>N(O466)*IFERROR(VLOOKUP($C466,Assumptions!$A$4:$F$7,2,FALSE),0)</f>
        <v/>
      </c>
      <c r="Y466" s="3">
        <f>N(S466)*IFERROR(VLOOKUP($C466,Assumptions!$A$4:$F$7,3,FALSE),0)*Assumptions!$B$11</f>
        <v/>
      </c>
      <c r="Z466" s="3">
        <f>N(N466)*IFERROR(VLOOKUP($C466,Assumptions!$A$4:$F$7,4,FALSE),0)</f>
        <v/>
      </c>
      <c r="AA466" s="3">
        <f>N(T466)*IFERROR(VLOOKUP($C466,Assumptions!$A$4:$F$7,5,FALSE),0)</f>
        <v/>
      </c>
      <c r="AB466" s="3">
        <f>N(U466)</f>
        <v/>
      </c>
      <c r="AC466" s="3">
        <f>SUM(W466:AB466)</f>
        <v/>
      </c>
      <c r="AD466" s="3">
        <f>N(AC466)*N(M466)/90</f>
        <v/>
      </c>
      <c r="AE466" s="3">
        <f>IFERROR(AD466-VLOOKUP($C466,Assumptions!$A$29:$C$32,3,FALSE),"")</f>
        <v/>
      </c>
      <c r="AF466" s="3">
        <f>IFERROR(AE466/F466,"")</f>
        <v/>
      </c>
      <c r="AG466">
        <f>IF(AND($E466=TRUE,$C466="GKP"),AD466,"")</f>
        <v/>
      </c>
      <c r="AH466">
        <f>IF(AND($E466=TRUE,$C466="DEF"),AD466,"")</f>
        <v/>
      </c>
      <c r="AI466">
        <f>IF(AND($E466=TRUE,$C466="MID"),AD466,"")</f>
        <v/>
      </c>
      <c r="AJ466">
        <f>IF(AND($E466=TRUE,$C466="FWD"),AD466,"")</f>
        <v/>
      </c>
    </row>
    <row r="467">
      <c r="A467" t="inlineStr">
        <is>
          <t>Casemiro</t>
        </is>
      </c>
      <c r="D467" t="inlineStr">
        <is>
          <t>MID</t>
        </is>
      </c>
      <c r="E467" t="b">
        <v>0</v>
      </c>
      <c r="F467" s="2" t="n"/>
      <c r="I467" s="2" t="n">
        <v>2588</v>
      </c>
      <c r="K467" s="3" t="n"/>
      <c r="M467" s="4" t="n">
        <v>2588</v>
      </c>
      <c r="N467" s="4" t="n"/>
      <c r="O467" s="3" t="n">
        <v>0.1734</v>
      </c>
      <c r="P467" t="inlineStr">
        <is>
          <t>adjusted xGOT</t>
        </is>
      </c>
      <c r="Q467" s="3" t="n">
        <v>0.916</v>
      </c>
      <c r="R467" s="3" t="n">
        <v>14.4</v>
      </c>
      <c r="S467" s="3" t="n">
        <v>0.1105</v>
      </c>
      <c r="T467" s="3" t="n">
        <v>0.545</v>
      </c>
      <c r="U467" s="3" t="n">
        <v>0.6955</v>
      </c>
      <c r="V467" s="3" t="n">
        <v>2.191</v>
      </c>
      <c r="W467" s="3">
        <f>IF(V467="",IFERROR(VLOOKUP($C467,Assumptions!$A$4:$F$7,6,FALSE),0),V467)</f>
        <v/>
      </c>
      <c r="X467" s="3">
        <f>N(O467)*IFERROR(VLOOKUP($C467,Assumptions!$A$4:$F$7,2,FALSE),0)</f>
        <v/>
      </c>
      <c r="Y467" s="3">
        <f>N(S467)*IFERROR(VLOOKUP($C467,Assumptions!$A$4:$F$7,3,FALSE),0)*Assumptions!$B$11</f>
        <v/>
      </c>
      <c r="Z467" s="3">
        <f>N(N467)*IFERROR(VLOOKUP($C467,Assumptions!$A$4:$F$7,4,FALSE),0)</f>
        <v/>
      </c>
      <c r="AA467" s="3">
        <f>N(T467)*IFERROR(VLOOKUP($C467,Assumptions!$A$4:$F$7,5,FALSE),0)</f>
        <v/>
      </c>
      <c r="AB467" s="3">
        <f>N(U467)</f>
        <v/>
      </c>
      <c r="AC467" s="3">
        <f>SUM(W467:AB467)</f>
        <v/>
      </c>
      <c r="AD467" s="3">
        <f>N(AC467)*N(M467)/90</f>
        <v/>
      </c>
      <c r="AE467" s="3">
        <f>IFERROR(AD467-VLOOKUP($C467,Assumptions!$A$29:$C$32,3,FALSE),"")</f>
        <v/>
      </c>
      <c r="AF467" s="3">
        <f>IFERROR(AE467/F467,"")</f>
        <v/>
      </c>
      <c r="AG467">
        <f>IF(AND($E467=TRUE,$C467="GKP"),AD467,"")</f>
        <v/>
      </c>
      <c r="AH467">
        <f>IF(AND($E467=TRUE,$C467="DEF"),AD467,"")</f>
        <v/>
      </c>
      <c r="AI467">
        <f>IF(AND($E467=TRUE,$C467="MID"),AD467,"")</f>
        <v/>
      </c>
      <c r="AJ467">
        <f>IF(AND($E467=TRUE,$C467="FWD"),AD467,"")</f>
        <v/>
      </c>
    </row>
    <row r="468">
      <c r="A468" t="inlineStr">
        <is>
          <t>Kieran Trippier</t>
        </is>
      </c>
      <c r="D468" t="inlineStr">
        <is>
          <t>DEF</t>
        </is>
      </c>
      <c r="E468" t="b">
        <v>0</v>
      </c>
      <c r="F468" s="2" t="n"/>
      <c r="I468" s="2" t="n">
        <v>1592</v>
      </c>
      <c r="K468" s="3" t="n"/>
      <c r="M468" s="4" t="n">
        <v>1592</v>
      </c>
      <c r="N468" s="4" t="n"/>
      <c r="O468" s="3" t="n">
        <v>0.0047</v>
      </c>
      <c r="P468" t="inlineStr">
        <is>
          <t>adjusted xGOT</t>
        </is>
      </c>
      <c r="Q468" s="3" t="n">
        <v>1.052</v>
      </c>
      <c r="R468" s="3" t="n">
        <v>1.7</v>
      </c>
      <c r="S468" s="3" t="n">
        <v>0.1029</v>
      </c>
      <c r="T468" s="3" t="n">
        <v>0.056</v>
      </c>
      <c r="U468" s="3" t="n">
        <v>0.1131</v>
      </c>
      <c r="V468" s="3" t="n">
        <v>2.205</v>
      </c>
      <c r="W468" s="3">
        <f>IF(V468="",IFERROR(VLOOKUP($C468,Assumptions!$A$4:$F$7,6,FALSE),0),V468)</f>
        <v/>
      </c>
      <c r="X468" s="3">
        <f>N(O468)*IFERROR(VLOOKUP($C468,Assumptions!$A$4:$F$7,2,FALSE),0)</f>
        <v/>
      </c>
      <c r="Y468" s="3">
        <f>N(S468)*IFERROR(VLOOKUP($C468,Assumptions!$A$4:$F$7,3,FALSE),0)*Assumptions!$B$11</f>
        <v/>
      </c>
      <c r="Z468" s="3">
        <f>N(N468)*IFERROR(VLOOKUP($C468,Assumptions!$A$4:$F$7,4,FALSE),0)</f>
        <v/>
      </c>
      <c r="AA468" s="3">
        <f>N(T468)*IFERROR(VLOOKUP($C468,Assumptions!$A$4:$F$7,5,FALSE),0)</f>
        <v/>
      </c>
      <c r="AB468" s="3">
        <f>N(U468)</f>
        <v/>
      </c>
      <c r="AC468" s="3">
        <f>SUM(W468:AB468)</f>
        <v/>
      </c>
      <c r="AD468" s="3">
        <f>N(AC468)*N(M468)/90</f>
        <v/>
      </c>
      <c r="AE468" s="3">
        <f>IFERROR(AD468-VLOOKUP($C468,Assumptions!$A$29:$C$32,3,FALSE),"")</f>
        <v/>
      </c>
      <c r="AF468" s="3">
        <f>IFERROR(AE468/F468,"")</f>
        <v/>
      </c>
      <c r="AG468">
        <f>IF(AND($E468=TRUE,$C468="GKP"),AD468,"")</f>
        <v/>
      </c>
      <c r="AH468">
        <f>IF(AND($E468=TRUE,$C468="DEF"),AD468,"")</f>
        <v/>
      </c>
      <c r="AI468">
        <f>IF(AND($E468=TRUE,$C468="MID"),AD468,"")</f>
        <v/>
      </c>
      <c r="AJ468">
        <f>IF(AND($E468=TRUE,$C468="FWD"),AD468,"")</f>
        <v/>
      </c>
    </row>
    <row r="469">
      <c r="A469" t="inlineStr">
        <is>
          <t>Dan Bentley</t>
        </is>
      </c>
      <c r="D469" t="inlineStr">
        <is>
          <t>GKP</t>
        </is>
      </c>
      <c r="E469" t="b">
        <v>0</v>
      </c>
      <c r="F469" s="2" t="n"/>
      <c r="I469" s="2" t="n">
        <v>270</v>
      </c>
      <c r="K469" s="3" t="n"/>
      <c r="M469" s="4" t="n">
        <v>270</v>
      </c>
      <c r="N469" s="4" t="n"/>
      <c r="O469" s="3" t="n">
        <v>0</v>
      </c>
      <c r="P469" t="inlineStr">
        <is>
          <t>blended xG</t>
        </is>
      </c>
      <c r="Q469" s="3" t="n">
        <v>1</v>
      </c>
      <c r="R469" s="3" t="n">
        <v>0</v>
      </c>
      <c r="S469" s="3" t="n">
        <v>0</v>
      </c>
      <c r="T469" s="3" t="n">
        <v>0</v>
      </c>
      <c r="U469" s="3" t="n">
        <v>0</v>
      </c>
      <c r="V469" s="3" t="n">
        <v>2</v>
      </c>
      <c r="W469" s="3">
        <f>IF(V469="",IFERROR(VLOOKUP($C469,Assumptions!$A$4:$F$7,6,FALSE),0),V469)</f>
        <v/>
      </c>
      <c r="X469" s="3">
        <f>N(O469)*IFERROR(VLOOKUP($C469,Assumptions!$A$4:$F$7,2,FALSE),0)</f>
        <v/>
      </c>
      <c r="Y469" s="3">
        <f>N(S469)*IFERROR(VLOOKUP($C469,Assumptions!$A$4:$F$7,3,FALSE),0)*Assumptions!$B$11</f>
        <v/>
      </c>
      <c r="Z469" s="3">
        <f>N(N469)*IFERROR(VLOOKUP($C469,Assumptions!$A$4:$F$7,4,FALSE),0)</f>
        <v/>
      </c>
      <c r="AA469" s="3">
        <f>N(T469)*IFERROR(VLOOKUP($C469,Assumptions!$A$4:$F$7,5,FALSE),0)</f>
        <v/>
      </c>
      <c r="AB469" s="3">
        <f>N(U469)</f>
        <v/>
      </c>
      <c r="AC469" s="3">
        <f>SUM(W469:AB469)</f>
        <v/>
      </c>
      <c r="AD469" s="3">
        <f>N(AC469)*N(M469)/90</f>
        <v/>
      </c>
      <c r="AE469" s="3">
        <f>IFERROR(AD469-VLOOKUP($C469,Assumptions!$A$29:$C$32,3,FALSE),"")</f>
        <v/>
      </c>
      <c r="AF469" s="3">
        <f>IFERROR(AE469/F469,"")</f>
        <v/>
      </c>
      <c r="AG469">
        <f>IF(AND($E469=TRUE,$C469="GKP"),AD469,"")</f>
        <v/>
      </c>
      <c r="AH469">
        <f>IF(AND($E469=TRUE,$C469="DEF"),AD469,"")</f>
        <v/>
      </c>
      <c r="AI469">
        <f>IF(AND($E469=TRUE,$C469="MID"),AD469,"")</f>
        <v/>
      </c>
      <c r="AJ469">
        <f>IF(AND($E469=TRUE,$C469="FWD"),AD469,"")</f>
        <v/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b">
        <v>1</v>
      </c>
      <c r="F470" s="2" t="n">
        <v>4</v>
      </c>
      <c r="G470" t="inlineStr">
        <is>
          <t>a</t>
        </is>
      </c>
      <c r="I470" s="2" t="n"/>
      <c r="K470" s="3" t="n">
        <v>65</v>
      </c>
      <c r="L470" t="inlineStr">
        <is>
          <t>flat</t>
        </is>
      </c>
      <c r="M470" s="4" t="n"/>
      <c r="N470" s="4" t="n"/>
      <c r="O470" s="3" t="n"/>
      <c r="P470" t="inlineStr"/>
      <c r="Q470" s="3" t="n"/>
      <c r="R470" s="3" t="n"/>
      <c r="S470" s="3" t="n"/>
      <c r="T470" s="3" t="n"/>
      <c r="U470" s="3" t="n"/>
      <c r="V470" s="3" t="n"/>
      <c r="W470" s="3">
        <f>IF(V470="",IFERROR(VLOOKUP($C470,Assumptions!$A$4:$F$7,6,FALSE),0),V470)</f>
        <v/>
      </c>
      <c r="X470" s="3">
        <f>N(O470)*IFERROR(VLOOKUP($C470,Assumptions!$A$4:$F$7,2,FALSE),0)</f>
        <v/>
      </c>
      <c r="Y470" s="3">
        <f>N(S470)*IFERROR(VLOOKUP($C470,Assumptions!$A$4:$F$7,3,FALSE),0)*Assumptions!$B$11</f>
        <v/>
      </c>
      <c r="Z470" s="3">
        <f>N(N470)*IFERROR(VLOOKUP($C470,Assumptions!$A$4:$F$7,4,FALSE),0)</f>
        <v/>
      </c>
      <c r="AA470" s="3">
        <f>N(T470)*IFERROR(VLOOKUP($C470,Assumptions!$A$4:$F$7,5,FALSE),0)</f>
        <v/>
      </c>
      <c r="AB470" s="3">
        <f>N(U470)</f>
        <v/>
      </c>
      <c r="AC470" s="3">
        <f>SUM(W470:AB470)</f>
        <v/>
      </c>
      <c r="AD470" s="3">
        <f>N(AC470)*N(M470)/90</f>
        <v/>
      </c>
      <c r="AE470" s="3">
        <f>IFERROR(AD470-VLOOKUP($C470,Assumptions!$A$29:$C$32,3,FALSE),"")</f>
        <v/>
      </c>
      <c r="AF470" s="3">
        <f>IFERROR(AE470/F470,"")</f>
        <v/>
      </c>
      <c r="AG470">
        <f>IF(AND($E470=TRUE,$C470="GKP"),AD470,"")</f>
        <v/>
      </c>
      <c r="AH470">
        <f>IF(AND($E470=TRUE,$C470="DEF"),AD470,"")</f>
        <v/>
      </c>
      <c r="AI470">
        <f>IF(AND($E470=TRUE,$C470="MID"),AD470,"")</f>
        <v/>
      </c>
      <c r="AJ470">
        <f>IF(AND($E470=TRUE,$C470="FWD"),AD470,"")</f>
        <v/>
      </c>
    </row>
    <row r="471">
      <c r="A471" t="inlineStr">
        <is>
          <t>Idrissa Gueye</t>
        </is>
      </c>
      <c r="D471" t="inlineStr">
        <is>
          <t>MID</t>
        </is>
      </c>
      <c r="E471" t="b">
        <v>0</v>
      </c>
      <c r="F471" s="2" t="n"/>
      <c r="I471" s="2" t="n">
        <v>2101</v>
      </c>
      <c r="K471" s="3" t="n"/>
      <c r="M471" s="4" t="n">
        <v>2101</v>
      </c>
      <c r="N471" s="4" t="n"/>
      <c r="O471" s="3" t="n">
        <v>0.08790000000000001</v>
      </c>
      <c r="P471" t="inlineStr">
        <is>
          <t>adjusted xGOT</t>
        </is>
      </c>
      <c r="Q471" s="3" t="n">
        <v>1.03</v>
      </c>
      <c r="R471" s="3" t="n">
        <v>5.1</v>
      </c>
      <c r="S471" s="3" t="n">
        <v>0.0726</v>
      </c>
      <c r="T471" s="3" t="n">
        <v>0.36</v>
      </c>
      <c r="U471" s="3" t="n">
        <v>0.1713</v>
      </c>
      <c r="V471" s="3" t="n">
        <v>2.099</v>
      </c>
      <c r="W471" s="3">
        <f>IF(V471="",IFERROR(VLOOKUP($C471,Assumptions!$A$4:$F$7,6,FALSE),0),V471)</f>
        <v/>
      </c>
      <c r="X471" s="3">
        <f>N(O471)*IFERROR(VLOOKUP($C471,Assumptions!$A$4:$F$7,2,FALSE),0)</f>
        <v/>
      </c>
      <c r="Y471" s="3">
        <f>N(S471)*IFERROR(VLOOKUP($C471,Assumptions!$A$4:$F$7,3,FALSE),0)*Assumptions!$B$11</f>
        <v/>
      </c>
      <c r="Z471" s="3">
        <f>N(N471)*IFERROR(VLOOKUP($C471,Assumptions!$A$4:$F$7,4,FALSE),0)</f>
        <v/>
      </c>
      <c r="AA471" s="3">
        <f>N(T471)*IFERROR(VLOOKUP($C471,Assumptions!$A$4:$F$7,5,FALSE),0)</f>
        <v/>
      </c>
      <c r="AB471" s="3">
        <f>N(U471)</f>
        <v/>
      </c>
      <c r="AC471" s="3">
        <f>SUM(W471:AB471)</f>
        <v/>
      </c>
      <c r="AD471" s="3">
        <f>N(AC471)*N(M471)/90</f>
        <v/>
      </c>
      <c r="AE471" s="3">
        <f>IFERROR(AD471-VLOOKUP($C471,Assumptions!$A$29:$C$32,3,FALSE),"")</f>
        <v/>
      </c>
      <c r="AF471" s="3">
        <f>IFERROR(AE471/F471,"")</f>
        <v/>
      </c>
      <c r="AG471">
        <f>IF(AND($E471=TRUE,$C471="GKP"),AD471,"")</f>
        <v/>
      </c>
      <c r="AH471">
        <f>IF(AND($E471=TRUE,$C471="DEF"),AD471,"")</f>
        <v/>
      </c>
      <c r="AI471">
        <f>IF(AND($E471=TRUE,$C471="MID"),AD471,"")</f>
        <v/>
      </c>
      <c r="AJ471">
        <f>IF(AND($E471=TRUE,$C471="FWD"),AD471,"")</f>
        <v/>
      </c>
    </row>
    <row r="472">
      <c r="A472" t="inlineStr">
        <is>
          <t>Alphonse Areola</t>
        </is>
      </c>
      <c r="D472" t="inlineStr">
        <is>
          <t>GKP</t>
        </is>
      </c>
      <c r="E472" t="b">
        <v>0</v>
      </c>
      <c r="F472" s="2" t="n"/>
      <c r="I472" s="2" t="n">
        <v>1800</v>
      </c>
      <c r="K472" s="3" t="n"/>
      <c r="M472" s="4" t="n">
        <v>1800</v>
      </c>
      <c r="N472" s="4" t="n"/>
      <c r="O472" s="3" t="n">
        <v>0</v>
      </c>
      <c r="P472" t="inlineStr">
        <is>
          <t>blended xG</t>
        </is>
      </c>
      <c r="Q472" s="3" t="n">
        <v>1</v>
      </c>
      <c r="R472" s="3" t="n">
        <v>0</v>
      </c>
      <c r="S472" s="3" t="n">
        <v>0.0011</v>
      </c>
      <c r="T472" s="3" t="n">
        <v>0</v>
      </c>
      <c r="U472" s="3" t="n">
        <v>0.1</v>
      </c>
      <c r="V472" s="3" t="n">
        <v>2</v>
      </c>
      <c r="W472" s="3">
        <f>IF(V472="",IFERROR(VLOOKUP($C472,Assumptions!$A$4:$F$7,6,FALSE),0),V472)</f>
        <v/>
      </c>
      <c r="X472" s="3">
        <f>N(O472)*IFERROR(VLOOKUP($C472,Assumptions!$A$4:$F$7,2,FALSE),0)</f>
        <v/>
      </c>
      <c r="Y472" s="3">
        <f>N(S472)*IFERROR(VLOOKUP($C472,Assumptions!$A$4:$F$7,3,FALSE),0)*Assumptions!$B$11</f>
        <v/>
      </c>
      <c r="Z472" s="3">
        <f>N(N472)*IFERROR(VLOOKUP($C472,Assumptions!$A$4:$F$7,4,FALSE),0)</f>
        <v/>
      </c>
      <c r="AA472" s="3">
        <f>N(T472)*IFERROR(VLOOKUP($C472,Assumptions!$A$4:$F$7,5,FALSE),0)</f>
        <v/>
      </c>
      <c r="AB472" s="3">
        <f>N(U472)</f>
        <v/>
      </c>
      <c r="AC472" s="3">
        <f>SUM(W472:AB472)</f>
        <v/>
      </c>
      <c r="AD472" s="3">
        <f>N(AC472)*N(M472)/90</f>
        <v/>
      </c>
      <c r="AE472" s="3">
        <f>IFERROR(AD472-VLOOKUP($C472,Assumptions!$A$29:$C$32,3,FALSE),"")</f>
        <v/>
      </c>
      <c r="AF472" s="3">
        <f>IFERROR(AE472/F472,"")</f>
        <v/>
      </c>
      <c r="AG472">
        <f>IF(AND($E472=TRUE,$C472="GKP"),AD472,"")</f>
        <v/>
      </c>
      <c r="AH472">
        <f>IF(AND($E472=TRUE,$C472="DEF"),AD472,"")</f>
        <v/>
      </c>
      <c r="AI472">
        <f>IF(AND($E472=TRUE,$C472="MID"),AD472,"")</f>
        <v/>
      </c>
      <c r="AJ472">
        <f>IF(AND($E472=TRUE,$C472="FWD"),AD472,"")</f>
        <v/>
      </c>
    </row>
    <row r="473">
      <c r="A473" t="inlineStr">
        <is>
          <t>Matt Doherty</t>
        </is>
      </c>
      <c r="D473" t="inlineStr">
        <is>
          <t>DEF</t>
        </is>
      </c>
      <c r="E473" t="b">
        <v>0</v>
      </c>
      <c r="F473" s="2" t="n"/>
      <c r="I473" s="2" t="n">
        <v>791</v>
      </c>
      <c r="K473" s="3" t="n"/>
      <c r="M473" s="4" t="n">
        <v>791</v>
      </c>
      <c r="N473" s="4" t="n"/>
      <c r="O473" s="3" t="n">
        <v>0.0108</v>
      </c>
      <c r="P473" t="inlineStr">
        <is>
          <t>adjusted xGOT</t>
        </is>
      </c>
      <c r="Q473" s="3" t="n">
        <v>1.061</v>
      </c>
      <c r="R473" s="3" t="n">
        <v>2.8</v>
      </c>
      <c r="S473" s="3" t="n">
        <v>0.0197</v>
      </c>
      <c r="T473" s="3" t="n">
        <v>0</v>
      </c>
      <c r="U473" s="3" t="n">
        <v>0</v>
      </c>
      <c r="V473" s="3" t="n">
        <v>2.162</v>
      </c>
      <c r="W473" s="3">
        <f>IF(V473="",IFERROR(VLOOKUP($C473,Assumptions!$A$4:$F$7,6,FALSE),0),V473)</f>
        <v/>
      </c>
      <c r="X473" s="3">
        <f>N(O473)*IFERROR(VLOOKUP($C473,Assumptions!$A$4:$F$7,2,FALSE),0)</f>
        <v/>
      </c>
      <c r="Y473" s="3">
        <f>N(S473)*IFERROR(VLOOKUP($C473,Assumptions!$A$4:$F$7,3,FALSE),0)*Assumptions!$B$11</f>
        <v/>
      </c>
      <c r="Z473" s="3">
        <f>N(N473)*IFERROR(VLOOKUP($C473,Assumptions!$A$4:$F$7,4,FALSE),0)</f>
        <v/>
      </c>
      <c r="AA473" s="3">
        <f>N(T473)*IFERROR(VLOOKUP($C473,Assumptions!$A$4:$F$7,5,FALSE),0)</f>
        <v/>
      </c>
      <c r="AB473" s="3">
        <f>N(U473)</f>
        <v/>
      </c>
      <c r="AC473" s="3">
        <f>SUM(W473:AB473)</f>
        <v/>
      </c>
      <c r="AD473" s="3">
        <f>N(AC473)*N(M473)/90</f>
        <v/>
      </c>
      <c r="AE473" s="3">
        <f>IFERROR(AD473-VLOOKUP($C473,Assumptions!$A$29:$C$32,3,FALSE),"")</f>
        <v/>
      </c>
      <c r="AF473" s="3">
        <f>IFERROR(AE473/F473,"")</f>
        <v/>
      </c>
      <c r="AG473">
        <f>IF(AND($E473=TRUE,$C473="GKP"),AD473,"")</f>
        <v/>
      </c>
      <c r="AH473">
        <f>IF(AND($E473=TRUE,$C473="DEF"),AD473,"")</f>
        <v/>
      </c>
      <c r="AI473">
        <f>IF(AND($E473=TRUE,$C473="MID"),AD473,"")</f>
        <v/>
      </c>
      <c r="AJ473">
        <f>IF(AND($E473=TRUE,$C473="FWD"),AD473,"")</f>
        <v/>
      </c>
    </row>
    <row r="474">
      <c r="A474" t="inlineStr">
        <is>
          <t>Stefan Ortega</t>
        </is>
      </c>
      <c r="D474" t="inlineStr">
        <is>
          <t>GKP</t>
        </is>
      </c>
      <c r="E474" t="b">
        <v>0</v>
      </c>
      <c r="F474" s="2" t="n"/>
      <c r="I474" s="2" t="n">
        <v>270</v>
      </c>
      <c r="K474" s="3" t="n"/>
      <c r="M474" s="4" t="n">
        <v>270</v>
      </c>
      <c r="N474" s="4" t="n"/>
      <c r="O474" s="3" t="n">
        <v>0</v>
      </c>
      <c r="P474" t="inlineStr">
        <is>
          <t>blended xG</t>
        </is>
      </c>
      <c r="Q474" s="3" t="n">
        <v>1</v>
      </c>
      <c r="R474" s="3" t="n">
        <v>0</v>
      </c>
      <c r="S474" s="3" t="n">
        <v>0</v>
      </c>
      <c r="T474" s="3" t="n">
        <v>0</v>
      </c>
      <c r="U474" s="3" t="n">
        <v>0</v>
      </c>
      <c r="V474" s="3" t="n">
        <v>2</v>
      </c>
      <c r="W474" s="3">
        <f>IF(V474="",IFERROR(VLOOKUP($C474,Assumptions!$A$4:$F$7,6,FALSE),0),V474)</f>
        <v/>
      </c>
      <c r="X474" s="3">
        <f>N(O474)*IFERROR(VLOOKUP($C474,Assumptions!$A$4:$F$7,2,FALSE),0)</f>
        <v/>
      </c>
      <c r="Y474" s="3">
        <f>N(S474)*IFERROR(VLOOKUP($C474,Assumptions!$A$4:$F$7,3,FALSE),0)*Assumptions!$B$11</f>
        <v/>
      </c>
      <c r="Z474" s="3">
        <f>N(N474)*IFERROR(VLOOKUP($C474,Assumptions!$A$4:$F$7,4,FALSE),0)</f>
        <v/>
      </c>
      <c r="AA474" s="3">
        <f>N(T474)*IFERROR(VLOOKUP($C474,Assumptions!$A$4:$F$7,5,FALSE),0)</f>
        <v/>
      </c>
      <c r="AB474" s="3">
        <f>N(U474)</f>
        <v/>
      </c>
      <c r="AC474" s="3">
        <f>SUM(W474:AB474)</f>
        <v/>
      </c>
      <c r="AD474" s="3">
        <f>N(AC474)*N(M474)/90</f>
        <v/>
      </c>
      <c r="AE474" s="3">
        <f>IFERROR(AD474-VLOOKUP($C474,Assumptions!$A$29:$C$32,3,FALSE),"")</f>
        <v/>
      </c>
      <c r="AF474" s="3">
        <f>IFERROR(AE474/F474,"")</f>
        <v/>
      </c>
      <c r="AG474">
        <f>IF(AND($E474=TRUE,$C474="GKP"),AD474,"")</f>
        <v/>
      </c>
      <c r="AH474">
        <f>IF(AND($E474=TRUE,$C474="DEF"),AD474,"")</f>
        <v/>
      </c>
      <c r="AI474">
        <f>IF(AND($E474=TRUE,$C474="MID"),AD474,"")</f>
        <v/>
      </c>
      <c r="AJ474">
        <f>IF(AND($E474=TRUE,$C474="FWD"),AD474,"")</f>
        <v/>
      </c>
    </row>
    <row r="475">
      <c r="A475" t="inlineStr">
        <is>
          <t>Niclas Füllkrug</t>
        </is>
      </c>
      <c r="D475" t="inlineStr">
        <is>
          <t>FWD</t>
        </is>
      </c>
      <c r="E475" t="b">
        <v>0</v>
      </c>
      <c r="F475" s="2" t="n"/>
      <c r="I475" s="2" t="n">
        <v>408</v>
      </c>
      <c r="K475" s="3" t="n"/>
      <c r="M475" s="4" t="n">
        <v>408</v>
      </c>
      <c r="N475" s="4" t="n"/>
      <c r="O475" s="3" t="n">
        <v>0.2279</v>
      </c>
      <c r="P475" t="inlineStr">
        <is>
          <t>adjusted xGOT</t>
        </is>
      </c>
      <c r="Q475" s="3" t="n">
        <v>1.111</v>
      </c>
      <c r="R475" s="3" t="n">
        <v>3.1</v>
      </c>
      <c r="S475" s="3" t="n">
        <v>0.09909999999999999</v>
      </c>
      <c r="T475" s="3" t="n">
        <v>0.2</v>
      </c>
      <c r="U475" s="3" t="n">
        <v>0</v>
      </c>
      <c r="V475" s="3" t="n">
        <v>2.647</v>
      </c>
      <c r="W475" s="3">
        <f>IF(V475="",IFERROR(VLOOKUP($C475,Assumptions!$A$4:$F$7,6,FALSE),0),V475)</f>
        <v/>
      </c>
      <c r="X475" s="3">
        <f>N(O475)*IFERROR(VLOOKUP($C475,Assumptions!$A$4:$F$7,2,FALSE),0)</f>
        <v/>
      </c>
      <c r="Y475" s="3">
        <f>N(S475)*IFERROR(VLOOKUP($C475,Assumptions!$A$4:$F$7,3,FALSE),0)*Assumptions!$B$11</f>
        <v/>
      </c>
      <c r="Z475" s="3">
        <f>N(N475)*IFERROR(VLOOKUP($C475,Assumptions!$A$4:$F$7,4,FALSE),0)</f>
        <v/>
      </c>
      <c r="AA475" s="3">
        <f>N(T475)*IFERROR(VLOOKUP($C475,Assumptions!$A$4:$F$7,5,FALSE),0)</f>
        <v/>
      </c>
      <c r="AB475" s="3">
        <f>N(U475)</f>
        <v/>
      </c>
      <c r="AC475" s="3">
        <f>SUM(W475:AB475)</f>
        <v/>
      </c>
      <c r="AD475" s="3">
        <f>N(AC475)*N(M475)/90</f>
        <v/>
      </c>
      <c r="AE475" s="3">
        <f>IFERROR(AD475-VLOOKUP($C475,Assumptions!$A$29:$C$32,3,FALSE),"")</f>
        <v/>
      </c>
      <c r="AF475" s="3">
        <f>IFERROR(AE475/F475,"")</f>
        <v/>
      </c>
      <c r="AG475">
        <f>IF(AND($E475=TRUE,$C475="GKP"),AD475,"")</f>
        <v/>
      </c>
      <c r="AH475">
        <f>IF(AND($E475=TRUE,$C475="DEF"),AD475,"")</f>
        <v/>
      </c>
      <c r="AI475">
        <f>IF(AND($E475=TRUE,$C475="MID"),AD475,"")</f>
        <v/>
      </c>
      <c r="AJ475">
        <f>IF(AND($E475=TRUE,$C475="FWD"),AD475,"")</f>
        <v/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b">
        <v>1</v>
      </c>
      <c r="F476" s="2" t="n">
        <v>4.5</v>
      </c>
      <c r="G476" t="inlineStr">
        <is>
          <t>a</t>
        </is>
      </c>
      <c r="I476" s="2" t="n"/>
      <c r="K476" s="3" t="n">
        <v>804</v>
      </c>
      <c r="L476" t="inlineStr">
        <is>
          <t>flat</t>
        </is>
      </c>
      <c r="M476" s="4" t="n"/>
      <c r="N476" s="4" t="n">
        <v>0.29</v>
      </c>
      <c r="O476" s="3" t="n"/>
      <c r="P476" t="inlineStr"/>
      <c r="Q476" s="3" t="n"/>
      <c r="R476" s="3" t="n"/>
      <c r="S476" s="3" t="n"/>
      <c r="T476" s="3" t="n"/>
      <c r="U476" s="3" t="n"/>
      <c r="V476" s="3" t="n"/>
      <c r="W476" s="3">
        <f>IF(V476="",IFERROR(VLOOKUP($C476,Assumptions!$A$4:$F$7,6,FALSE),0),V476)</f>
        <v/>
      </c>
      <c r="X476" s="3">
        <f>N(O476)*IFERROR(VLOOKUP($C476,Assumptions!$A$4:$F$7,2,FALSE),0)</f>
        <v/>
      </c>
      <c r="Y476" s="3">
        <f>N(S476)*IFERROR(VLOOKUP($C476,Assumptions!$A$4:$F$7,3,FALSE),0)*Assumptions!$B$11</f>
        <v/>
      </c>
      <c r="Z476" s="3">
        <f>N(N476)*IFERROR(VLOOKUP($C476,Assumptions!$A$4:$F$7,4,FALSE),0)</f>
        <v/>
      </c>
      <c r="AA476" s="3">
        <f>N(T476)*IFERROR(VLOOKUP($C476,Assumptions!$A$4:$F$7,5,FALSE),0)</f>
        <v/>
      </c>
      <c r="AB476" s="3">
        <f>N(U476)</f>
        <v/>
      </c>
      <c r="AC476" s="3">
        <f>SUM(W476:AB476)</f>
        <v/>
      </c>
      <c r="AD476" s="3">
        <f>N(AC476)*N(M476)/90</f>
        <v/>
      </c>
      <c r="AE476" s="3">
        <f>IFERROR(AD476-VLOOKUP($C476,Assumptions!$A$29:$C$32,3,FALSE),"")</f>
        <v/>
      </c>
      <c r="AF476" s="3">
        <f>IFERROR(AE476/F476,"")</f>
        <v/>
      </c>
      <c r="AG476">
        <f>IF(AND($E476=TRUE,$C476="GKP"),AD476,"")</f>
        <v/>
      </c>
      <c r="AH476">
        <f>IF(AND($E476=TRUE,$C476="DEF"),AD476,"")</f>
        <v/>
      </c>
      <c r="AI476">
        <f>IF(AND($E476=TRUE,$C476="MID"),AD476,"")</f>
        <v/>
      </c>
      <c r="AJ476">
        <f>IF(AND($E476=TRUE,$C476="FWD"),AD476,"")</f>
        <v/>
      </c>
    </row>
    <row r="477">
      <c r="A477" t="inlineStr">
        <is>
          <t>John Stones</t>
        </is>
      </c>
      <c r="D477" t="inlineStr">
        <is>
          <t>DEF</t>
        </is>
      </c>
      <c r="E477" t="b">
        <v>0</v>
      </c>
      <c r="F477" s="2" t="n"/>
      <c r="I477" s="2" t="n">
        <v>439</v>
      </c>
      <c r="K477" s="3" t="n"/>
      <c r="M477" s="4" t="n">
        <v>439</v>
      </c>
      <c r="N477" s="4" t="n"/>
      <c r="O477" s="3" t="n">
        <v>0</v>
      </c>
      <c r="P477" t="inlineStr">
        <is>
          <t>adjusted xGOT</t>
        </is>
      </c>
      <c r="Q477" s="3" t="n">
        <v>1.001</v>
      </c>
      <c r="R477" s="3" t="n">
        <v>2.7</v>
      </c>
      <c r="S477" s="3" t="n">
        <v>0.0129</v>
      </c>
      <c r="T477" s="3" t="n">
        <v>0.2</v>
      </c>
      <c r="U477" s="3" t="n">
        <v>0</v>
      </c>
      <c r="V477" s="3" t="n">
        <v>2.87</v>
      </c>
      <c r="W477" s="3">
        <f>IF(V477="",IFERROR(VLOOKUP($C477,Assumptions!$A$4:$F$7,6,FALSE),0),V477)</f>
        <v/>
      </c>
      <c r="X477" s="3">
        <f>N(O477)*IFERROR(VLOOKUP($C477,Assumptions!$A$4:$F$7,2,FALSE),0)</f>
        <v/>
      </c>
      <c r="Y477" s="3">
        <f>N(S477)*IFERROR(VLOOKUP($C477,Assumptions!$A$4:$F$7,3,FALSE),0)*Assumptions!$B$11</f>
        <v/>
      </c>
      <c r="Z477" s="3">
        <f>N(N477)*IFERROR(VLOOKUP($C477,Assumptions!$A$4:$F$7,4,FALSE),0)</f>
        <v/>
      </c>
      <c r="AA477" s="3">
        <f>N(T477)*IFERROR(VLOOKUP($C477,Assumptions!$A$4:$F$7,5,FALSE),0)</f>
        <v/>
      </c>
      <c r="AB477" s="3">
        <f>N(U477)</f>
        <v/>
      </c>
      <c r="AC477" s="3">
        <f>SUM(W477:AB477)</f>
        <v/>
      </c>
      <c r="AD477" s="3">
        <f>N(AC477)*N(M477)/90</f>
        <v/>
      </c>
      <c r="AE477" s="3">
        <f>IFERROR(AD477-VLOOKUP($C477,Assumptions!$A$29:$C$32,3,FALSE),"")</f>
        <v/>
      </c>
      <c r="AF477" s="3">
        <f>IFERROR(AE477/F477,"")</f>
        <v/>
      </c>
      <c r="AG477">
        <f>IF(AND($E477=TRUE,$C477="GKP"),AD477,"")</f>
        <v/>
      </c>
      <c r="AH477">
        <f>IF(AND($E477=TRUE,$C477="DEF"),AD477,"")</f>
        <v/>
      </c>
      <c r="AI477">
        <f>IF(AND($E477=TRUE,$C477="MID"),AD477,"")</f>
        <v/>
      </c>
      <c r="AJ477">
        <f>IF(AND($E477=TRUE,$C477="FWD"),AD477,"")</f>
        <v/>
      </c>
    </row>
    <row r="478">
      <c r="A478" t="inlineStr">
        <is>
          <t>Jamaal Lascelles</t>
        </is>
      </c>
      <c r="D478" t="inlineStr">
        <is>
          <t>DEF</t>
        </is>
      </c>
      <c r="E478" t="b">
        <v>0</v>
      </c>
      <c r="F478" s="2" t="n"/>
      <c r="I478" s="2" t="n">
        <v>19</v>
      </c>
      <c r="K478" s="3" t="n"/>
      <c r="M478" s="4" t="n">
        <v>19</v>
      </c>
      <c r="N478" s="4" t="n"/>
      <c r="O478" s="3" t="n">
        <v>0.18</v>
      </c>
      <c r="P478" t="inlineStr">
        <is>
          <t>adjusted xGOT</t>
        </is>
      </c>
      <c r="Q478" s="3" t="n">
        <v>0.945</v>
      </c>
      <c r="R478" s="3" t="n">
        <v>0.9</v>
      </c>
      <c r="S478" s="3" t="n"/>
      <c r="T478" s="3" t="n"/>
      <c r="U478" s="3" t="n">
        <v>0</v>
      </c>
      <c r="V478" s="3" t="n">
        <v>9.474</v>
      </c>
      <c r="W478" s="3">
        <f>IF(V478="",IFERROR(VLOOKUP($C478,Assumptions!$A$4:$F$7,6,FALSE),0),V478)</f>
        <v/>
      </c>
      <c r="X478" s="3">
        <f>N(O478)*IFERROR(VLOOKUP($C478,Assumptions!$A$4:$F$7,2,FALSE),0)</f>
        <v/>
      </c>
      <c r="Y478" s="3">
        <f>N(S478)*IFERROR(VLOOKUP($C478,Assumptions!$A$4:$F$7,3,FALSE),0)*Assumptions!$B$11</f>
        <v/>
      </c>
      <c r="Z478" s="3">
        <f>N(N478)*IFERROR(VLOOKUP($C478,Assumptions!$A$4:$F$7,4,FALSE),0)</f>
        <v/>
      </c>
      <c r="AA478" s="3">
        <f>N(T478)*IFERROR(VLOOKUP($C478,Assumptions!$A$4:$F$7,5,FALSE),0)</f>
        <v/>
      </c>
      <c r="AB478" s="3">
        <f>N(U478)</f>
        <v/>
      </c>
      <c r="AC478" s="3">
        <f>SUM(W478:AB478)</f>
        <v/>
      </c>
      <c r="AD478" s="3">
        <f>N(AC478)*N(M478)/90</f>
        <v/>
      </c>
      <c r="AE478" s="3">
        <f>IFERROR(AD478-VLOOKUP($C478,Assumptions!$A$29:$C$32,3,FALSE),"")</f>
        <v/>
      </c>
      <c r="AF478" s="3">
        <f>IFERROR(AE478/F478,"")</f>
        <v/>
      </c>
      <c r="AG478">
        <f>IF(AND($E478=TRUE,$C478="GKP"),AD478,"")</f>
        <v/>
      </c>
      <c r="AH478">
        <f>IF(AND($E478=TRUE,$C478="DEF"),AD478,"")</f>
        <v/>
      </c>
      <c r="AI478">
        <f>IF(AND($E478=TRUE,$C478="MID"),AD478,"")</f>
        <v/>
      </c>
      <c r="AJ478">
        <f>IF(AND($E478=TRUE,$C478="FWD"),AD478,"")</f>
        <v/>
      </c>
    </row>
    <row r="479">
      <c r="A479" t="inlineStr">
        <is>
          <t>James Ward-Prowse</t>
        </is>
      </c>
      <c r="D479" t="inlineStr">
        <is>
          <t>MID</t>
        </is>
      </c>
      <c r="E479" t="b">
        <v>0</v>
      </c>
      <c r="F479" s="2" t="n"/>
      <c r="I479" s="2" t="n">
        <v>1096</v>
      </c>
      <c r="K479" s="3" t="n"/>
      <c r="M479" s="4" t="n">
        <v>1096</v>
      </c>
      <c r="N479" s="4" t="n"/>
      <c r="O479" s="3" t="n">
        <v>0.0232</v>
      </c>
      <c r="P479" t="inlineStr">
        <is>
          <t>adjusted xGOT</t>
        </is>
      </c>
      <c r="Q479" s="3" t="n">
        <v>1.177</v>
      </c>
      <c r="R479" s="3" t="n">
        <v>13.9</v>
      </c>
      <c r="S479" s="3" t="n">
        <v>0.2816</v>
      </c>
      <c r="T479" s="3" t="n">
        <v>0.25</v>
      </c>
      <c r="U479" s="3" t="n">
        <v>0</v>
      </c>
      <c r="V479" s="3" t="n">
        <v>2.464</v>
      </c>
      <c r="W479" s="3">
        <f>IF(V479="",IFERROR(VLOOKUP($C479,Assumptions!$A$4:$F$7,6,FALSE),0),V479)</f>
        <v/>
      </c>
      <c r="X479" s="3">
        <f>N(O479)*IFERROR(VLOOKUP($C479,Assumptions!$A$4:$F$7,2,FALSE),0)</f>
        <v/>
      </c>
      <c r="Y479" s="3">
        <f>N(S479)*IFERROR(VLOOKUP($C479,Assumptions!$A$4:$F$7,3,FALSE),0)*Assumptions!$B$11</f>
        <v/>
      </c>
      <c r="Z479" s="3">
        <f>N(N479)*IFERROR(VLOOKUP($C479,Assumptions!$A$4:$F$7,4,FALSE),0)</f>
        <v/>
      </c>
      <c r="AA479" s="3">
        <f>N(T479)*IFERROR(VLOOKUP($C479,Assumptions!$A$4:$F$7,5,FALSE),0)</f>
        <v/>
      </c>
      <c r="AB479" s="3">
        <f>N(U479)</f>
        <v/>
      </c>
      <c r="AC479" s="3">
        <f>SUM(W479:AB479)</f>
        <v/>
      </c>
      <c r="AD479" s="3">
        <f>N(AC479)*N(M479)/90</f>
        <v/>
      </c>
      <c r="AE479" s="3">
        <f>IFERROR(AD479-VLOOKUP($C479,Assumptions!$A$29:$C$32,3,FALSE),"")</f>
        <v/>
      </c>
      <c r="AF479" s="3">
        <f>IFERROR(AE479/F479,"")</f>
        <v/>
      </c>
      <c r="AG479">
        <f>IF(AND($E479=TRUE,$C479="GKP"),AD479,"")</f>
        <v/>
      </c>
      <c r="AH479">
        <f>IF(AND($E479=TRUE,$C479="DEF"),AD479,"")</f>
        <v/>
      </c>
      <c r="AI479">
        <f>IF(AND($E479=TRUE,$C479="MID"),AD479,"")</f>
        <v/>
      </c>
      <c r="AJ479">
        <f>IF(AND($E479=TRUE,$C479="FWD"),AD479,"")</f>
        <v/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b">
        <v>1</v>
      </c>
      <c r="F480" s="2" t="n">
        <v>4.5</v>
      </c>
      <c r="G480" t="inlineStr">
        <is>
          <t>a</t>
        </is>
      </c>
      <c r="I480" s="2" t="n"/>
      <c r="K480" s="3" t="n">
        <v>1545</v>
      </c>
      <c r="L480" t="inlineStr">
        <is>
          <t>fade (losing his place)</t>
        </is>
      </c>
      <c r="M480" s="4" t="n"/>
      <c r="N480" s="4" t="n"/>
      <c r="O480" s="3" t="n"/>
      <c r="P480" t="inlineStr"/>
      <c r="Q480" s="3" t="n"/>
      <c r="R480" s="3" t="n"/>
      <c r="S480" s="3" t="n"/>
      <c r="T480" s="3" t="n"/>
      <c r="U480" s="3" t="n"/>
      <c r="V480" s="3" t="n"/>
      <c r="W480" s="3">
        <f>IF(V480="",IFERROR(VLOOKUP($C480,Assumptions!$A$4:$F$7,6,FALSE),0),V480)</f>
        <v/>
      </c>
      <c r="X480" s="3">
        <f>N(O480)*IFERROR(VLOOKUP($C480,Assumptions!$A$4:$F$7,2,FALSE),0)</f>
        <v/>
      </c>
      <c r="Y480" s="3">
        <f>N(S480)*IFERROR(VLOOKUP($C480,Assumptions!$A$4:$F$7,3,FALSE),0)*Assumptions!$B$11</f>
        <v/>
      </c>
      <c r="Z480" s="3">
        <f>N(N480)*IFERROR(VLOOKUP($C480,Assumptions!$A$4:$F$7,4,FALSE),0)</f>
        <v/>
      </c>
      <c r="AA480" s="3">
        <f>N(T480)*IFERROR(VLOOKUP($C480,Assumptions!$A$4:$F$7,5,FALSE),0)</f>
        <v/>
      </c>
      <c r="AB480" s="3">
        <f>N(U480)</f>
        <v/>
      </c>
      <c r="AC480" s="3">
        <f>SUM(W480:AB480)</f>
        <v/>
      </c>
      <c r="AD480" s="3">
        <f>N(AC480)*N(M480)/90</f>
        <v/>
      </c>
      <c r="AE480" s="3">
        <f>IFERROR(AD480-VLOOKUP($C480,Assumptions!$A$29:$C$32,3,FALSE),"")</f>
        <v/>
      </c>
      <c r="AF480" s="3">
        <f>IFERROR(AE480/F480,"")</f>
        <v/>
      </c>
      <c r="AG480">
        <f>IF(AND($E480=TRUE,$C480="GKP"),AD480,"")</f>
        <v/>
      </c>
      <c r="AH480">
        <f>IF(AND($E480=TRUE,$C480="DEF"),AD480,"")</f>
        <v/>
      </c>
      <c r="AI480">
        <f>IF(AND($E480=TRUE,$C480="MID"),AD480,"")</f>
        <v/>
      </c>
      <c r="AJ480">
        <f>IF(AND($E480=TRUE,$C480="FWD"),AD480,"")</f>
        <v/>
      </c>
    </row>
    <row r="481">
      <c r="A481" t="inlineStr">
        <is>
          <t>Sam Johnstone</t>
        </is>
      </c>
      <c r="D481" t="inlineStr">
        <is>
          <t>GKP</t>
        </is>
      </c>
      <c r="E481" t="b">
        <v>0</v>
      </c>
      <c r="F481" s="2" t="n"/>
      <c r="I481" s="2" t="n">
        <v>1080</v>
      </c>
      <c r="K481" s="3" t="n"/>
      <c r="M481" s="4" t="n">
        <v>1080</v>
      </c>
      <c r="N481" s="4" t="n"/>
      <c r="O481" s="3" t="n">
        <v>0</v>
      </c>
      <c r="P481" t="inlineStr">
        <is>
          <t>blended xG</t>
        </is>
      </c>
      <c r="Q481" s="3" t="n">
        <v>1</v>
      </c>
      <c r="R481" s="3" t="n">
        <v>0</v>
      </c>
      <c r="S481" s="3" t="n">
        <v>0</v>
      </c>
      <c r="T481" s="3" t="n">
        <v>0</v>
      </c>
      <c r="U481" s="3" t="n">
        <v>0</v>
      </c>
      <c r="V481" s="3" t="n">
        <v>2</v>
      </c>
      <c r="W481" s="3">
        <f>IF(V481="",IFERROR(VLOOKUP($C481,Assumptions!$A$4:$F$7,6,FALSE),0),V481)</f>
        <v/>
      </c>
      <c r="X481" s="3">
        <f>N(O481)*IFERROR(VLOOKUP($C481,Assumptions!$A$4:$F$7,2,FALSE),0)</f>
        <v/>
      </c>
      <c r="Y481" s="3">
        <f>N(S481)*IFERROR(VLOOKUP($C481,Assumptions!$A$4:$F$7,3,FALSE),0)*Assumptions!$B$11</f>
        <v/>
      </c>
      <c r="Z481" s="3">
        <f>N(N481)*IFERROR(VLOOKUP($C481,Assumptions!$A$4:$F$7,4,FALSE),0)</f>
        <v/>
      </c>
      <c r="AA481" s="3">
        <f>N(T481)*IFERROR(VLOOKUP($C481,Assumptions!$A$4:$F$7,5,FALSE),0)</f>
        <v/>
      </c>
      <c r="AB481" s="3">
        <f>N(U481)</f>
        <v/>
      </c>
      <c r="AC481" s="3">
        <f>SUM(W481:AB481)</f>
        <v/>
      </c>
      <c r="AD481" s="3">
        <f>N(AC481)*N(M481)/90</f>
        <v/>
      </c>
      <c r="AE481" s="3">
        <f>IFERROR(AD481-VLOOKUP($C481,Assumptions!$A$29:$C$32,3,FALSE),"")</f>
        <v/>
      </c>
      <c r="AF481" s="3">
        <f>IFERROR(AE481/F481,"")</f>
        <v/>
      </c>
      <c r="AG481">
        <f>IF(AND($E481=TRUE,$C481="GKP"),AD481,"")</f>
        <v/>
      </c>
      <c r="AH481">
        <f>IF(AND($E481=TRUE,$C481="DEF"),AD481,"")</f>
        <v/>
      </c>
      <c r="AI481">
        <f>IF(AND($E481=TRUE,$C481="MID"),AD481,"")</f>
        <v/>
      </c>
      <c r="AJ481">
        <f>IF(AND($E481=TRUE,$C481="FWD"),AD481,"")</f>
        <v/>
      </c>
    </row>
    <row r="482">
      <c r="A482" t="inlineStr">
        <is>
          <t>Raúl Jiménez</t>
        </is>
      </c>
      <c r="D482" t="inlineStr">
        <is>
          <t>FWD</t>
        </is>
      </c>
      <c r="E482" t="b">
        <v>0</v>
      </c>
      <c r="F482" s="2" t="n"/>
      <c r="I482" s="2" t="n">
        <v>2199</v>
      </c>
      <c r="K482" s="3" t="n"/>
      <c r="M482" s="4" t="n">
        <v>2199</v>
      </c>
      <c r="N482" s="4" t="n"/>
      <c r="O482" s="3" t="n">
        <v>0.4407</v>
      </c>
      <c r="P482" t="inlineStr">
        <is>
          <t>adjusted xGOT</t>
        </is>
      </c>
      <c r="Q482" s="3" t="n">
        <v>0.93</v>
      </c>
      <c r="R482" s="3" t="n">
        <v>31.5</v>
      </c>
      <c r="S482" s="3" t="n">
        <v>0.0796</v>
      </c>
      <c r="T482" s="3" t="n">
        <v>0</v>
      </c>
      <c r="U482" s="3" t="n">
        <v>0.3274</v>
      </c>
      <c r="V482" s="3" t="n">
        <v>2.415</v>
      </c>
      <c r="W482" s="3">
        <f>IF(V482="",IFERROR(VLOOKUP($C482,Assumptions!$A$4:$F$7,6,FALSE),0),V482)</f>
        <v/>
      </c>
      <c r="X482" s="3">
        <f>N(O482)*IFERROR(VLOOKUP($C482,Assumptions!$A$4:$F$7,2,FALSE),0)</f>
        <v/>
      </c>
      <c r="Y482" s="3">
        <f>N(S482)*IFERROR(VLOOKUP($C482,Assumptions!$A$4:$F$7,3,FALSE),0)*Assumptions!$B$11</f>
        <v/>
      </c>
      <c r="Z482" s="3">
        <f>N(N482)*IFERROR(VLOOKUP($C482,Assumptions!$A$4:$F$7,4,FALSE),0)</f>
        <v/>
      </c>
      <c r="AA482" s="3">
        <f>N(T482)*IFERROR(VLOOKUP($C482,Assumptions!$A$4:$F$7,5,FALSE),0)</f>
        <v/>
      </c>
      <c r="AB482" s="3">
        <f>N(U482)</f>
        <v/>
      </c>
      <c r="AC482" s="3">
        <f>SUM(W482:AB482)</f>
        <v/>
      </c>
      <c r="AD482" s="3">
        <f>N(AC482)*N(M482)/90</f>
        <v/>
      </c>
      <c r="AE482" s="3">
        <f>IFERROR(AD482-VLOOKUP($C482,Assumptions!$A$29:$C$32,3,FALSE),"")</f>
        <v/>
      </c>
      <c r="AF482" s="3">
        <f>IFERROR(AE482/F482,"")</f>
        <v/>
      </c>
      <c r="AG482">
        <f>IF(AND($E482=TRUE,$C482="GKP"),AD482,"")</f>
        <v/>
      </c>
      <c r="AH482">
        <f>IF(AND($E482=TRUE,$C482="DEF"),AD482,"")</f>
        <v/>
      </c>
      <c r="AI482">
        <f>IF(AND($E482=TRUE,$C482="MID"),AD482,"")</f>
        <v/>
      </c>
      <c r="AJ482">
        <f>IF(AND($E482=TRUE,$C482="FWD"),AD482,"")</f>
        <v/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b">
        <v>1</v>
      </c>
      <c r="F483" s="2" t="n">
        <v>4.5</v>
      </c>
      <c r="G483" t="inlineStr">
        <is>
          <t>i</t>
        </is>
      </c>
      <c r="H483" t="inlineStr">
        <is>
          <t>Arm injury - Unknown return date</t>
        </is>
      </c>
      <c r="I483" s="2" t="n"/>
      <c r="K483" s="3" t="n">
        <v>35</v>
      </c>
      <c r="L483" t="inlineStr">
        <is>
          <t>flat</t>
        </is>
      </c>
      <c r="M483" s="4" t="n"/>
      <c r="N483" s="4" t="n"/>
      <c r="O483" s="3" t="n"/>
      <c r="P483" t="inlineStr"/>
      <c r="Q483" s="3" t="n"/>
      <c r="R483" s="3" t="n"/>
      <c r="S483" s="3" t="n"/>
      <c r="T483" s="3" t="n">
        <v>0</v>
      </c>
      <c r="U483" s="3" t="n"/>
      <c r="V483" s="3" t="n"/>
      <c r="W483" s="3">
        <f>IF(V483="",IFERROR(VLOOKUP($C483,Assumptions!$A$4:$F$7,6,FALSE),0),V483)</f>
        <v/>
      </c>
      <c r="X483" s="3">
        <f>N(O483)*IFERROR(VLOOKUP($C483,Assumptions!$A$4:$F$7,2,FALSE),0)</f>
        <v/>
      </c>
      <c r="Y483" s="3">
        <f>N(S483)*IFERROR(VLOOKUP($C483,Assumptions!$A$4:$F$7,3,FALSE),0)*Assumptions!$B$11</f>
        <v/>
      </c>
      <c r="Z483" s="3">
        <f>N(N483)*IFERROR(VLOOKUP($C483,Assumptions!$A$4:$F$7,4,FALSE),0)</f>
        <v/>
      </c>
      <c r="AA483" s="3">
        <f>N(T483)*IFERROR(VLOOKUP($C483,Assumptions!$A$4:$F$7,5,FALSE),0)</f>
        <v/>
      </c>
      <c r="AB483" s="3">
        <f>N(U483)</f>
        <v/>
      </c>
      <c r="AC483" s="3">
        <f>SUM(W483:AB483)</f>
        <v/>
      </c>
      <c r="AD483" s="3">
        <f>N(AC483)*N(M483)/90</f>
        <v/>
      </c>
      <c r="AE483" s="3">
        <f>IFERROR(AD483-VLOOKUP($C483,Assumptions!$A$29:$C$32,3,FALSE),"")</f>
        <v/>
      </c>
      <c r="AF483" s="3">
        <f>IFERROR(AE483/F483,"")</f>
        <v/>
      </c>
      <c r="AG483">
        <f>IF(AND($E483=TRUE,$C483="GKP"),AD483,"")</f>
        <v/>
      </c>
      <c r="AH483">
        <f>IF(AND($E483=TRUE,$C483="DEF"),AD483,"")</f>
        <v/>
      </c>
      <c r="AI483">
        <f>IF(AND($E483=TRUE,$C483="MID"),AD483,"")</f>
        <v/>
      </c>
      <c r="AJ483">
        <f>IF(AND($E483=TRUE,$C483="FWD"),AD483,"")</f>
        <v/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b">
        <v>1</v>
      </c>
      <c r="F484" s="2" t="n">
        <v>5</v>
      </c>
      <c r="G484" t="inlineStr">
        <is>
          <t>a</t>
        </is>
      </c>
      <c r="I484" s="2" t="n"/>
      <c r="K484" s="3" t="n">
        <v>0</v>
      </c>
      <c r="L484" t="inlineStr">
        <is>
          <t>flat</t>
        </is>
      </c>
      <c r="M484" s="4" t="n"/>
      <c r="N484" s="4" t="n">
        <v>0.421</v>
      </c>
      <c r="O484" s="3" t="n"/>
      <c r="P484" t="inlineStr"/>
      <c r="Q484" s="3" t="n"/>
      <c r="R484" s="3" t="n"/>
      <c r="S484" s="3" t="n"/>
      <c r="T484" s="3" t="n">
        <v>0</v>
      </c>
      <c r="U484" s="3" t="n"/>
      <c r="V484" s="3" t="n"/>
      <c r="W484" s="3">
        <f>IF(V484="",IFERROR(VLOOKUP($C484,Assumptions!$A$4:$F$7,6,FALSE),0),V484)</f>
        <v/>
      </c>
      <c r="X484" s="3">
        <f>N(O484)*IFERROR(VLOOKUP($C484,Assumptions!$A$4:$F$7,2,FALSE),0)</f>
        <v/>
      </c>
      <c r="Y484" s="3">
        <f>N(S484)*IFERROR(VLOOKUP($C484,Assumptions!$A$4:$F$7,3,FALSE),0)*Assumptions!$B$11</f>
        <v/>
      </c>
      <c r="Z484" s="3">
        <f>N(N484)*IFERROR(VLOOKUP($C484,Assumptions!$A$4:$F$7,4,FALSE),0)</f>
        <v/>
      </c>
      <c r="AA484" s="3">
        <f>N(T484)*IFERROR(VLOOKUP($C484,Assumptions!$A$4:$F$7,5,FALSE),0)</f>
        <v/>
      </c>
      <c r="AB484" s="3">
        <f>N(U484)</f>
        <v/>
      </c>
      <c r="AC484" s="3">
        <f>SUM(W484:AB484)</f>
        <v/>
      </c>
      <c r="AD484" s="3">
        <f>N(AC484)*N(M484)/90</f>
        <v/>
      </c>
      <c r="AE484" s="3">
        <f>IFERROR(AD484-VLOOKUP($C484,Assumptions!$A$29:$C$32,3,FALSE),"")</f>
        <v/>
      </c>
      <c r="AF484" s="3">
        <f>IFERROR(AE484/F484,"")</f>
        <v/>
      </c>
      <c r="AG484">
        <f>IF(AND($E484=TRUE,$C484="GKP"),AD484,"")</f>
        <v/>
      </c>
      <c r="AH484">
        <f>IF(AND($E484=TRUE,$C484="DEF"),AD484,"")</f>
        <v/>
      </c>
      <c r="AI484">
        <f>IF(AND($E484=TRUE,$C484="MID"),AD484,"")</f>
        <v/>
      </c>
      <c r="AJ484">
        <f>IF(AND($E484=TRUE,$C484="FWD"),AD484,"")</f>
        <v/>
      </c>
    </row>
    <row r="485">
      <c r="A485" t="inlineStr">
        <is>
          <t>Angus Gunn</t>
        </is>
      </c>
      <c r="D485" t="inlineStr">
        <is>
          <t>GKP</t>
        </is>
      </c>
      <c r="E485" t="b">
        <v>0</v>
      </c>
      <c r="F485" s="2" t="n"/>
      <c r="I485" s="2" t="n">
        <v>45</v>
      </c>
      <c r="K485" s="3" t="n"/>
      <c r="M485" s="4" t="n">
        <v>45</v>
      </c>
      <c r="N485" s="4" t="n"/>
      <c r="O485" s="3" t="n">
        <v>0</v>
      </c>
      <c r="P485" t="inlineStr">
        <is>
          <t>blended xG</t>
        </is>
      </c>
      <c r="Q485" s="3" t="n">
        <v>1</v>
      </c>
      <c r="R485" s="3" t="n">
        <v>0</v>
      </c>
      <c r="S485" s="3" t="n">
        <v>0</v>
      </c>
      <c r="T485" s="3" t="n"/>
      <c r="U485" s="3" t="n">
        <v>0</v>
      </c>
      <c r="V485" s="3" t="n">
        <v>2</v>
      </c>
      <c r="W485" s="3">
        <f>IF(V485="",IFERROR(VLOOKUP($C485,Assumptions!$A$4:$F$7,6,FALSE),0),V485)</f>
        <v/>
      </c>
      <c r="X485" s="3">
        <f>N(O485)*IFERROR(VLOOKUP($C485,Assumptions!$A$4:$F$7,2,FALSE),0)</f>
        <v/>
      </c>
      <c r="Y485" s="3">
        <f>N(S485)*IFERROR(VLOOKUP($C485,Assumptions!$A$4:$F$7,3,FALSE),0)*Assumptions!$B$11</f>
        <v/>
      </c>
      <c r="Z485" s="3">
        <f>N(N485)*IFERROR(VLOOKUP($C485,Assumptions!$A$4:$F$7,4,FALSE),0)</f>
        <v/>
      </c>
      <c r="AA485" s="3">
        <f>N(T485)*IFERROR(VLOOKUP($C485,Assumptions!$A$4:$F$7,5,FALSE),0)</f>
        <v/>
      </c>
      <c r="AB485" s="3">
        <f>N(U485)</f>
        <v/>
      </c>
      <c r="AC485" s="3">
        <f>SUM(W485:AB485)</f>
        <v/>
      </c>
      <c r="AD485" s="3">
        <f>N(AC485)*N(M485)/90</f>
        <v/>
      </c>
      <c r="AE485" s="3">
        <f>IFERROR(AD485-VLOOKUP($C485,Assumptions!$A$29:$C$32,3,FALSE),"")</f>
        <v/>
      </c>
      <c r="AF485" s="3">
        <f>IFERROR(AE485/F485,"")</f>
        <v/>
      </c>
      <c r="AG485">
        <f>IF(AND($E485=TRUE,$C485="GKP"),AD485,"")</f>
        <v/>
      </c>
      <c r="AH485">
        <f>IF(AND($E485=TRUE,$C485="DEF"),AD485,"")</f>
        <v/>
      </c>
      <c r="AI485">
        <f>IF(AND($E485=TRUE,$C485="MID"),AD485,"")</f>
        <v/>
      </c>
      <c r="AJ485">
        <f>IF(AND($E485=TRUE,$C485="FWD"),AD485,"")</f>
        <v/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b">
        <v>1</v>
      </c>
      <c r="F486" s="2" t="n">
        <v>4</v>
      </c>
      <c r="G486" t="inlineStr">
        <is>
          <t>a</t>
        </is>
      </c>
      <c r="I486" s="2" t="n"/>
      <c r="K486" s="3" t="n">
        <v>3015</v>
      </c>
      <c r="L486" t="inlineStr">
        <is>
          <t>flat</t>
        </is>
      </c>
      <c r="M486" s="4" t="n"/>
      <c r="N486" s="4" t="n"/>
      <c r="O486" s="3" t="n"/>
      <c r="P486" t="inlineStr"/>
      <c r="Q486" s="3" t="n"/>
      <c r="R486" s="3" t="n"/>
      <c r="S486" s="3" t="n"/>
      <c r="T486" s="3" t="n"/>
      <c r="U486" s="3" t="n"/>
      <c r="V486" s="3" t="n"/>
      <c r="W486" s="3">
        <f>IF(V486="",IFERROR(VLOOKUP($C486,Assumptions!$A$4:$F$7,6,FALSE),0),V486)</f>
        <v/>
      </c>
      <c r="X486" s="3">
        <f>N(O486)*IFERROR(VLOOKUP($C486,Assumptions!$A$4:$F$7,2,FALSE),0)</f>
        <v/>
      </c>
      <c r="Y486" s="3">
        <f>N(S486)*IFERROR(VLOOKUP($C486,Assumptions!$A$4:$F$7,3,FALSE),0)*Assumptions!$B$11</f>
        <v/>
      </c>
      <c r="Z486" s="3">
        <f>N(N486)*IFERROR(VLOOKUP($C486,Assumptions!$A$4:$F$7,4,FALSE),0)</f>
        <v/>
      </c>
      <c r="AA486" s="3">
        <f>N(T486)*IFERROR(VLOOKUP($C486,Assumptions!$A$4:$F$7,5,FALSE),0)</f>
        <v/>
      </c>
      <c r="AB486" s="3">
        <f>N(U486)</f>
        <v/>
      </c>
      <c r="AC486" s="3">
        <f>SUM(W486:AB486)</f>
        <v/>
      </c>
      <c r="AD486" s="3">
        <f>N(AC486)*N(M486)/90</f>
        <v/>
      </c>
      <c r="AE486" s="3">
        <f>IFERROR(AD486-VLOOKUP($C486,Assumptions!$A$29:$C$32,3,FALSE),"")</f>
        <v/>
      </c>
      <c r="AF486" s="3">
        <f>IFERROR(AE486/F486,"")</f>
        <v/>
      </c>
      <c r="AG486">
        <f>IF(AND($E486=TRUE,$C486="GKP"),AD486,"")</f>
        <v/>
      </c>
      <c r="AH486">
        <f>IF(AND($E486=TRUE,$C486="DEF"),AD486,"")</f>
        <v/>
      </c>
      <c r="AI486">
        <f>IF(AND($E486=TRUE,$C486="MID"),AD486,"")</f>
        <v/>
      </c>
      <c r="AJ486">
        <f>IF(AND($E486=TRUE,$C486="FWD"),AD486,"")</f>
        <v/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b">
        <v>1</v>
      </c>
      <c r="F487" s="2" t="n">
        <v>4.5</v>
      </c>
      <c r="G487" t="inlineStr">
        <is>
          <t>a</t>
        </is>
      </c>
      <c r="I487" s="2" t="n"/>
      <c r="K487" s="3" t="n">
        <v>35</v>
      </c>
      <c r="L487" t="inlineStr">
        <is>
          <t>flat</t>
        </is>
      </c>
      <c r="M487" s="4" t="n"/>
      <c r="N487" s="4" t="n"/>
      <c r="O487" s="3" t="n"/>
      <c r="P487" t="inlineStr"/>
      <c r="Q487" s="3" t="n"/>
      <c r="R487" s="3" t="n"/>
      <c r="S487" s="3" t="n"/>
      <c r="T487" s="3" t="n">
        <v>0</v>
      </c>
      <c r="U487" s="3" t="n"/>
      <c r="V487" s="3" t="n"/>
      <c r="W487" s="3">
        <f>IF(V487="",IFERROR(VLOOKUP($C487,Assumptions!$A$4:$F$7,6,FALSE),0),V487)</f>
        <v/>
      </c>
      <c r="X487" s="3">
        <f>N(O487)*IFERROR(VLOOKUP($C487,Assumptions!$A$4:$F$7,2,FALSE),0)</f>
        <v/>
      </c>
      <c r="Y487" s="3">
        <f>N(S487)*IFERROR(VLOOKUP($C487,Assumptions!$A$4:$F$7,3,FALSE),0)*Assumptions!$B$11</f>
        <v/>
      </c>
      <c r="Z487" s="3">
        <f>N(N487)*IFERROR(VLOOKUP($C487,Assumptions!$A$4:$F$7,4,FALSE),0)</f>
        <v/>
      </c>
      <c r="AA487" s="3">
        <f>N(T487)*IFERROR(VLOOKUP($C487,Assumptions!$A$4:$F$7,5,FALSE),0)</f>
        <v/>
      </c>
      <c r="AB487" s="3">
        <f>N(U487)</f>
        <v/>
      </c>
      <c r="AC487" s="3">
        <f>SUM(W487:AB487)</f>
        <v/>
      </c>
      <c r="AD487" s="3">
        <f>N(AC487)*N(M487)/90</f>
        <v/>
      </c>
      <c r="AE487" s="3">
        <f>IFERROR(AD487-VLOOKUP($C487,Assumptions!$A$29:$C$32,3,FALSE),"")</f>
        <v/>
      </c>
      <c r="AF487" s="3">
        <f>IFERROR(AE487/F487,"")</f>
        <v/>
      </c>
      <c r="AG487">
        <f>IF(AND($E487=TRUE,$C487="GKP"),AD487,"")</f>
        <v/>
      </c>
      <c r="AH487">
        <f>IF(AND($E487=TRUE,$C487="DEF"),AD487,"")</f>
        <v/>
      </c>
      <c r="AI487">
        <f>IF(AND($E487=TRUE,$C487="MID"),AD487,"")</f>
        <v/>
      </c>
      <c r="AJ487">
        <f>IF(AND($E487=TRUE,$C487="FWD"),AD487,"")</f>
        <v/>
      </c>
    </row>
    <row r="488">
      <c r="A488" t="inlineStr">
        <is>
          <t>Solly March</t>
        </is>
      </c>
      <c r="D488" t="inlineStr">
        <is>
          <t>MID</t>
        </is>
      </c>
      <c r="E488" t="b">
        <v>0</v>
      </c>
      <c r="F488" s="2" t="n"/>
      <c r="I488" s="2" t="n">
        <v>38</v>
      </c>
      <c r="K488" s="3" t="n"/>
      <c r="M488" s="4" t="n">
        <v>38</v>
      </c>
      <c r="N488" s="4" t="n"/>
      <c r="O488" s="3" t="n">
        <v>0.1066</v>
      </c>
      <c r="P488" t="inlineStr">
        <is>
          <t>adjusted xGOT</t>
        </is>
      </c>
      <c r="Q488" s="3" t="n">
        <v>1.131</v>
      </c>
      <c r="R488" s="3" t="n">
        <v>9.199999999999999</v>
      </c>
      <c r="S488" s="3" t="n">
        <v>0</v>
      </c>
      <c r="T488" s="3" t="n"/>
      <c r="U488" s="3" t="n">
        <v>0</v>
      </c>
      <c r="V488" s="3" t="n">
        <v>9.474</v>
      </c>
      <c r="W488" s="3">
        <f>IF(V488="",IFERROR(VLOOKUP($C488,Assumptions!$A$4:$F$7,6,FALSE),0),V488)</f>
        <v/>
      </c>
      <c r="X488" s="3">
        <f>N(O488)*IFERROR(VLOOKUP($C488,Assumptions!$A$4:$F$7,2,FALSE),0)</f>
        <v/>
      </c>
      <c r="Y488" s="3">
        <f>N(S488)*IFERROR(VLOOKUP($C488,Assumptions!$A$4:$F$7,3,FALSE),0)*Assumptions!$B$11</f>
        <v/>
      </c>
      <c r="Z488" s="3">
        <f>N(N488)*IFERROR(VLOOKUP($C488,Assumptions!$A$4:$F$7,4,FALSE),0)</f>
        <v/>
      </c>
      <c r="AA488" s="3">
        <f>N(T488)*IFERROR(VLOOKUP($C488,Assumptions!$A$4:$F$7,5,FALSE),0)</f>
        <v/>
      </c>
      <c r="AB488" s="3">
        <f>N(U488)</f>
        <v/>
      </c>
      <c r="AC488" s="3">
        <f>SUM(W488:AB488)</f>
        <v/>
      </c>
      <c r="AD488" s="3">
        <f>N(AC488)*N(M488)/90</f>
        <v/>
      </c>
      <c r="AE488" s="3">
        <f>IFERROR(AD488-VLOOKUP($C488,Assumptions!$A$29:$C$32,3,FALSE),"")</f>
        <v/>
      </c>
      <c r="AF488" s="3">
        <f>IFERROR(AE488/F488,"")</f>
        <v/>
      </c>
      <c r="AG488">
        <f>IF(AND($E488=TRUE,$C488="GKP"),AD488,"")</f>
        <v/>
      </c>
      <c r="AH488">
        <f>IF(AND($E488=TRUE,$C488="DEF"),AD488,"")</f>
        <v/>
      </c>
      <c r="AI488">
        <f>IF(AND($E488=TRUE,$C488="MID"),AD488,"")</f>
        <v/>
      </c>
      <c r="AJ488">
        <f>IF(AND($E488=TRUE,$C488="FWD"),AD488,"")</f>
        <v/>
      </c>
    </row>
    <row r="489">
      <c r="A489" t="inlineStr">
        <is>
          <t>Bertrand Traoré</t>
        </is>
      </c>
      <c r="D489" t="inlineStr">
        <is>
          <t>MID</t>
        </is>
      </c>
      <c r="E489" t="b">
        <v>0</v>
      </c>
      <c r="F489" s="2" t="n"/>
      <c r="I489" s="2" t="n">
        <v>638</v>
      </c>
      <c r="K489" s="3" t="n"/>
      <c r="M489" s="4" t="n">
        <v>638</v>
      </c>
      <c r="N489" s="4" t="n"/>
      <c r="O489" s="3" t="n">
        <v>0.0814</v>
      </c>
      <c r="P489" t="inlineStr">
        <is>
          <t>adjusted xGOT</t>
        </is>
      </c>
      <c r="Q489" s="3" t="n">
        <v>1.203</v>
      </c>
      <c r="R489" s="3" t="n">
        <v>1.2</v>
      </c>
      <c r="S489" s="3" t="n">
        <v>0.1395</v>
      </c>
      <c r="T489" s="3" t="n">
        <v>0</v>
      </c>
      <c r="U489" s="3" t="n">
        <v>0.1411</v>
      </c>
      <c r="V489" s="3" t="n">
        <v>2.68</v>
      </c>
      <c r="W489" s="3">
        <f>IF(V489="",IFERROR(VLOOKUP($C489,Assumptions!$A$4:$F$7,6,FALSE),0),V489)</f>
        <v/>
      </c>
      <c r="X489" s="3">
        <f>N(O489)*IFERROR(VLOOKUP($C489,Assumptions!$A$4:$F$7,2,FALSE),0)</f>
        <v/>
      </c>
      <c r="Y489" s="3">
        <f>N(S489)*IFERROR(VLOOKUP($C489,Assumptions!$A$4:$F$7,3,FALSE),0)*Assumptions!$B$11</f>
        <v/>
      </c>
      <c r="Z489" s="3">
        <f>N(N489)*IFERROR(VLOOKUP($C489,Assumptions!$A$4:$F$7,4,FALSE),0)</f>
        <v/>
      </c>
      <c r="AA489" s="3">
        <f>N(T489)*IFERROR(VLOOKUP($C489,Assumptions!$A$4:$F$7,5,FALSE),0)</f>
        <v/>
      </c>
      <c r="AB489" s="3">
        <f>N(U489)</f>
        <v/>
      </c>
      <c r="AC489" s="3">
        <f>SUM(W489:AB489)</f>
        <v/>
      </c>
      <c r="AD489" s="3">
        <f>N(AC489)*N(M489)/90</f>
        <v/>
      </c>
      <c r="AE489" s="3">
        <f>IFERROR(AD489-VLOOKUP($C489,Assumptions!$A$29:$C$32,3,FALSE),"")</f>
        <v/>
      </c>
      <c r="AF489" s="3">
        <f>IFERROR(AE489/F489,"")</f>
        <v/>
      </c>
      <c r="AG489">
        <f>IF(AND($E489=TRUE,$C489="GKP"),AD489,"")</f>
        <v/>
      </c>
      <c r="AH489">
        <f>IF(AND($E489=TRUE,$C489="DEF"),AD489,"")</f>
        <v/>
      </c>
      <c r="AI489">
        <f>IF(AND($E489=TRUE,$C489="MID"),AD489,"")</f>
        <v/>
      </c>
      <c r="AJ489">
        <f>IF(AND($E489=TRUE,$C489="FWD"),AD489,"")</f>
        <v/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b">
        <v>1</v>
      </c>
      <c r="F490" s="2" t="n">
        <v>4.5</v>
      </c>
      <c r="G490" t="inlineStr">
        <is>
          <t>a</t>
        </is>
      </c>
      <c r="I490" s="2" t="n"/>
      <c r="K490" s="3" t="n">
        <v>35</v>
      </c>
      <c r="L490" t="inlineStr">
        <is>
          <t>flat</t>
        </is>
      </c>
      <c r="M490" s="4" t="n"/>
      <c r="N490" s="4" t="n"/>
      <c r="O490" s="3" t="n"/>
      <c r="P490" t="inlineStr"/>
      <c r="Q490" s="3" t="n"/>
      <c r="R490" s="3" t="n"/>
      <c r="S490" s="3" t="n"/>
      <c r="T490" s="3" t="n">
        <v>0</v>
      </c>
      <c r="U490" s="3" t="n"/>
      <c r="V490" s="3" t="n"/>
      <c r="W490" s="3">
        <f>IF(V490="",IFERROR(VLOOKUP($C490,Assumptions!$A$4:$F$7,6,FALSE),0),V490)</f>
        <v/>
      </c>
      <c r="X490" s="3">
        <f>N(O490)*IFERROR(VLOOKUP($C490,Assumptions!$A$4:$F$7,2,FALSE),0)</f>
        <v/>
      </c>
      <c r="Y490" s="3">
        <f>N(S490)*IFERROR(VLOOKUP($C490,Assumptions!$A$4:$F$7,3,FALSE),0)*Assumptions!$B$11</f>
        <v/>
      </c>
      <c r="Z490" s="3">
        <f>N(N490)*IFERROR(VLOOKUP($C490,Assumptions!$A$4:$F$7,4,FALSE),0)</f>
        <v/>
      </c>
      <c r="AA490" s="3">
        <f>N(T490)*IFERROR(VLOOKUP($C490,Assumptions!$A$4:$F$7,5,FALSE),0)</f>
        <v/>
      </c>
      <c r="AB490" s="3">
        <f>N(U490)</f>
        <v/>
      </c>
      <c r="AC490" s="3">
        <f>SUM(W490:AB490)</f>
        <v/>
      </c>
      <c r="AD490" s="3">
        <f>N(AC490)*N(M490)/90</f>
        <v/>
      </c>
      <c r="AE490" s="3">
        <f>IFERROR(AD490-VLOOKUP($C490,Assumptions!$A$29:$C$32,3,FALSE),"")</f>
        <v/>
      </c>
      <c r="AF490" s="3">
        <f>IFERROR(AE490/F490,"")</f>
        <v/>
      </c>
      <c r="AG490">
        <f>IF(AND($E490=TRUE,$C490="GKP"),AD490,"")</f>
        <v/>
      </c>
      <c r="AH490">
        <f>IF(AND($E490=TRUE,$C490="DEF"),AD490,"")</f>
        <v/>
      </c>
      <c r="AI490">
        <f>IF(AND($E490=TRUE,$C490="MID"),AD490,"")</f>
        <v/>
      </c>
      <c r="AJ490">
        <f>IF(AND($E490=TRUE,$C490="FWD"),AD490,"")</f>
        <v/>
      </c>
    </row>
    <row r="491">
      <c r="A491" t="inlineStr">
        <is>
          <t>Joël Veltman</t>
        </is>
      </c>
      <c r="D491" t="inlineStr">
        <is>
          <t>DEF</t>
        </is>
      </c>
      <c r="E491" t="b">
        <v>0</v>
      </c>
      <c r="F491" s="2" t="n"/>
      <c r="I491" s="2" t="n">
        <v>1050</v>
      </c>
      <c r="K491" s="3" t="n"/>
      <c r="M491" s="4" t="n">
        <v>1050</v>
      </c>
      <c r="N491" s="4" t="n"/>
      <c r="O491" s="3" t="n">
        <v>0.0961</v>
      </c>
      <c r="P491" t="inlineStr">
        <is>
          <t>adjusted xGOT</t>
        </is>
      </c>
      <c r="Q491" s="3" t="n">
        <v>0.975</v>
      </c>
      <c r="R491" s="3" t="n">
        <v>3.8</v>
      </c>
      <c r="S491" s="3" t="n">
        <v>0.0216</v>
      </c>
      <c r="T491" s="3" t="n">
        <v>0.333</v>
      </c>
      <c r="U491" s="3" t="n">
        <v>0</v>
      </c>
      <c r="V491" s="3" t="n">
        <v>2.829</v>
      </c>
      <c r="W491" s="3">
        <f>IF(V491="",IFERROR(VLOOKUP($C491,Assumptions!$A$4:$F$7,6,FALSE),0),V491)</f>
        <v/>
      </c>
      <c r="X491" s="3">
        <f>N(O491)*IFERROR(VLOOKUP($C491,Assumptions!$A$4:$F$7,2,FALSE),0)</f>
        <v/>
      </c>
      <c r="Y491" s="3">
        <f>N(S491)*IFERROR(VLOOKUP($C491,Assumptions!$A$4:$F$7,3,FALSE),0)*Assumptions!$B$11</f>
        <v/>
      </c>
      <c r="Z491" s="3">
        <f>N(N491)*IFERROR(VLOOKUP($C491,Assumptions!$A$4:$F$7,4,FALSE),0)</f>
        <v/>
      </c>
      <c r="AA491" s="3">
        <f>N(T491)*IFERROR(VLOOKUP($C491,Assumptions!$A$4:$F$7,5,FALSE),0)</f>
        <v/>
      </c>
      <c r="AB491" s="3">
        <f>N(U491)</f>
        <v/>
      </c>
      <c r="AC491" s="3">
        <f>SUM(W491:AB491)</f>
        <v/>
      </c>
      <c r="AD491" s="3">
        <f>N(AC491)*N(M491)/90</f>
        <v/>
      </c>
      <c r="AE491" s="3">
        <f>IFERROR(AD491-VLOOKUP($C491,Assumptions!$A$29:$C$32,3,FALSE),"")</f>
        <v/>
      </c>
      <c r="AF491" s="3">
        <f>IFERROR(AE491/F491,"")</f>
        <v/>
      </c>
      <c r="AG491">
        <f>IF(AND($E491=TRUE,$C491="GKP"),AD491,"")</f>
        <v/>
      </c>
      <c r="AH491">
        <f>IF(AND($E491=TRUE,$C491="DEF"),AD491,"")</f>
        <v/>
      </c>
      <c r="AI491">
        <f>IF(AND($E491=TRUE,$C491="MID"),AD491,"")</f>
        <v/>
      </c>
      <c r="AJ491">
        <f>IF(AND($E491=TRUE,$C491="FWD"),AD491,"")</f>
        <v/>
      </c>
    </row>
    <row r="492">
      <c r="A492" t="inlineStr">
        <is>
          <t>Emil Krafth</t>
        </is>
      </c>
      <c r="D492" t="inlineStr">
        <is>
          <t>DEF</t>
        </is>
      </c>
      <c r="E492" t="b">
        <v>0</v>
      </c>
      <c r="F492" s="2" t="n"/>
      <c r="I492" s="2" t="n">
        <v>45</v>
      </c>
      <c r="K492" s="3" t="n"/>
      <c r="M492" s="4" t="n">
        <v>45</v>
      </c>
      <c r="N492" s="4" t="n"/>
      <c r="O492" s="3" t="n">
        <v>0</v>
      </c>
      <c r="P492" t="inlineStr">
        <is>
          <t>adjusted xGOT</t>
        </is>
      </c>
      <c r="Q492" s="3" t="n">
        <v>0.971</v>
      </c>
      <c r="R492" s="3" t="n">
        <v>0.2</v>
      </c>
      <c r="S492" s="3" t="n">
        <v>0</v>
      </c>
      <c r="T492" s="3" t="n">
        <v>0</v>
      </c>
      <c r="U492" s="3" t="n">
        <v>0</v>
      </c>
      <c r="V492" s="3" t="n">
        <v>2</v>
      </c>
      <c r="W492" s="3">
        <f>IF(V492="",IFERROR(VLOOKUP($C492,Assumptions!$A$4:$F$7,6,FALSE),0),V492)</f>
        <v/>
      </c>
      <c r="X492" s="3">
        <f>N(O492)*IFERROR(VLOOKUP($C492,Assumptions!$A$4:$F$7,2,FALSE),0)</f>
        <v/>
      </c>
      <c r="Y492" s="3">
        <f>N(S492)*IFERROR(VLOOKUP($C492,Assumptions!$A$4:$F$7,3,FALSE),0)*Assumptions!$B$11</f>
        <v/>
      </c>
      <c r="Z492" s="3">
        <f>N(N492)*IFERROR(VLOOKUP($C492,Assumptions!$A$4:$F$7,4,FALSE),0)</f>
        <v/>
      </c>
      <c r="AA492" s="3">
        <f>N(T492)*IFERROR(VLOOKUP($C492,Assumptions!$A$4:$F$7,5,FALSE),0)</f>
        <v/>
      </c>
      <c r="AB492" s="3">
        <f>N(U492)</f>
        <v/>
      </c>
      <c r="AC492" s="3">
        <f>SUM(W492:AB492)</f>
        <v/>
      </c>
      <c r="AD492" s="3">
        <f>N(AC492)*N(M492)/90</f>
        <v/>
      </c>
      <c r="AE492" s="3">
        <f>IFERROR(AD492-VLOOKUP($C492,Assumptions!$A$29:$C$32,3,FALSE),"")</f>
        <v/>
      </c>
      <c r="AF492" s="3">
        <f>IFERROR(AE492/F492,"")</f>
        <v/>
      </c>
      <c r="AG492">
        <f>IF(AND($E492=TRUE,$C492="GKP"),AD492,"")</f>
        <v/>
      </c>
      <c r="AH492">
        <f>IF(AND($E492=TRUE,$C492="DEF"),AD492,"")</f>
        <v/>
      </c>
      <c r="AI492">
        <f>IF(AND($E492=TRUE,$C492="MID"),AD492,"")</f>
        <v/>
      </c>
      <c r="AJ492">
        <f>IF(AND($E492=TRUE,$C492="FWD"),AD492,"")</f>
        <v/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b">
        <v>1</v>
      </c>
      <c r="F493" s="2" t="n">
        <v>4</v>
      </c>
      <c r="G493" t="inlineStr">
        <is>
          <t>a</t>
        </is>
      </c>
      <c r="I493" s="2" t="n"/>
      <c r="K493" s="3" t="n">
        <v>34</v>
      </c>
      <c r="L493" t="inlineStr">
        <is>
          <t>flat</t>
        </is>
      </c>
      <c r="M493" s="4" t="n"/>
      <c r="N493" s="4" t="n"/>
      <c r="O493" s="3" t="n"/>
      <c r="P493" t="inlineStr"/>
      <c r="Q493" s="3" t="n"/>
      <c r="R493" s="3" t="n"/>
      <c r="S493" s="3" t="n"/>
      <c r="T493" s="3" t="n">
        <v>0</v>
      </c>
      <c r="U493" s="3" t="n"/>
      <c r="V493" s="3" t="n"/>
      <c r="W493" s="3">
        <f>IF(V493="",IFERROR(VLOOKUP($C493,Assumptions!$A$4:$F$7,6,FALSE),0),V493)</f>
        <v/>
      </c>
      <c r="X493" s="3">
        <f>N(O493)*IFERROR(VLOOKUP($C493,Assumptions!$A$4:$F$7,2,FALSE),0)</f>
        <v/>
      </c>
      <c r="Y493" s="3">
        <f>N(S493)*IFERROR(VLOOKUP($C493,Assumptions!$A$4:$F$7,3,FALSE),0)*Assumptions!$B$11</f>
        <v/>
      </c>
      <c r="Z493" s="3">
        <f>N(N493)*IFERROR(VLOOKUP($C493,Assumptions!$A$4:$F$7,4,FALSE),0)</f>
        <v/>
      </c>
      <c r="AA493" s="3">
        <f>N(T493)*IFERROR(VLOOKUP($C493,Assumptions!$A$4:$F$7,5,FALSE),0)</f>
        <v/>
      </c>
      <c r="AB493" s="3">
        <f>N(U493)</f>
        <v/>
      </c>
      <c r="AC493" s="3">
        <f>SUM(W493:AB493)</f>
        <v/>
      </c>
      <c r="AD493" s="3">
        <f>N(AC493)*N(M493)/90</f>
        <v/>
      </c>
      <c r="AE493" s="3">
        <f>IFERROR(AD493-VLOOKUP($C493,Assumptions!$A$29:$C$32,3,FALSE),"")</f>
        <v/>
      </c>
      <c r="AF493" s="3">
        <f>IFERROR(AE493/F493,"")</f>
        <v/>
      </c>
      <c r="AG493">
        <f>IF(AND($E493=TRUE,$C493="GKP"),AD493,"")</f>
        <v/>
      </c>
      <c r="AH493">
        <f>IF(AND($E493=TRUE,$C493="DEF"),AD493,"")</f>
        <v/>
      </c>
      <c r="AI493">
        <f>IF(AND($E493=TRUE,$C493="MID"),AD493,"")</f>
        <v/>
      </c>
      <c r="AJ493">
        <f>IF(AND($E493=TRUE,$C493="FWD"),AD493,"")</f>
        <v/>
      </c>
    </row>
    <row r="494">
      <c r="A494" t="inlineStr">
        <is>
          <t>Sam Byram</t>
        </is>
      </c>
      <c r="D494" t="inlineStr">
        <is>
          <t>DEF</t>
        </is>
      </c>
      <c r="E494" t="b">
        <v>0</v>
      </c>
      <c r="F494" s="2" t="n"/>
      <c r="I494" s="2" t="n">
        <v>8</v>
      </c>
      <c r="K494" s="3" t="n"/>
      <c r="M494" s="4" t="n">
        <v>8</v>
      </c>
      <c r="N494" s="4" t="n"/>
      <c r="O494" s="3" t="n">
        <v>0</v>
      </c>
      <c r="P494" t="inlineStr">
        <is>
          <t>blended xG</t>
        </is>
      </c>
      <c r="Q494" s="3" t="n">
        <v>1</v>
      </c>
      <c r="R494" s="3" t="n">
        <v>0</v>
      </c>
      <c r="S494" s="3" t="n">
        <v>0</v>
      </c>
      <c r="T494" s="3" t="n"/>
      <c r="U494" s="3" t="n">
        <v>0</v>
      </c>
      <c r="V494" s="3" t="n">
        <v>22.5</v>
      </c>
      <c r="W494" s="3">
        <f>IF(V494="",IFERROR(VLOOKUP($C494,Assumptions!$A$4:$F$7,6,FALSE),0),V494)</f>
        <v/>
      </c>
      <c r="X494" s="3">
        <f>N(O494)*IFERROR(VLOOKUP($C494,Assumptions!$A$4:$F$7,2,FALSE),0)</f>
        <v/>
      </c>
      <c r="Y494" s="3">
        <f>N(S494)*IFERROR(VLOOKUP($C494,Assumptions!$A$4:$F$7,3,FALSE),0)*Assumptions!$B$11</f>
        <v/>
      </c>
      <c r="Z494" s="3">
        <f>N(N494)*IFERROR(VLOOKUP($C494,Assumptions!$A$4:$F$7,4,FALSE),0)</f>
        <v/>
      </c>
      <c r="AA494" s="3">
        <f>N(T494)*IFERROR(VLOOKUP($C494,Assumptions!$A$4:$F$7,5,FALSE),0)</f>
        <v/>
      </c>
      <c r="AB494" s="3">
        <f>N(U494)</f>
        <v/>
      </c>
      <c r="AC494" s="3">
        <f>SUM(W494:AB494)</f>
        <v/>
      </c>
      <c r="AD494" s="3">
        <f>N(AC494)*N(M494)/90</f>
        <v/>
      </c>
      <c r="AE494" s="3">
        <f>IFERROR(AD494-VLOOKUP($C494,Assumptions!$A$29:$C$32,3,FALSE),"")</f>
        <v/>
      </c>
      <c r="AF494" s="3">
        <f>IFERROR(AE494/F494,"")</f>
        <v/>
      </c>
      <c r="AG494">
        <f>IF(AND($E494=TRUE,$C494="GKP"),AD494,"")</f>
        <v/>
      </c>
      <c r="AH494">
        <f>IF(AND($E494=TRUE,$C494="DEF"),AD494,"")</f>
        <v/>
      </c>
      <c r="AI494">
        <f>IF(AND($E494=TRUE,$C494="MID"),AD494,"")</f>
        <v/>
      </c>
      <c r="AJ494">
        <f>IF(AND($E494=TRUE,$C494="FWD"),AD494,"")</f>
        <v/>
      </c>
    </row>
    <row r="495">
      <c r="A495" t="inlineStr">
        <is>
          <t>Leandro Trossard</t>
        </is>
      </c>
      <c r="D495" t="inlineStr">
        <is>
          <t>MID</t>
        </is>
      </c>
      <c r="E495" t="b">
        <v>0</v>
      </c>
      <c r="F495" s="2" t="n"/>
      <c r="I495" s="2" t="n">
        <v>2006</v>
      </c>
      <c r="K495" s="3" t="n"/>
      <c r="M495" s="4" t="n">
        <v>2006</v>
      </c>
      <c r="N495" s="4" t="n"/>
      <c r="O495" s="3" t="n">
        <v>0.2556</v>
      </c>
      <c r="P495" t="inlineStr">
        <is>
          <t>adjusted xGOT</t>
        </is>
      </c>
      <c r="Q495" s="3" t="n">
        <v>1.017</v>
      </c>
      <c r="R495" s="3" t="n">
        <v>27</v>
      </c>
      <c r="S495" s="3" t="n">
        <v>0.2238</v>
      </c>
      <c r="T495" s="3" t="n">
        <v>0</v>
      </c>
      <c r="U495" s="3" t="n">
        <v>0.4935</v>
      </c>
      <c r="V495" s="3" t="n">
        <v>2.288</v>
      </c>
      <c r="W495" s="3">
        <f>IF(V495="",IFERROR(VLOOKUP($C495,Assumptions!$A$4:$F$7,6,FALSE),0),V495)</f>
        <v/>
      </c>
      <c r="X495" s="3">
        <f>N(O495)*IFERROR(VLOOKUP($C495,Assumptions!$A$4:$F$7,2,FALSE),0)</f>
        <v/>
      </c>
      <c r="Y495" s="3">
        <f>N(S495)*IFERROR(VLOOKUP($C495,Assumptions!$A$4:$F$7,3,FALSE),0)*Assumptions!$B$11</f>
        <v/>
      </c>
      <c r="Z495" s="3">
        <f>N(N495)*IFERROR(VLOOKUP($C495,Assumptions!$A$4:$F$7,4,FALSE),0)</f>
        <v/>
      </c>
      <c r="AA495" s="3">
        <f>N(T495)*IFERROR(VLOOKUP($C495,Assumptions!$A$4:$F$7,5,FALSE),0)</f>
        <v/>
      </c>
      <c r="AB495" s="3">
        <f>N(U495)</f>
        <v/>
      </c>
      <c r="AC495" s="3">
        <f>SUM(W495:AB495)</f>
        <v/>
      </c>
      <c r="AD495" s="3">
        <f>N(AC495)*N(M495)/90</f>
        <v/>
      </c>
      <c r="AE495" s="3">
        <f>IFERROR(AD495-VLOOKUP($C495,Assumptions!$A$29:$C$32,3,FALSE),"")</f>
        <v/>
      </c>
      <c r="AF495" s="3">
        <f>IFERROR(AE495/F495,"")</f>
        <v/>
      </c>
      <c r="AG495">
        <f>IF(AND($E495=TRUE,$C495="GKP"),AD495,"")</f>
        <v/>
      </c>
      <c r="AH495">
        <f>IF(AND($E495=TRUE,$C495="DEF"),AD495,"")</f>
        <v/>
      </c>
      <c r="AI495">
        <f>IF(AND($E495=TRUE,$C495="MID"),AD495,"")</f>
        <v/>
      </c>
      <c r="AJ495">
        <f>IF(AND($E495=TRUE,$C495="FWD"),AD495,"")</f>
        <v/>
      </c>
    </row>
    <row r="496">
      <c r="A496" t="inlineStr">
        <is>
          <t>Mohamed Salah</t>
        </is>
      </c>
      <c r="D496" t="inlineStr">
        <is>
          <t>MID</t>
        </is>
      </c>
      <c r="E496" t="b">
        <v>0</v>
      </c>
      <c r="F496" s="2" t="n"/>
      <c r="I496" s="2" t="n">
        <v>2148</v>
      </c>
      <c r="K496" s="3" t="n"/>
      <c r="M496" s="4" t="n">
        <v>2148</v>
      </c>
      <c r="N496" s="4" t="n"/>
      <c r="O496" s="3" t="n">
        <v>0.3339</v>
      </c>
      <c r="P496" t="inlineStr">
        <is>
          <t>adjusted xGOT</t>
        </is>
      </c>
      <c r="Q496" s="3" t="n">
        <v>0.968</v>
      </c>
      <c r="R496" s="3" t="n">
        <v>74.8</v>
      </c>
      <c r="S496" s="3" t="n">
        <v>0.2693</v>
      </c>
      <c r="T496" s="3" t="n">
        <v>0.043</v>
      </c>
      <c r="U496" s="3" t="n">
        <v>0.5447</v>
      </c>
      <c r="V496" s="3" t="n">
        <v>2.095</v>
      </c>
      <c r="W496" s="3">
        <f>IF(V496="",IFERROR(VLOOKUP($C496,Assumptions!$A$4:$F$7,6,FALSE),0),V496)</f>
        <v/>
      </c>
      <c r="X496" s="3">
        <f>N(O496)*IFERROR(VLOOKUP($C496,Assumptions!$A$4:$F$7,2,FALSE),0)</f>
        <v/>
      </c>
      <c r="Y496" s="3">
        <f>N(S496)*IFERROR(VLOOKUP($C496,Assumptions!$A$4:$F$7,3,FALSE),0)*Assumptions!$B$11</f>
        <v/>
      </c>
      <c r="Z496" s="3">
        <f>N(N496)*IFERROR(VLOOKUP($C496,Assumptions!$A$4:$F$7,4,FALSE),0)</f>
        <v/>
      </c>
      <c r="AA496" s="3">
        <f>N(T496)*IFERROR(VLOOKUP($C496,Assumptions!$A$4:$F$7,5,FALSE),0)</f>
        <v/>
      </c>
      <c r="AB496" s="3">
        <f>N(U496)</f>
        <v/>
      </c>
      <c r="AC496" s="3">
        <f>SUM(W496:AB496)</f>
        <v/>
      </c>
      <c r="AD496" s="3">
        <f>N(AC496)*N(M496)/90</f>
        <v/>
      </c>
      <c r="AE496" s="3">
        <f>IFERROR(AD496-VLOOKUP($C496,Assumptions!$A$29:$C$32,3,FALSE),"")</f>
        <v/>
      </c>
      <c r="AF496" s="3">
        <f>IFERROR(AE496/F496,"")</f>
        <v/>
      </c>
      <c r="AG496">
        <f>IF(AND($E496=TRUE,$C496="GKP"),AD496,"")</f>
        <v/>
      </c>
      <c r="AH496">
        <f>IF(AND($E496=TRUE,$C496="DEF"),AD496,"")</f>
        <v/>
      </c>
      <c r="AI496">
        <f>IF(AND($E496=TRUE,$C496="MID"),AD496,"")</f>
        <v/>
      </c>
      <c r="AJ496">
        <f>IF(AND($E496=TRUE,$C496="FWD"),AD496,"")</f>
        <v/>
      </c>
    </row>
    <row r="497">
      <c r="A497" t="inlineStr">
        <is>
          <t>Patrick Roberts</t>
        </is>
      </c>
      <c r="D497" t="inlineStr">
        <is>
          <t>MID</t>
        </is>
      </c>
      <c r="E497" t="b">
        <v>0</v>
      </c>
      <c r="F497" s="2" t="n"/>
      <c r="I497" s="2" t="n">
        <v>27</v>
      </c>
      <c r="K497" s="3" t="n"/>
      <c r="M497" s="4" t="n">
        <v>27</v>
      </c>
      <c r="N497" s="4" t="n"/>
      <c r="O497" s="3" t="n">
        <v>0.1</v>
      </c>
      <c r="P497" t="inlineStr">
        <is>
          <t>adjusted xGOT</t>
        </is>
      </c>
      <c r="Q497" s="3" t="n">
        <v>0.996</v>
      </c>
      <c r="R497" s="3" t="n">
        <v>0</v>
      </c>
      <c r="S497" s="3" t="n">
        <v>0</v>
      </c>
      <c r="T497" s="3" t="n"/>
      <c r="U497" s="3" t="n">
        <v>0</v>
      </c>
      <c r="V497" s="3" t="n">
        <v>3.333</v>
      </c>
      <c r="W497" s="3">
        <f>IF(V497="",IFERROR(VLOOKUP($C497,Assumptions!$A$4:$F$7,6,FALSE),0),V497)</f>
        <v/>
      </c>
      <c r="X497" s="3">
        <f>N(O497)*IFERROR(VLOOKUP($C497,Assumptions!$A$4:$F$7,2,FALSE),0)</f>
        <v/>
      </c>
      <c r="Y497" s="3">
        <f>N(S497)*IFERROR(VLOOKUP($C497,Assumptions!$A$4:$F$7,3,FALSE),0)*Assumptions!$B$11</f>
        <v/>
      </c>
      <c r="Z497" s="3">
        <f>N(N497)*IFERROR(VLOOKUP($C497,Assumptions!$A$4:$F$7,4,FALSE),0)</f>
        <v/>
      </c>
      <c r="AA497" s="3">
        <f>N(T497)*IFERROR(VLOOKUP($C497,Assumptions!$A$4:$F$7,5,FALSE),0)</f>
        <v/>
      </c>
      <c r="AB497" s="3">
        <f>N(U497)</f>
        <v/>
      </c>
      <c r="AC497" s="3">
        <f>SUM(W497:AB497)</f>
        <v/>
      </c>
      <c r="AD497" s="3">
        <f>N(AC497)*N(M497)/90</f>
        <v/>
      </c>
      <c r="AE497" s="3">
        <f>IFERROR(AD497-VLOOKUP($C497,Assumptions!$A$29:$C$32,3,FALSE),"")</f>
        <v/>
      </c>
      <c r="AF497" s="3">
        <f>IFERROR(AE497/F497,"")</f>
        <v/>
      </c>
      <c r="AG497">
        <f>IF(AND($E497=TRUE,$C497="GKP"),AD497,"")</f>
        <v/>
      </c>
      <c r="AH497">
        <f>IF(AND($E497=TRUE,$C497="DEF"),AD497,"")</f>
        <v/>
      </c>
      <c r="AI497">
        <f>IF(AND($E497=TRUE,$C497="MID"),AD497,"")</f>
        <v/>
      </c>
      <c r="AJ497">
        <f>IF(AND($E497=TRUE,$C497="FWD"),AD497,"")</f>
        <v/>
      </c>
    </row>
    <row r="498">
      <c r="A498" t="inlineStr">
        <is>
          <t>Nathan Aké</t>
        </is>
      </c>
      <c r="D498" t="inlineStr">
        <is>
          <t>DEF</t>
        </is>
      </c>
      <c r="E498" t="b">
        <v>0</v>
      </c>
      <c r="F498" s="2" t="n"/>
      <c r="I498" s="2" t="n">
        <v>688</v>
      </c>
      <c r="K498" s="3" t="n"/>
      <c r="M498" s="4" t="n">
        <v>688</v>
      </c>
      <c r="N498" s="4" t="n"/>
      <c r="O498" s="3" t="n">
        <v>0.0793</v>
      </c>
      <c r="P498" t="inlineStr">
        <is>
          <t>adjusted xGOT</t>
        </is>
      </c>
      <c r="Q498" s="3" t="n">
        <v>0.841</v>
      </c>
      <c r="R498" s="3" t="n">
        <v>5</v>
      </c>
      <c r="S498" s="3" t="n">
        <v>0.0931</v>
      </c>
      <c r="T498" s="3" t="n">
        <v>0.167</v>
      </c>
      <c r="U498" s="3" t="n">
        <v>0</v>
      </c>
      <c r="V498" s="3" t="n">
        <v>3.27</v>
      </c>
      <c r="W498" s="3">
        <f>IF(V498="",IFERROR(VLOOKUP($C498,Assumptions!$A$4:$F$7,6,FALSE),0),V498)</f>
        <v/>
      </c>
      <c r="X498" s="3">
        <f>N(O498)*IFERROR(VLOOKUP($C498,Assumptions!$A$4:$F$7,2,FALSE),0)</f>
        <v/>
      </c>
      <c r="Y498" s="3">
        <f>N(S498)*IFERROR(VLOOKUP($C498,Assumptions!$A$4:$F$7,3,FALSE),0)*Assumptions!$B$11</f>
        <v/>
      </c>
      <c r="Z498" s="3">
        <f>N(N498)*IFERROR(VLOOKUP($C498,Assumptions!$A$4:$F$7,4,FALSE),0)</f>
        <v/>
      </c>
      <c r="AA498" s="3">
        <f>N(T498)*IFERROR(VLOOKUP($C498,Assumptions!$A$4:$F$7,5,FALSE),0)</f>
        <v/>
      </c>
      <c r="AB498" s="3">
        <f>N(U498)</f>
        <v/>
      </c>
      <c r="AC498" s="3">
        <f>SUM(W498:AB498)</f>
        <v/>
      </c>
      <c r="AD498" s="3">
        <f>N(AC498)*N(M498)/90</f>
        <v/>
      </c>
      <c r="AE498" s="3">
        <f>IFERROR(AD498-VLOOKUP($C498,Assumptions!$A$29:$C$32,3,FALSE),"")</f>
        <v/>
      </c>
      <c r="AF498" s="3">
        <f>IFERROR(AE498/F498,"")</f>
        <v/>
      </c>
      <c r="AG498">
        <f>IF(AND($E498=TRUE,$C498="GKP"),AD498,"")</f>
        <v/>
      </c>
      <c r="AH498">
        <f>IF(AND($E498=TRUE,$C498="DEF"),AD498,"")</f>
        <v/>
      </c>
      <c r="AI498">
        <f>IF(AND($E498=TRUE,$C498="MID"),AD498,"")</f>
        <v/>
      </c>
      <c r="AJ498">
        <f>IF(AND($E498=TRUE,$C498="FWD"),AD498,"")</f>
        <v/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b">
        <v>1</v>
      </c>
      <c r="F499" s="2" t="n">
        <v>4</v>
      </c>
      <c r="G499" t="inlineStr">
        <is>
          <t>a</t>
        </is>
      </c>
      <c r="I499" s="2" t="n"/>
      <c r="K499" s="3" t="n">
        <v>1824</v>
      </c>
      <c r="L499" t="inlineStr">
        <is>
          <t>fade (losing his place)</t>
        </is>
      </c>
      <c r="M499" s="4" t="n"/>
      <c r="N499" s="4" t="n"/>
      <c r="O499" s="3" t="n"/>
      <c r="P499" t="inlineStr"/>
      <c r="Q499" s="3" t="n"/>
      <c r="R499" s="3" t="n"/>
      <c r="S499" s="3" t="n"/>
      <c r="T499" s="3" t="n"/>
      <c r="U499" s="3" t="n"/>
      <c r="V499" s="3" t="n"/>
      <c r="W499" s="3">
        <f>IF(V499="",IFERROR(VLOOKUP($C499,Assumptions!$A$4:$F$7,6,FALSE),0),V499)</f>
        <v/>
      </c>
      <c r="X499" s="3">
        <f>N(O499)*IFERROR(VLOOKUP($C499,Assumptions!$A$4:$F$7,2,FALSE),0)</f>
        <v/>
      </c>
      <c r="Y499" s="3">
        <f>N(S499)*IFERROR(VLOOKUP($C499,Assumptions!$A$4:$F$7,3,FALSE),0)*Assumptions!$B$11</f>
        <v/>
      </c>
      <c r="Z499" s="3">
        <f>N(N499)*IFERROR(VLOOKUP($C499,Assumptions!$A$4:$F$7,4,FALSE),0)</f>
        <v/>
      </c>
      <c r="AA499" s="3">
        <f>N(T499)*IFERROR(VLOOKUP($C499,Assumptions!$A$4:$F$7,5,FALSE),0)</f>
        <v/>
      </c>
      <c r="AB499" s="3">
        <f>N(U499)</f>
        <v/>
      </c>
      <c r="AC499" s="3">
        <f>SUM(W499:AB499)</f>
        <v/>
      </c>
      <c r="AD499" s="3">
        <f>N(AC499)*N(M499)/90</f>
        <v/>
      </c>
      <c r="AE499" s="3">
        <f>IFERROR(AD499-VLOOKUP($C499,Assumptions!$A$29:$C$32,3,FALSE),"")</f>
        <v/>
      </c>
      <c r="AF499" s="3">
        <f>IFERROR(AE499/F499,"")</f>
        <v/>
      </c>
      <c r="AG499">
        <f>IF(AND($E499=TRUE,$C499="GKP"),AD499,"")</f>
        <v/>
      </c>
      <c r="AH499">
        <f>IF(AND($E499=TRUE,$C499="DEF"),AD499,"")</f>
        <v/>
      </c>
      <c r="AI499">
        <f>IF(AND($E499=TRUE,$C499="MID"),AD499,"")</f>
        <v/>
      </c>
      <c r="AJ499">
        <f>IF(AND($E499=TRUE,$C499="FWD"),AD499,"")</f>
        <v/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b">
        <v>1</v>
      </c>
      <c r="F500" s="2" t="n">
        <v>5</v>
      </c>
      <c r="G500" t="inlineStr">
        <is>
          <t>a</t>
        </is>
      </c>
      <c r="I500" s="2" t="n"/>
      <c r="K500" s="3" t="n">
        <v>220</v>
      </c>
      <c r="L500" t="inlineStr">
        <is>
          <t>flat</t>
        </is>
      </c>
      <c r="M500" s="4" t="n"/>
      <c r="N500" s="4" t="n"/>
      <c r="O500" s="3" t="n"/>
      <c r="P500" t="inlineStr"/>
      <c r="Q500" s="3" t="n"/>
      <c r="R500" s="3" t="n"/>
      <c r="S500" s="3" t="n"/>
      <c r="T500" s="3" t="n"/>
      <c r="U500" s="3" t="n"/>
      <c r="V500" s="3" t="n"/>
      <c r="W500" s="3">
        <f>IF(V500="",IFERROR(VLOOKUP($C500,Assumptions!$A$4:$F$7,6,FALSE),0),V500)</f>
        <v/>
      </c>
      <c r="X500" s="3">
        <f>N(O500)*IFERROR(VLOOKUP($C500,Assumptions!$A$4:$F$7,2,FALSE),0)</f>
        <v/>
      </c>
      <c r="Y500" s="3">
        <f>N(S500)*IFERROR(VLOOKUP($C500,Assumptions!$A$4:$F$7,3,FALSE),0)*Assumptions!$B$11</f>
        <v/>
      </c>
      <c r="Z500" s="3">
        <f>N(N500)*IFERROR(VLOOKUP($C500,Assumptions!$A$4:$F$7,4,FALSE),0)</f>
        <v/>
      </c>
      <c r="AA500" s="3">
        <f>N(T500)*IFERROR(VLOOKUP($C500,Assumptions!$A$4:$F$7,5,FALSE),0)</f>
        <v/>
      </c>
      <c r="AB500" s="3">
        <f>N(U500)</f>
        <v/>
      </c>
      <c r="AC500" s="3">
        <f>SUM(W500:AB500)</f>
        <v/>
      </c>
      <c r="AD500" s="3">
        <f>N(AC500)*N(M500)/90</f>
        <v/>
      </c>
      <c r="AE500" s="3">
        <f>IFERROR(AD500-VLOOKUP($C500,Assumptions!$A$29:$C$32,3,FALSE),"")</f>
        <v/>
      </c>
      <c r="AF500" s="3">
        <f>IFERROR(AE500/F500,"")</f>
        <v/>
      </c>
      <c r="AG500">
        <f>IF(AND($E500=TRUE,$C500="GKP"),AD500,"")</f>
        <v/>
      </c>
      <c r="AH500">
        <f>IF(AND($E500=TRUE,$C500="DEF"),AD500,"")</f>
        <v/>
      </c>
      <c r="AI500">
        <f>IF(AND($E500=TRUE,$C500="MID"),AD500,"")</f>
        <v/>
      </c>
      <c r="AJ500">
        <f>IF(AND($E500=TRUE,$C500="FWD"),AD500,"")</f>
        <v/>
      </c>
    </row>
    <row r="501">
      <c r="A501" t="inlineStr">
        <is>
          <t>José Sá</t>
        </is>
      </c>
      <c r="D501" t="inlineStr">
        <is>
          <t>GKP</t>
        </is>
      </c>
      <c r="E501" t="b">
        <v>0</v>
      </c>
      <c r="F501" s="2" t="n"/>
      <c r="I501" s="2" t="n">
        <v>2070</v>
      </c>
      <c r="K501" s="3" t="n"/>
      <c r="M501" s="4" t="n">
        <v>2070</v>
      </c>
      <c r="N501" s="4" t="n"/>
      <c r="O501" s="3" t="n">
        <v>0</v>
      </c>
      <c r="P501" t="inlineStr">
        <is>
          <t>blended xG</t>
        </is>
      </c>
      <c r="Q501" s="3" t="n">
        <v>1</v>
      </c>
      <c r="R501" s="3" t="n">
        <v>0</v>
      </c>
      <c r="S501" s="3" t="n">
        <v>0.0036</v>
      </c>
      <c r="T501" s="3" t="n">
        <v>0</v>
      </c>
      <c r="U501" s="3" t="n">
        <v>0.3478</v>
      </c>
      <c r="V501" s="3" t="n">
        <v>2</v>
      </c>
      <c r="W501" s="3">
        <f>IF(V501="",IFERROR(VLOOKUP($C501,Assumptions!$A$4:$F$7,6,FALSE),0),V501)</f>
        <v/>
      </c>
      <c r="X501" s="3">
        <f>N(O501)*IFERROR(VLOOKUP($C501,Assumptions!$A$4:$F$7,2,FALSE),0)</f>
        <v/>
      </c>
      <c r="Y501" s="3">
        <f>N(S501)*IFERROR(VLOOKUP($C501,Assumptions!$A$4:$F$7,3,FALSE),0)*Assumptions!$B$11</f>
        <v/>
      </c>
      <c r="Z501" s="3">
        <f>N(N501)*IFERROR(VLOOKUP($C501,Assumptions!$A$4:$F$7,4,FALSE),0)</f>
        <v/>
      </c>
      <c r="AA501" s="3">
        <f>N(T501)*IFERROR(VLOOKUP($C501,Assumptions!$A$4:$F$7,5,FALSE),0)</f>
        <v/>
      </c>
      <c r="AB501" s="3">
        <f>N(U501)</f>
        <v/>
      </c>
      <c r="AC501" s="3">
        <f>SUM(W501:AB501)</f>
        <v/>
      </c>
      <c r="AD501" s="3">
        <f>N(AC501)*N(M501)/90</f>
        <v/>
      </c>
      <c r="AE501" s="3">
        <f>IFERROR(AD501-VLOOKUP($C501,Assumptions!$A$29:$C$32,3,FALSE),"")</f>
        <v/>
      </c>
      <c r="AF501" s="3">
        <f>IFERROR(AE501/F501,"")</f>
        <v/>
      </c>
      <c r="AG501">
        <f>IF(AND($E501=TRUE,$C501="GKP"),AD501,"")</f>
        <v/>
      </c>
      <c r="AH501">
        <f>IF(AND($E501=TRUE,$C501="DEF"),AD501,"")</f>
        <v/>
      </c>
      <c r="AI501">
        <f>IF(AND($E501=TRUE,$C501="MID"),AD501,"")</f>
        <v/>
      </c>
      <c r="AJ501">
        <f>IF(AND($E501=TRUE,$C501="FWD"),AD501,"")</f>
        <v/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b">
        <v>1</v>
      </c>
      <c r="F502" s="2" t="n">
        <v>5</v>
      </c>
      <c r="G502" t="inlineStr">
        <is>
          <t>u</t>
        </is>
      </c>
      <c r="H502" t="inlineStr">
        <is>
          <t>Has joined Leicester City permanently</t>
        </is>
      </c>
      <c r="I502" s="2" t="n"/>
      <c r="K502" s="3" t="n"/>
      <c r="M502" s="4" t="n"/>
      <c r="N502" s="4" t="n"/>
      <c r="O502" s="3" t="n"/>
      <c r="P502" t="inlineStr"/>
      <c r="Q502" s="3" t="n"/>
      <c r="R502" s="3" t="n"/>
      <c r="S502" s="3" t="n"/>
      <c r="T502" s="3" t="n"/>
      <c r="U502" s="3" t="n"/>
      <c r="V502" s="3" t="n"/>
      <c r="W502" s="3">
        <f>IF(V502="",IFERROR(VLOOKUP($C502,Assumptions!$A$4:$F$7,6,FALSE),0),V502)</f>
        <v/>
      </c>
      <c r="X502" s="3">
        <f>N(O502)*IFERROR(VLOOKUP($C502,Assumptions!$A$4:$F$7,2,FALSE),0)</f>
        <v/>
      </c>
      <c r="Y502" s="3">
        <f>N(S502)*IFERROR(VLOOKUP($C502,Assumptions!$A$4:$F$7,3,FALSE),0)*Assumptions!$B$11</f>
        <v/>
      </c>
      <c r="Z502" s="3">
        <f>N(N502)*IFERROR(VLOOKUP($C502,Assumptions!$A$4:$F$7,4,FALSE),0)</f>
        <v/>
      </c>
      <c r="AA502" s="3">
        <f>N(T502)*IFERROR(VLOOKUP($C502,Assumptions!$A$4:$F$7,5,FALSE),0)</f>
        <v/>
      </c>
      <c r="AB502" s="3">
        <f>N(U502)</f>
        <v/>
      </c>
      <c r="AC502" s="3">
        <f>SUM(W502:AB502)</f>
        <v/>
      </c>
      <c r="AD502" s="3">
        <f>N(AC502)*N(M502)/90</f>
        <v/>
      </c>
      <c r="AE502" s="3">
        <f>IFERROR(AD502-VLOOKUP($C502,Assumptions!$A$29:$C$32,3,FALSE),"")</f>
        <v/>
      </c>
      <c r="AF502" s="3">
        <f>IFERROR(AE502/F502,"")</f>
        <v/>
      </c>
      <c r="AG502">
        <f>IF(AND($E502=TRUE,$C502="GKP"),AD502,"")</f>
        <v/>
      </c>
      <c r="AH502">
        <f>IF(AND($E502=TRUE,$C502="DEF"),AD502,"")</f>
        <v/>
      </c>
      <c r="AI502">
        <f>IF(AND($E502=TRUE,$C502="MID"),AD502,"")</f>
        <v/>
      </c>
      <c r="AJ502">
        <f>IF(AND($E502=TRUE,$C502="FWD"),AD502,"")</f>
        <v/>
      </c>
    </row>
    <row r="503">
      <c r="A503" t="inlineStr">
        <is>
          <t>João Palhinha</t>
        </is>
      </c>
      <c r="D503" t="inlineStr">
        <is>
          <t>MID</t>
        </is>
      </c>
      <c r="E503" t="b">
        <v>0</v>
      </c>
      <c r="F503" s="2" t="n"/>
      <c r="I503" s="2" t="n">
        <v>2197</v>
      </c>
      <c r="K503" s="3" t="n"/>
      <c r="M503" s="4" t="n">
        <v>2197</v>
      </c>
      <c r="N503" s="4" t="n"/>
      <c r="O503" s="3" t="n">
        <v>0.121</v>
      </c>
      <c r="P503" t="inlineStr">
        <is>
          <t>adjusted xGOT</t>
        </is>
      </c>
      <c r="Q503" s="3" t="n">
        <v>1.086</v>
      </c>
      <c r="R503" s="3" t="n">
        <v>9</v>
      </c>
      <c r="S503" s="3" t="n">
        <v>0.0315</v>
      </c>
      <c r="T503" s="3" t="n">
        <v>0.696</v>
      </c>
      <c r="U503" s="3" t="n">
        <v>0.7374000000000001</v>
      </c>
      <c r="V503" s="3" t="n">
        <v>2.212</v>
      </c>
      <c r="W503" s="3">
        <f>IF(V503="",IFERROR(VLOOKUP($C503,Assumptions!$A$4:$F$7,6,FALSE),0),V503)</f>
        <v/>
      </c>
      <c r="X503" s="3">
        <f>N(O503)*IFERROR(VLOOKUP($C503,Assumptions!$A$4:$F$7,2,FALSE),0)</f>
        <v/>
      </c>
      <c r="Y503" s="3">
        <f>N(S503)*IFERROR(VLOOKUP($C503,Assumptions!$A$4:$F$7,3,FALSE),0)*Assumptions!$B$11</f>
        <v/>
      </c>
      <c r="Z503" s="3">
        <f>N(N503)*IFERROR(VLOOKUP($C503,Assumptions!$A$4:$F$7,4,FALSE),0)</f>
        <v/>
      </c>
      <c r="AA503" s="3">
        <f>N(T503)*IFERROR(VLOOKUP($C503,Assumptions!$A$4:$F$7,5,FALSE),0)</f>
        <v/>
      </c>
      <c r="AB503" s="3">
        <f>N(U503)</f>
        <v/>
      </c>
      <c r="AC503" s="3">
        <f>SUM(W503:AB503)</f>
        <v/>
      </c>
      <c r="AD503" s="3">
        <f>N(AC503)*N(M503)/90</f>
        <v/>
      </c>
      <c r="AE503" s="3">
        <f>IFERROR(AD503-VLOOKUP($C503,Assumptions!$A$29:$C$32,3,FALSE),"")</f>
        <v/>
      </c>
      <c r="AF503" s="3">
        <f>IFERROR(AE503/F503,"")</f>
        <v/>
      </c>
      <c r="AG503">
        <f>IF(AND($E503=TRUE,$C503="GKP"),AD503,"")</f>
        <v/>
      </c>
      <c r="AH503">
        <f>IF(AND($E503=TRUE,$C503="DEF"),AD503,"")</f>
        <v/>
      </c>
      <c r="AI503">
        <f>IF(AND($E503=TRUE,$C503="MID"),AD503,"")</f>
        <v/>
      </c>
      <c r="AJ503">
        <f>IF(AND($E503=TRUE,$C503="FWD"),AD503,"")</f>
        <v/>
      </c>
    </row>
    <row r="504">
      <c r="A504" t="inlineStr">
        <is>
          <t>Adam Armstrong</t>
        </is>
      </c>
      <c r="D504" t="inlineStr">
        <is>
          <t>FWD</t>
        </is>
      </c>
      <c r="E504" t="b">
        <v>0</v>
      </c>
      <c r="F504" s="2" t="n"/>
      <c r="I504" s="2" t="n">
        <v>1146</v>
      </c>
      <c r="K504" s="3" t="n"/>
      <c r="M504" s="4" t="n">
        <v>1146</v>
      </c>
      <c r="N504" s="4" t="n"/>
      <c r="O504" s="3" t="n">
        <v>0.1924</v>
      </c>
      <c r="P504" t="inlineStr">
        <is>
          <t>adjusted xGOT</t>
        </is>
      </c>
      <c r="Q504" s="3" t="n">
        <v>0.884</v>
      </c>
      <c r="R504" s="3" t="n">
        <v>8.300000000000001</v>
      </c>
      <c r="S504" s="3" t="n">
        <v>0.1179</v>
      </c>
      <c r="T504" s="3" t="n">
        <v>0</v>
      </c>
      <c r="U504" s="3" t="n">
        <v>0.0785</v>
      </c>
      <c r="V504" s="3" t="n">
        <v>2.12</v>
      </c>
      <c r="W504" s="3">
        <f>IF(V504="",IFERROR(VLOOKUP($C504,Assumptions!$A$4:$F$7,6,FALSE),0),V504)</f>
        <v/>
      </c>
      <c r="X504" s="3">
        <f>N(O504)*IFERROR(VLOOKUP($C504,Assumptions!$A$4:$F$7,2,FALSE),0)</f>
        <v/>
      </c>
      <c r="Y504" s="3">
        <f>N(S504)*IFERROR(VLOOKUP($C504,Assumptions!$A$4:$F$7,3,FALSE),0)*Assumptions!$B$11</f>
        <v/>
      </c>
      <c r="Z504" s="3">
        <f>N(N504)*IFERROR(VLOOKUP($C504,Assumptions!$A$4:$F$7,4,FALSE),0)</f>
        <v/>
      </c>
      <c r="AA504" s="3">
        <f>N(T504)*IFERROR(VLOOKUP($C504,Assumptions!$A$4:$F$7,5,FALSE),0)</f>
        <v/>
      </c>
      <c r="AB504" s="3">
        <f>N(U504)</f>
        <v/>
      </c>
      <c r="AC504" s="3">
        <f>SUM(W504:AB504)</f>
        <v/>
      </c>
      <c r="AD504" s="3">
        <f>N(AC504)*N(M504)/90</f>
        <v/>
      </c>
      <c r="AE504" s="3">
        <f>IFERROR(AD504-VLOOKUP($C504,Assumptions!$A$29:$C$32,3,FALSE),"")</f>
        <v/>
      </c>
      <c r="AF504" s="3">
        <f>IFERROR(AE504/F504,"")</f>
        <v/>
      </c>
      <c r="AG504">
        <f>IF(AND($E504=TRUE,$C504="GKP"),AD504,"")</f>
        <v/>
      </c>
      <c r="AH504">
        <f>IF(AND($E504=TRUE,$C504="DEF"),AD504,"")</f>
        <v/>
      </c>
      <c r="AI504">
        <f>IF(AND($E504=TRUE,$C504="MID"),AD504,"")</f>
        <v/>
      </c>
      <c r="AJ504">
        <f>IF(AND($E504=TRUE,$C504="FWD"),AD504,"")</f>
        <v/>
      </c>
    </row>
    <row r="505">
      <c r="A505" t="inlineStr">
        <is>
          <t>Kyle Walker-Peters</t>
        </is>
      </c>
      <c r="D505" t="inlineStr">
        <is>
          <t>DEF</t>
        </is>
      </c>
      <c r="E505" t="b">
        <v>0</v>
      </c>
      <c r="F505" s="2" t="n"/>
      <c r="I505" s="2" t="n">
        <v>1380</v>
      </c>
      <c r="K505" s="3" t="n"/>
      <c r="M505" s="4" t="n">
        <v>1380</v>
      </c>
      <c r="N505" s="4" t="n"/>
      <c r="O505" s="3" t="n">
        <v>0.07530000000000001</v>
      </c>
      <c r="P505" t="inlineStr">
        <is>
          <t>adjusted xGOT</t>
        </is>
      </c>
      <c r="Q505" s="3" t="n">
        <v>1.022</v>
      </c>
      <c r="R505" s="3" t="n">
        <v>3.1</v>
      </c>
      <c r="S505" s="3" t="n">
        <v>0.0233</v>
      </c>
      <c r="T505" s="3" t="n">
        <v>0.133</v>
      </c>
      <c r="U505" s="3" t="n">
        <v>0</v>
      </c>
      <c r="V505" s="3" t="n">
        <v>2.413</v>
      </c>
      <c r="W505" s="3">
        <f>IF(V505="",IFERROR(VLOOKUP($C505,Assumptions!$A$4:$F$7,6,FALSE),0),V505)</f>
        <v/>
      </c>
      <c r="X505" s="3">
        <f>N(O505)*IFERROR(VLOOKUP($C505,Assumptions!$A$4:$F$7,2,FALSE),0)</f>
        <v/>
      </c>
      <c r="Y505" s="3">
        <f>N(S505)*IFERROR(VLOOKUP($C505,Assumptions!$A$4:$F$7,3,FALSE),0)*Assumptions!$B$11</f>
        <v/>
      </c>
      <c r="Z505" s="3">
        <f>N(N505)*IFERROR(VLOOKUP($C505,Assumptions!$A$4:$F$7,4,FALSE),0)</f>
        <v/>
      </c>
      <c r="AA505" s="3">
        <f>N(T505)*IFERROR(VLOOKUP($C505,Assumptions!$A$4:$F$7,5,FALSE),0)</f>
        <v/>
      </c>
      <c r="AB505" s="3">
        <f>N(U505)</f>
        <v/>
      </c>
      <c r="AC505" s="3">
        <f>SUM(W505:AB505)</f>
        <v/>
      </c>
      <c r="AD505" s="3">
        <f>N(AC505)*N(M505)/90</f>
        <v/>
      </c>
      <c r="AE505" s="3">
        <f>IFERROR(AD505-VLOOKUP($C505,Assumptions!$A$29:$C$32,3,FALSE),"")</f>
        <v/>
      </c>
      <c r="AF505" s="3">
        <f>IFERROR(AE505/F505,"")</f>
        <v/>
      </c>
      <c r="AG505">
        <f>IF(AND($E505=TRUE,$C505="GKP"),AD505,"")</f>
        <v/>
      </c>
      <c r="AH505">
        <f>IF(AND($E505=TRUE,$C505="DEF"),AD505,"")</f>
        <v/>
      </c>
      <c r="AI505">
        <f>IF(AND($E505=TRUE,$C505="MID"),AD505,"")</f>
        <v/>
      </c>
      <c r="AJ505">
        <f>IF(AND($E505=TRUE,$C505="FWD"),AD505,"")</f>
        <v/>
      </c>
    </row>
    <row r="506">
      <c r="A506" t="inlineStr">
        <is>
          <t>Adama Traoré</t>
        </is>
      </c>
      <c r="D506" t="inlineStr">
        <is>
          <t>MID</t>
        </is>
      </c>
      <c r="E506" t="b">
        <v>0</v>
      </c>
      <c r="F506" s="2" t="n"/>
      <c r="I506" s="2" t="n">
        <v>377</v>
      </c>
      <c r="K506" s="3" t="n"/>
      <c r="M506" s="4" t="n">
        <v>377</v>
      </c>
      <c r="N506" s="4" t="n"/>
      <c r="O506" s="3" t="n">
        <v>0.1671</v>
      </c>
      <c r="P506" t="inlineStr">
        <is>
          <t>adjusted xGOT</t>
        </is>
      </c>
      <c r="Q506" s="3" t="n">
        <v>1.015</v>
      </c>
      <c r="R506" s="3" t="n">
        <v>7.7</v>
      </c>
      <c r="S506" s="3" t="n">
        <v>0.099</v>
      </c>
      <c r="T506" s="3" t="n">
        <v>0</v>
      </c>
      <c r="U506" s="3" t="n">
        <v>0</v>
      </c>
      <c r="V506" s="3" t="n">
        <v>6.207</v>
      </c>
      <c r="W506" s="3">
        <f>IF(V506="",IFERROR(VLOOKUP($C506,Assumptions!$A$4:$F$7,6,FALSE),0),V506)</f>
        <v/>
      </c>
      <c r="X506" s="3">
        <f>N(O506)*IFERROR(VLOOKUP($C506,Assumptions!$A$4:$F$7,2,FALSE),0)</f>
        <v/>
      </c>
      <c r="Y506" s="3">
        <f>N(S506)*IFERROR(VLOOKUP($C506,Assumptions!$A$4:$F$7,3,FALSE),0)*Assumptions!$B$11</f>
        <v/>
      </c>
      <c r="Z506" s="3">
        <f>N(N506)*IFERROR(VLOOKUP($C506,Assumptions!$A$4:$F$7,4,FALSE),0)</f>
        <v/>
      </c>
      <c r="AA506" s="3">
        <f>N(T506)*IFERROR(VLOOKUP($C506,Assumptions!$A$4:$F$7,5,FALSE),0)</f>
        <v/>
      </c>
      <c r="AB506" s="3">
        <f>N(U506)</f>
        <v/>
      </c>
      <c r="AC506" s="3">
        <f>SUM(W506:AB506)</f>
        <v/>
      </c>
      <c r="AD506" s="3">
        <f>N(AC506)*N(M506)/90</f>
        <v/>
      </c>
      <c r="AE506" s="3">
        <f>IFERROR(AD506-VLOOKUP($C506,Assumptions!$A$29:$C$32,3,FALSE),"")</f>
        <v/>
      </c>
      <c r="AF506" s="3">
        <f>IFERROR(AE506/F506,"")</f>
        <v/>
      </c>
      <c r="AG506">
        <f>IF(AND($E506=TRUE,$C506="GKP"),AD506,"")</f>
        <v/>
      </c>
      <c r="AH506">
        <f>IF(AND($E506=TRUE,$C506="DEF"),AD506,"")</f>
        <v/>
      </c>
      <c r="AI506">
        <f>IF(AND($E506=TRUE,$C506="MID"),AD506,"")</f>
        <v/>
      </c>
      <c r="AJ506">
        <f>IF(AND($E506=TRUE,$C506="FWD"),AD506,"")</f>
        <v/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b">
        <v>1</v>
      </c>
      <c r="F507" s="2" t="n">
        <v>4</v>
      </c>
      <c r="G507" t="inlineStr">
        <is>
          <t>a</t>
        </is>
      </c>
      <c r="I507" s="2" t="n"/>
      <c r="K507" s="3" t="n">
        <v>103</v>
      </c>
      <c r="L507" t="inlineStr">
        <is>
          <t>flat</t>
        </is>
      </c>
      <c r="M507" s="4" t="n"/>
      <c r="N507" s="4" t="n"/>
      <c r="O507" s="3" t="n"/>
      <c r="P507" t="inlineStr"/>
      <c r="Q507" s="3" t="n"/>
      <c r="R507" s="3" t="n"/>
      <c r="S507" s="3" t="n"/>
      <c r="T507" s="3" t="n"/>
      <c r="U507" s="3" t="n"/>
      <c r="V507" s="3" t="n"/>
      <c r="W507" s="3">
        <f>IF(V507="",IFERROR(VLOOKUP($C507,Assumptions!$A$4:$F$7,6,FALSE),0),V507)</f>
        <v/>
      </c>
      <c r="X507" s="3">
        <f>N(O507)*IFERROR(VLOOKUP($C507,Assumptions!$A$4:$F$7,2,FALSE),0)</f>
        <v/>
      </c>
      <c r="Y507" s="3">
        <f>N(S507)*IFERROR(VLOOKUP($C507,Assumptions!$A$4:$F$7,3,FALSE),0)*Assumptions!$B$11</f>
        <v/>
      </c>
      <c r="Z507" s="3">
        <f>N(N507)*IFERROR(VLOOKUP($C507,Assumptions!$A$4:$F$7,4,FALSE),0)</f>
        <v/>
      </c>
      <c r="AA507" s="3">
        <f>N(T507)*IFERROR(VLOOKUP($C507,Assumptions!$A$4:$F$7,5,FALSE),0)</f>
        <v/>
      </c>
      <c r="AB507" s="3">
        <f>N(U507)</f>
        <v/>
      </c>
      <c r="AC507" s="3">
        <f>SUM(W507:AB507)</f>
        <v/>
      </c>
      <c r="AD507" s="3">
        <f>N(AC507)*N(M507)/90</f>
        <v/>
      </c>
      <c r="AE507" s="3">
        <f>IFERROR(AD507-VLOOKUP($C507,Assumptions!$A$29:$C$32,3,FALSE),"")</f>
        <v/>
      </c>
      <c r="AF507" s="3">
        <f>IFERROR(AE507/F507,"")</f>
        <v/>
      </c>
      <c r="AG507">
        <f>IF(AND($E507=TRUE,$C507="GKP"),AD507,"")</f>
        <v/>
      </c>
      <c r="AH507">
        <f>IF(AND($E507=TRUE,$C507="DEF"),AD507,"")</f>
        <v/>
      </c>
      <c r="AI507">
        <f>IF(AND($E507=TRUE,$C507="MID"),AD507,"")</f>
        <v/>
      </c>
      <c r="AJ507">
        <f>IF(AND($E507=TRUE,$C507="FWD"),AD507,"")</f>
        <v/>
      </c>
    </row>
    <row r="508">
      <c r="A508" t="inlineStr">
        <is>
          <t>Bernardo Silva</t>
        </is>
      </c>
      <c r="D508" t="inlineStr">
        <is>
          <t>MID</t>
        </is>
      </c>
      <c r="E508" t="b">
        <v>0</v>
      </c>
      <c r="F508" s="2" t="n"/>
      <c r="I508" s="2" t="n">
        <v>2886</v>
      </c>
      <c r="K508" s="3" t="n"/>
      <c r="M508" s="4" t="n">
        <v>2886</v>
      </c>
      <c r="N508" s="4" t="n"/>
      <c r="O508" s="3" t="n">
        <v>0.0934</v>
      </c>
      <c r="P508" t="inlineStr">
        <is>
          <t>adjusted xGOT</t>
        </is>
      </c>
      <c r="Q508" s="3" t="n">
        <v>1.105</v>
      </c>
      <c r="R508" s="3" t="n">
        <v>12.2</v>
      </c>
      <c r="S508" s="3" t="n">
        <v>0.1647</v>
      </c>
      <c r="T508" s="3" t="n">
        <v>0.265</v>
      </c>
      <c r="U508" s="3" t="n">
        <v>0.1247</v>
      </c>
      <c r="V508" s="3" t="n">
        <v>2.152</v>
      </c>
      <c r="W508" s="3">
        <f>IF(V508="",IFERROR(VLOOKUP($C508,Assumptions!$A$4:$F$7,6,FALSE),0),V508)</f>
        <v/>
      </c>
      <c r="X508" s="3">
        <f>N(O508)*IFERROR(VLOOKUP($C508,Assumptions!$A$4:$F$7,2,FALSE),0)</f>
        <v/>
      </c>
      <c r="Y508" s="3">
        <f>N(S508)*IFERROR(VLOOKUP($C508,Assumptions!$A$4:$F$7,3,FALSE),0)*Assumptions!$B$11</f>
        <v/>
      </c>
      <c r="Z508" s="3">
        <f>N(N508)*IFERROR(VLOOKUP($C508,Assumptions!$A$4:$F$7,4,FALSE),0)</f>
        <v/>
      </c>
      <c r="AA508" s="3">
        <f>N(T508)*IFERROR(VLOOKUP($C508,Assumptions!$A$4:$F$7,5,FALSE),0)</f>
        <v/>
      </c>
      <c r="AB508" s="3">
        <f>N(U508)</f>
        <v/>
      </c>
      <c r="AC508" s="3">
        <f>SUM(W508:AB508)</f>
        <v/>
      </c>
      <c r="AD508" s="3">
        <f>N(AC508)*N(M508)/90</f>
        <v/>
      </c>
      <c r="AE508" s="3">
        <f>IFERROR(AD508-VLOOKUP($C508,Assumptions!$A$29:$C$32,3,FALSE),"")</f>
        <v/>
      </c>
      <c r="AF508" s="3">
        <f>IFERROR(AE508/F508,"")</f>
        <v/>
      </c>
      <c r="AG508">
        <f>IF(AND($E508=TRUE,$C508="GKP"),AD508,"")</f>
        <v/>
      </c>
      <c r="AH508">
        <f>IF(AND($E508=TRUE,$C508="DEF"),AD508,"")</f>
        <v/>
      </c>
      <c r="AI508">
        <f>IF(AND($E508=TRUE,$C508="MID"),AD508,"")</f>
        <v/>
      </c>
      <c r="AJ508">
        <f>IF(AND($E508=TRUE,$C508="FWD"),AD508,"")</f>
        <v/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b">
        <v>1</v>
      </c>
      <c r="F509" s="2" t="n">
        <v>4</v>
      </c>
      <c r="G509" t="inlineStr">
        <is>
          <t>a</t>
        </is>
      </c>
      <c r="I509" s="2" t="n"/>
      <c r="K509" s="3" t="n">
        <v>0</v>
      </c>
      <c r="L509" t="inlineStr">
        <is>
          <t>flat</t>
        </is>
      </c>
      <c r="M509" s="4" t="n"/>
      <c r="N509" s="4" t="n"/>
      <c r="O509" s="3" t="n"/>
      <c r="P509" t="inlineStr"/>
      <c r="Q509" s="3" t="n"/>
      <c r="R509" s="3" t="n"/>
      <c r="S509" s="3" t="n"/>
      <c r="T509" s="3" t="n">
        <v>0</v>
      </c>
      <c r="U509" s="3" t="n"/>
      <c r="V509" s="3" t="n"/>
      <c r="W509" s="3">
        <f>IF(V509="",IFERROR(VLOOKUP($C509,Assumptions!$A$4:$F$7,6,FALSE),0),V509)</f>
        <v/>
      </c>
      <c r="X509" s="3">
        <f>N(O509)*IFERROR(VLOOKUP($C509,Assumptions!$A$4:$F$7,2,FALSE),0)</f>
        <v/>
      </c>
      <c r="Y509" s="3">
        <f>N(S509)*IFERROR(VLOOKUP($C509,Assumptions!$A$4:$F$7,3,FALSE),0)*Assumptions!$B$11</f>
        <v/>
      </c>
      <c r="Z509" s="3">
        <f>N(N509)*IFERROR(VLOOKUP($C509,Assumptions!$A$4:$F$7,4,FALSE),0)</f>
        <v/>
      </c>
      <c r="AA509" s="3">
        <f>N(T509)*IFERROR(VLOOKUP($C509,Assumptions!$A$4:$F$7,5,FALSE),0)</f>
        <v/>
      </c>
      <c r="AB509" s="3">
        <f>N(U509)</f>
        <v/>
      </c>
      <c r="AC509" s="3">
        <f>SUM(W509:AB509)</f>
        <v/>
      </c>
      <c r="AD509" s="3">
        <f>N(AC509)*N(M509)/90</f>
        <v/>
      </c>
      <c r="AE509" s="3">
        <f>IFERROR(AD509-VLOOKUP($C509,Assumptions!$A$29:$C$32,3,FALSE),"")</f>
        <v/>
      </c>
      <c r="AF509" s="3">
        <f>IFERROR(AE509/F509,"")</f>
        <v/>
      </c>
      <c r="AG509">
        <f>IF(AND($E509=TRUE,$C509="GKP"),AD509,"")</f>
        <v/>
      </c>
      <c r="AH509">
        <f>IF(AND($E509=TRUE,$C509="DEF"),AD509,"")</f>
        <v/>
      </c>
      <c r="AI509">
        <f>IF(AND($E509=TRUE,$C509="MID"),AD509,"")</f>
        <v/>
      </c>
      <c r="AJ509">
        <f>IF(AND($E509=TRUE,$C509="FWD"),AD509,"")</f>
        <v/>
      </c>
    </row>
    <row r="510">
      <c r="A510" t="inlineStr">
        <is>
          <t>Josh Laurent</t>
        </is>
      </c>
      <c r="D510" t="inlineStr">
        <is>
          <t>MID</t>
        </is>
      </c>
      <c r="E510" t="b">
        <v>0</v>
      </c>
      <c r="F510" s="2" t="n"/>
      <c r="I510" s="2" t="n">
        <v>1759</v>
      </c>
      <c r="K510" s="3" t="n"/>
      <c r="M510" s="4" t="n">
        <v>1759</v>
      </c>
      <c r="N510" s="4" t="n"/>
      <c r="O510" s="3" t="n">
        <v>0.0457</v>
      </c>
      <c r="P510" t="inlineStr">
        <is>
          <t>adjusted xGOT</t>
        </is>
      </c>
      <c r="Q510" s="3" t="n">
        <v>1.026</v>
      </c>
      <c r="R510" s="3" t="n">
        <v>0.9</v>
      </c>
      <c r="S510" s="3" t="n">
        <v>0.0376</v>
      </c>
      <c r="T510" s="3" t="n">
        <v>0.278</v>
      </c>
      <c r="U510" s="3" t="n">
        <v>0.0512</v>
      </c>
      <c r="V510" s="3" t="n">
        <v>2.507</v>
      </c>
      <c r="W510" s="3">
        <f>IF(V510="",IFERROR(VLOOKUP($C510,Assumptions!$A$4:$F$7,6,FALSE),0),V510)</f>
        <v/>
      </c>
      <c r="X510" s="3">
        <f>N(O510)*IFERROR(VLOOKUP($C510,Assumptions!$A$4:$F$7,2,FALSE),0)</f>
        <v/>
      </c>
      <c r="Y510" s="3">
        <f>N(S510)*IFERROR(VLOOKUP($C510,Assumptions!$A$4:$F$7,3,FALSE),0)*Assumptions!$B$11</f>
        <v/>
      </c>
      <c r="Z510" s="3">
        <f>N(N510)*IFERROR(VLOOKUP($C510,Assumptions!$A$4:$F$7,4,FALSE),0)</f>
        <v/>
      </c>
      <c r="AA510" s="3">
        <f>N(T510)*IFERROR(VLOOKUP($C510,Assumptions!$A$4:$F$7,5,FALSE),0)</f>
        <v/>
      </c>
      <c r="AB510" s="3">
        <f>N(U510)</f>
        <v/>
      </c>
      <c r="AC510" s="3">
        <f>SUM(W510:AB510)</f>
        <v/>
      </c>
      <c r="AD510" s="3">
        <f>N(AC510)*N(M510)/90</f>
        <v/>
      </c>
      <c r="AE510" s="3">
        <f>IFERROR(AD510-VLOOKUP($C510,Assumptions!$A$29:$C$32,3,FALSE),"")</f>
        <v/>
      </c>
      <c r="AF510" s="3">
        <f>IFERROR(AE510/F510,"")</f>
        <v/>
      </c>
      <c r="AG510">
        <f>IF(AND($E510=TRUE,$C510="GKP"),AD510,"")</f>
        <v/>
      </c>
      <c r="AH510">
        <f>IF(AND($E510=TRUE,$C510="DEF"),AD510,"")</f>
        <v/>
      </c>
      <c r="AI510">
        <f>IF(AND($E510=TRUE,$C510="MID"),AD510,"")</f>
        <v/>
      </c>
      <c r="AJ510">
        <f>IF(AND($E510=TRUE,$C510="FWD"),AD510,"")</f>
        <v/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b">
        <v>1</v>
      </c>
      <c r="F511" s="2" t="n">
        <v>5</v>
      </c>
      <c r="G511" t="inlineStr">
        <is>
          <t>a</t>
        </is>
      </c>
      <c r="I511" s="2" t="n"/>
      <c r="K511" s="3" t="n">
        <v>2668</v>
      </c>
      <c r="L511" t="inlineStr">
        <is>
          <t>flat</t>
        </is>
      </c>
      <c r="M511" s="4" t="n"/>
      <c r="N511" s="4" t="n"/>
      <c r="O511" s="3" t="n"/>
      <c r="P511" t="inlineStr"/>
      <c r="Q511" s="3" t="n"/>
      <c r="R511" s="3" t="n"/>
      <c r="S511" s="3" t="n"/>
      <c r="T511" s="3" t="n"/>
      <c r="U511" s="3" t="n"/>
      <c r="V511" s="3" t="n"/>
      <c r="W511" s="3">
        <f>IF(V511="",IFERROR(VLOOKUP($C511,Assumptions!$A$4:$F$7,6,FALSE),0),V511)</f>
        <v/>
      </c>
      <c r="X511" s="3">
        <f>N(O511)*IFERROR(VLOOKUP($C511,Assumptions!$A$4:$F$7,2,FALSE),0)</f>
        <v/>
      </c>
      <c r="Y511" s="3">
        <f>N(S511)*IFERROR(VLOOKUP($C511,Assumptions!$A$4:$F$7,3,FALSE),0)*Assumptions!$B$11</f>
        <v/>
      </c>
      <c r="Z511" s="3">
        <f>N(N511)*IFERROR(VLOOKUP($C511,Assumptions!$A$4:$F$7,4,FALSE),0)</f>
        <v/>
      </c>
      <c r="AA511" s="3">
        <f>N(T511)*IFERROR(VLOOKUP($C511,Assumptions!$A$4:$F$7,5,FALSE),0)</f>
        <v/>
      </c>
      <c r="AB511" s="3">
        <f>N(U511)</f>
        <v/>
      </c>
      <c r="AC511" s="3">
        <f>SUM(W511:AB511)</f>
        <v/>
      </c>
      <c r="AD511" s="3">
        <f>N(AC511)*N(M511)/90</f>
        <v/>
      </c>
      <c r="AE511" s="3">
        <f>IFERROR(AD511-VLOOKUP($C511,Assumptions!$A$29:$C$32,3,FALSE),"")</f>
        <v/>
      </c>
      <c r="AF511" s="3">
        <f>IFERROR(AE511/F511,"")</f>
        <v/>
      </c>
      <c r="AG511">
        <f>IF(AND($E511=TRUE,$C511="GKP"),AD511,"")</f>
        <v/>
      </c>
      <c r="AH511">
        <f>IF(AND($E511=TRUE,$C511="DEF"),AD511,"")</f>
        <v/>
      </c>
      <c r="AI511">
        <f>IF(AND($E511=TRUE,$C511="MID"),AD511,"")</f>
        <v/>
      </c>
      <c r="AJ511">
        <f>IF(AND($E511=TRUE,$C511="FWD"),AD511,"")</f>
        <v/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b">
        <v>1</v>
      </c>
      <c r="F512" s="2" t="n">
        <v>5.5</v>
      </c>
      <c r="G512" t="inlineStr">
        <is>
          <t>a</t>
        </is>
      </c>
      <c r="I512" s="2" t="n"/>
      <c r="K512" s="3" t="n">
        <v>3260</v>
      </c>
      <c r="L512" t="inlineStr">
        <is>
          <t>flat</t>
        </is>
      </c>
      <c r="M512" s="4" t="n"/>
      <c r="N512" s="4" t="n"/>
      <c r="O512" s="3" t="n"/>
      <c r="P512" t="inlineStr"/>
      <c r="Q512" s="3" t="n"/>
      <c r="R512" s="3" t="n"/>
      <c r="S512" s="3" t="n"/>
      <c r="T512" s="3" t="n"/>
      <c r="U512" s="3" t="n"/>
      <c r="V512" s="3" t="n"/>
      <c r="W512" s="3">
        <f>IF(V512="",IFERROR(VLOOKUP($C512,Assumptions!$A$4:$F$7,6,FALSE),0),V512)</f>
        <v/>
      </c>
      <c r="X512" s="3">
        <f>N(O512)*IFERROR(VLOOKUP($C512,Assumptions!$A$4:$F$7,2,FALSE),0)</f>
        <v/>
      </c>
      <c r="Y512" s="3">
        <f>N(S512)*IFERROR(VLOOKUP($C512,Assumptions!$A$4:$F$7,3,FALSE),0)*Assumptions!$B$11</f>
        <v/>
      </c>
      <c r="Z512" s="3">
        <f>N(N512)*IFERROR(VLOOKUP($C512,Assumptions!$A$4:$F$7,4,FALSE),0)</f>
        <v/>
      </c>
      <c r="AA512" s="3">
        <f>N(T512)*IFERROR(VLOOKUP($C512,Assumptions!$A$4:$F$7,5,FALSE),0)</f>
        <v/>
      </c>
      <c r="AB512" s="3">
        <f>N(U512)</f>
        <v/>
      </c>
      <c r="AC512" s="3">
        <f>SUM(W512:AB512)</f>
        <v/>
      </c>
      <c r="AD512" s="3">
        <f>N(AC512)*N(M512)/90</f>
        <v/>
      </c>
      <c r="AE512" s="3">
        <f>IFERROR(AD512-VLOOKUP($C512,Assumptions!$A$29:$C$32,3,FALSE),"")</f>
        <v/>
      </c>
      <c r="AF512" s="3">
        <f>IFERROR(AE512/F512,"")</f>
        <v/>
      </c>
      <c r="AG512">
        <f>IF(AND($E512=TRUE,$C512="GKP"),AD512,"")</f>
        <v/>
      </c>
      <c r="AH512">
        <f>IF(AND($E512=TRUE,$C512="DEF"),AD512,"")</f>
        <v/>
      </c>
      <c r="AI512">
        <f>IF(AND($E512=TRUE,$C512="MID"),AD512,"")</f>
        <v/>
      </c>
      <c r="AJ512">
        <f>IF(AND($E512=TRUE,$C512="FWD"),AD512,"")</f>
        <v/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b">
        <v>1</v>
      </c>
      <c r="F513" s="2" t="n">
        <v>4.5</v>
      </c>
      <c r="G513" t="inlineStr">
        <is>
          <t>a</t>
        </is>
      </c>
      <c r="I513" s="2" t="n"/>
      <c r="K513" s="3" t="n">
        <v>51</v>
      </c>
      <c r="L513" t="inlineStr">
        <is>
          <t>flat</t>
        </is>
      </c>
      <c r="M513" s="4" t="n"/>
      <c r="N513" s="4" t="n"/>
      <c r="O513" s="3" t="n"/>
      <c r="P513" t="inlineStr"/>
      <c r="Q513" s="3" t="n"/>
      <c r="R513" s="3" t="n"/>
      <c r="S513" s="3" t="n"/>
      <c r="T513" s="3" t="n"/>
      <c r="U513" s="3" t="n"/>
      <c r="V513" s="3" t="n"/>
      <c r="W513" s="3">
        <f>IF(V513="",IFERROR(VLOOKUP($C513,Assumptions!$A$4:$F$7,6,FALSE),0),V513)</f>
        <v/>
      </c>
      <c r="X513" s="3">
        <f>N(O513)*IFERROR(VLOOKUP($C513,Assumptions!$A$4:$F$7,2,FALSE),0)</f>
        <v/>
      </c>
      <c r="Y513" s="3">
        <f>N(S513)*IFERROR(VLOOKUP($C513,Assumptions!$A$4:$F$7,3,FALSE),0)*Assumptions!$B$11</f>
        <v/>
      </c>
      <c r="Z513" s="3">
        <f>N(N513)*IFERROR(VLOOKUP($C513,Assumptions!$A$4:$F$7,4,FALSE),0)</f>
        <v/>
      </c>
      <c r="AA513" s="3">
        <f>N(T513)*IFERROR(VLOOKUP($C513,Assumptions!$A$4:$F$7,5,FALSE),0)</f>
        <v/>
      </c>
      <c r="AB513" s="3">
        <f>N(U513)</f>
        <v/>
      </c>
      <c r="AC513" s="3">
        <f>SUM(W513:AB513)</f>
        <v/>
      </c>
      <c r="AD513" s="3">
        <f>N(AC513)*N(M513)/90</f>
        <v/>
      </c>
      <c r="AE513" s="3">
        <f>IFERROR(AD513-VLOOKUP($C513,Assumptions!$A$29:$C$32,3,FALSE),"")</f>
        <v/>
      </c>
      <c r="AF513" s="3">
        <f>IFERROR(AE513/F513,"")</f>
        <v/>
      </c>
      <c r="AG513">
        <f>IF(AND($E513=TRUE,$C513="GKP"),AD513,"")</f>
        <v/>
      </c>
      <c r="AH513">
        <f>IF(AND($E513=TRUE,$C513="DEF"),AD513,"")</f>
        <v/>
      </c>
      <c r="AI513">
        <f>IF(AND($E513=TRUE,$C513="MID"),AD513,"")</f>
        <v/>
      </c>
      <c r="AJ513">
        <f>IF(AND($E513=TRUE,$C513="FWD"),AD513,"")</f>
        <v/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b">
        <v>1</v>
      </c>
      <c r="F514" s="2" t="n">
        <v>5</v>
      </c>
      <c r="G514" t="inlineStr">
        <is>
          <t>a</t>
        </is>
      </c>
      <c r="I514" s="2" t="n"/>
      <c r="K514" s="3" t="n">
        <v>0</v>
      </c>
      <c r="L514" t="inlineStr">
        <is>
          <t>flat</t>
        </is>
      </c>
      <c r="M514" s="4" t="n"/>
      <c r="N514" s="4" t="n"/>
      <c r="O514" s="3" t="n"/>
      <c r="P514" t="inlineStr"/>
      <c r="Q514" s="3" t="n"/>
      <c r="R514" s="3" t="n"/>
      <c r="S514" s="3" t="n"/>
      <c r="T514" s="3" t="n"/>
      <c r="U514" s="3" t="n"/>
      <c r="V514" s="3" t="n"/>
      <c r="W514" s="3">
        <f>IF(V514="",IFERROR(VLOOKUP($C514,Assumptions!$A$4:$F$7,6,FALSE),0),V514)</f>
        <v/>
      </c>
      <c r="X514" s="3">
        <f>N(O514)*IFERROR(VLOOKUP($C514,Assumptions!$A$4:$F$7,2,FALSE),0)</f>
        <v/>
      </c>
      <c r="Y514" s="3">
        <f>N(S514)*IFERROR(VLOOKUP($C514,Assumptions!$A$4:$F$7,3,FALSE),0)*Assumptions!$B$11</f>
        <v/>
      </c>
      <c r="Z514" s="3">
        <f>N(N514)*IFERROR(VLOOKUP($C514,Assumptions!$A$4:$F$7,4,FALSE),0)</f>
        <v/>
      </c>
      <c r="AA514" s="3">
        <f>N(T514)*IFERROR(VLOOKUP($C514,Assumptions!$A$4:$F$7,5,FALSE),0)</f>
        <v/>
      </c>
      <c r="AB514" s="3">
        <f>N(U514)</f>
        <v/>
      </c>
      <c r="AC514" s="3">
        <f>SUM(W514:AB514)</f>
        <v/>
      </c>
      <c r="AD514" s="3">
        <f>N(AC514)*N(M514)/90</f>
        <v/>
      </c>
      <c r="AE514" s="3">
        <f>IFERROR(AD514-VLOOKUP($C514,Assumptions!$A$29:$C$32,3,FALSE),"")</f>
        <v/>
      </c>
      <c r="AF514" s="3">
        <f>IFERROR(AE514/F514,"")</f>
        <v/>
      </c>
      <c r="AG514">
        <f>IF(AND($E514=TRUE,$C514="GKP"),AD514,"")</f>
        <v/>
      </c>
      <c r="AH514">
        <f>IF(AND($E514=TRUE,$C514="DEF"),AD514,"")</f>
        <v/>
      </c>
      <c r="AI514">
        <f>IF(AND($E514=TRUE,$C514="MID"),AD514,"")</f>
        <v/>
      </c>
      <c r="AJ514">
        <f>IF(AND($E514=TRUE,$C514="FWD"),AD514,"")</f>
        <v/>
      </c>
    </row>
    <row r="515">
      <c r="A515" t="inlineStr">
        <is>
          <t>Josh Cullen</t>
        </is>
      </c>
      <c r="D515" t="inlineStr">
        <is>
          <t>MID</t>
        </is>
      </c>
      <c r="E515" t="b">
        <v>0</v>
      </c>
      <c r="F515" s="2" t="n"/>
      <c r="I515" s="2" t="n">
        <v>1519</v>
      </c>
      <c r="K515" s="3" t="n"/>
      <c r="M515" s="4" t="n">
        <v>1519</v>
      </c>
      <c r="N515" s="4" t="n"/>
      <c r="O515" s="3" t="n">
        <v>0.0643</v>
      </c>
      <c r="P515" t="inlineStr">
        <is>
          <t>adjusted xGOT</t>
        </is>
      </c>
      <c r="Q515" s="3" t="n">
        <v>1.154</v>
      </c>
      <c r="R515" s="3" t="n">
        <v>1.5</v>
      </c>
      <c r="S515" s="3" t="n">
        <v>0.1076</v>
      </c>
      <c r="T515" s="3" t="n">
        <v>0.333</v>
      </c>
      <c r="U515" s="3" t="n">
        <v>0.4147</v>
      </c>
      <c r="V515" s="3" t="n">
        <v>2.074</v>
      </c>
      <c r="W515" s="3">
        <f>IF(V515="",IFERROR(VLOOKUP($C515,Assumptions!$A$4:$F$7,6,FALSE),0),V515)</f>
        <v/>
      </c>
      <c r="X515" s="3">
        <f>N(O515)*IFERROR(VLOOKUP($C515,Assumptions!$A$4:$F$7,2,FALSE),0)</f>
        <v/>
      </c>
      <c r="Y515" s="3">
        <f>N(S515)*IFERROR(VLOOKUP($C515,Assumptions!$A$4:$F$7,3,FALSE),0)*Assumptions!$B$11</f>
        <v/>
      </c>
      <c r="Z515" s="3">
        <f>N(N515)*IFERROR(VLOOKUP($C515,Assumptions!$A$4:$F$7,4,FALSE),0)</f>
        <v/>
      </c>
      <c r="AA515" s="3">
        <f>N(T515)*IFERROR(VLOOKUP($C515,Assumptions!$A$4:$F$7,5,FALSE),0)</f>
        <v/>
      </c>
      <c r="AB515" s="3">
        <f>N(U515)</f>
        <v/>
      </c>
      <c r="AC515" s="3">
        <f>SUM(W515:AB515)</f>
        <v/>
      </c>
      <c r="AD515" s="3">
        <f>N(AC515)*N(M515)/90</f>
        <v/>
      </c>
      <c r="AE515" s="3">
        <f>IFERROR(AD515-VLOOKUP($C515,Assumptions!$A$29:$C$32,3,FALSE),"")</f>
        <v/>
      </c>
      <c r="AF515" s="3">
        <f>IFERROR(AE515/F515,"")</f>
        <v/>
      </c>
      <c r="AG515">
        <f>IF(AND($E515=TRUE,$C515="GKP"),AD515,"")</f>
        <v/>
      </c>
      <c r="AH515">
        <f>IF(AND($E515=TRUE,$C515="DEF"),AD515,"")</f>
        <v/>
      </c>
      <c r="AI515">
        <f>IF(AND($E515=TRUE,$C515="MID"),AD515,"")</f>
        <v/>
      </c>
      <c r="AJ515">
        <f>IF(AND($E515=TRUE,$C515="FWD"),AD515,"")</f>
        <v/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b">
        <v>1</v>
      </c>
      <c r="F516" s="2" t="n">
        <v>4</v>
      </c>
      <c r="G516" t="inlineStr">
        <is>
          <t>a</t>
        </is>
      </c>
      <c r="I516" s="2" t="n"/>
      <c r="K516" s="3" t="n">
        <v>2992</v>
      </c>
      <c r="L516" t="inlineStr">
        <is>
          <t>flat</t>
        </is>
      </c>
      <c r="M516" s="4" t="n"/>
      <c r="N516" s="4" t="n"/>
      <c r="O516" s="3" t="n"/>
      <c r="P516" t="inlineStr"/>
      <c r="Q516" s="3" t="n"/>
      <c r="R516" s="3" t="n"/>
      <c r="S516" s="3" t="n"/>
      <c r="T516" s="3" t="n"/>
      <c r="U516" s="3" t="n"/>
      <c r="V516" s="3" t="n"/>
      <c r="W516" s="3">
        <f>IF(V516="",IFERROR(VLOOKUP($C516,Assumptions!$A$4:$F$7,6,FALSE),0),V516)</f>
        <v/>
      </c>
      <c r="X516" s="3">
        <f>N(O516)*IFERROR(VLOOKUP($C516,Assumptions!$A$4:$F$7,2,FALSE),0)</f>
        <v/>
      </c>
      <c r="Y516" s="3">
        <f>N(S516)*IFERROR(VLOOKUP($C516,Assumptions!$A$4:$F$7,3,FALSE),0)*Assumptions!$B$11</f>
        <v/>
      </c>
      <c r="Z516" s="3">
        <f>N(N516)*IFERROR(VLOOKUP($C516,Assumptions!$A$4:$F$7,4,FALSE),0)</f>
        <v/>
      </c>
      <c r="AA516" s="3">
        <f>N(T516)*IFERROR(VLOOKUP($C516,Assumptions!$A$4:$F$7,5,FALSE),0)</f>
        <v/>
      </c>
      <c r="AB516" s="3">
        <f>N(U516)</f>
        <v/>
      </c>
      <c r="AC516" s="3">
        <f>SUM(W516:AB516)</f>
        <v/>
      </c>
      <c r="AD516" s="3">
        <f>N(AC516)*N(M516)/90</f>
        <v/>
      </c>
      <c r="AE516" s="3">
        <f>IFERROR(AD516-VLOOKUP($C516,Assumptions!$A$29:$C$32,3,FALSE),"")</f>
        <v/>
      </c>
      <c r="AF516" s="3">
        <f>IFERROR(AE516/F516,"")</f>
        <v/>
      </c>
      <c r="AG516">
        <f>IF(AND($E516=TRUE,$C516="GKP"),AD516,"")</f>
        <v/>
      </c>
      <c r="AH516">
        <f>IF(AND($E516=TRUE,$C516="DEF"),AD516,"")</f>
        <v/>
      </c>
      <c r="AI516">
        <f>IF(AND($E516=TRUE,$C516="MID"),AD516,"")</f>
        <v/>
      </c>
      <c r="AJ516">
        <f>IF(AND($E516=TRUE,$C516="FWD"),AD516,"")</f>
        <v/>
      </c>
    </row>
    <row r="517">
      <c r="A517" t="inlineStr">
        <is>
          <t>Marcus Edwards</t>
        </is>
      </c>
      <c r="D517" t="inlineStr">
        <is>
          <t>MID</t>
        </is>
      </c>
      <c r="E517" t="b">
        <v>0</v>
      </c>
      <c r="F517" s="2" t="n"/>
      <c r="I517" s="2" t="n">
        <v>1064</v>
      </c>
      <c r="K517" s="3" t="n"/>
      <c r="M517" s="4" t="n">
        <v>1064</v>
      </c>
      <c r="N517" s="4" t="n"/>
      <c r="O517" s="3" t="n">
        <v>0.1195</v>
      </c>
      <c r="P517" t="inlineStr">
        <is>
          <t>adjusted xGOT</t>
        </is>
      </c>
      <c r="Q517" s="3" t="n">
        <v>0.948</v>
      </c>
      <c r="R517" s="3" t="n">
        <v>1.5</v>
      </c>
      <c r="S517" s="3" t="n">
        <v>0.2154</v>
      </c>
      <c r="T517" s="3" t="n">
        <v>0</v>
      </c>
      <c r="U517" s="3" t="n">
        <v>0.1692</v>
      </c>
      <c r="V517" s="3" t="n">
        <v>2.876</v>
      </c>
      <c r="W517" s="3">
        <f>IF(V517="",IFERROR(VLOOKUP($C517,Assumptions!$A$4:$F$7,6,FALSE),0),V517)</f>
        <v/>
      </c>
      <c r="X517" s="3">
        <f>N(O517)*IFERROR(VLOOKUP($C517,Assumptions!$A$4:$F$7,2,FALSE),0)</f>
        <v/>
      </c>
      <c r="Y517" s="3">
        <f>N(S517)*IFERROR(VLOOKUP($C517,Assumptions!$A$4:$F$7,3,FALSE),0)*Assumptions!$B$11</f>
        <v/>
      </c>
      <c r="Z517" s="3">
        <f>N(N517)*IFERROR(VLOOKUP($C517,Assumptions!$A$4:$F$7,4,FALSE),0)</f>
        <v/>
      </c>
      <c r="AA517" s="3">
        <f>N(T517)*IFERROR(VLOOKUP($C517,Assumptions!$A$4:$F$7,5,FALSE),0)</f>
        <v/>
      </c>
      <c r="AB517" s="3">
        <f>N(U517)</f>
        <v/>
      </c>
      <c r="AC517" s="3">
        <f>SUM(W517:AB517)</f>
        <v/>
      </c>
      <c r="AD517" s="3">
        <f>N(AC517)*N(M517)/90</f>
        <v/>
      </c>
      <c r="AE517" s="3">
        <f>IFERROR(AD517-VLOOKUP($C517,Assumptions!$A$29:$C$32,3,FALSE),"")</f>
        <v/>
      </c>
      <c r="AF517" s="3">
        <f>IFERROR(AE517/F517,"")</f>
        <v/>
      </c>
      <c r="AG517">
        <f>IF(AND($E517=TRUE,$C517="GKP"),AD517,"")</f>
        <v/>
      </c>
      <c r="AH517">
        <f>IF(AND($E517=TRUE,$C517="DEF"),AD517,"")</f>
        <v/>
      </c>
      <c r="AI517">
        <f>IF(AND($E517=TRUE,$C517="MID"),AD517,"")</f>
        <v/>
      </c>
      <c r="AJ517">
        <f>IF(AND($E517=TRUE,$C517="FWD"),AD517,"")</f>
        <v/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b">
        <v>1</v>
      </c>
      <c r="F518" s="2" t="n">
        <v>5.5</v>
      </c>
      <c r="G518" t="inlineStr">
        <is>
          <t>a</t>
        </is>
      </c>
      <c r="I518" s="2" t="n"/>
      <c r="K518" s="3" t="n">
        <v>2656</v>
      </c>
      <c r="L518" t="inlineStr">
        <is>
          <t>ramp-up (injury / late WC return)</t>
        </is>
      </c>
      <c r="M518" s="4" t="n"/>
      <c r="N518" s="4" t="n"/>
      <c r="O518" s="3" t="n"/>
      <c r="P518" t="inlineStr"/>
      <c r="Q518" s="3" t="n"/>
      <c r="R518" s="3" t="n"/>
      <c r="S518" s="3" t="n"/>
      <c r="T518" s="3" t="n"/>
      <c r="U518" s="3" t="n"/>
      <c r="V518" s="3" t="n"/>
      <c r="W518" s="3">
        <f>IF(V518="",IFERROR(VLOOKUP($C518,Assumptions!$A$4:$F$7,6,FALSE),0),V518)</f>
        <v/>
      </c>
      <c r="X518" s="3">
        <f>N(O518)*IFERROR(VLOOKUP($C518,Assumptions!$A$4:$F$7,2,FALSE),0)</f>
        <v/>
      </c>
      <c r="Y518" s="3">
        <f>N(S518)*IFERROR(VLOOKUP($C518,Assumptions!$A$4:$F$7,3,FALSE),0)*Assumptions!$B$11</f>
        <v/>
      </c>
      <c r="Z518" s="3">
        <f>N(N518)*IFERROR(VLOOKUP($C518,Assumptions!$A$4:$F$7,4,FALSE),0)</f>
        <v/>
      </c>
      <c r="AA518" s="3">
        <f>N(T518)*IFERROR(VLOOKUP($C518,Assumptions!$A$4:$F$7,5,FALSE),0)</f>
        <v/>
      </c>
      <c r="AB518" s="3">
        <f>N(U518)</f>
        <v/>
      </c>
      <c r="AC518" s="3">
        <f>SUM(W518:AB518)</f>
        <v/>
      </c>
      <c r="AD518" s="3">
        <f>N(AC518)*N(M518)/90</f>
        <v/>
      </c>
      <c r="AE518" s="3">
        <f>IFERROR(AD518-VLOOKUP($C518,Assumptions!$A$29:$C$32,3,FALSE),"")</f>
        <v/>
      </c>
      <c r="AF518" s="3">
        <f>IFERROR(AE518/F518,"")</f>
        <v/>
      </c>
      <c r="AG518">
        <f>IF(AND($E518=TRUE,$C518="GKP"),AD518,"")</f>
        <v/>
      </c>
      <c r="AH518">
        <f>IF(AND($E518=TRUE,$C518="DEF"),AD518,"")</f>
        <v/>
      </c>
      <c r="AI518">
        <f>IF(AND($E518=TRUE,$C518="MID"),AD518,"")</f>
        <v/>
      </c>
      <c r="AJ518">
        <f>IF(AND($E518=TRUE,$C518="FWD"),AD518,"")</f>
        <v/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b">
        <v>1</v>
      </c>
      <c r="F519" s="2" t="n">
        <v>4</v>
      </c>
      <c r="G519" t="inlineStr">
        <is>
          <t>a</t>
        </is>
      </c>
      <c r="I519" s="2" t="n"/>
      <c r="K519" s="3" t="n">
        <v>2775</v>
      </c>
      <c r="L519" t="inlineStr">
        <is>
          <t>flat</t>
        </is>
      </c>
      <c r="M519" s="4" t="n"/>
      <c r="N519" s="4" t="n"/>
      <c r="O519" s="3" t="n"/>
      <c r="P519" t="inlineStr"/>
      <c r="Q519" s="3" t="n"/>
      <c r="R519" s="3" t="n"/>
      <c r="S519" s="3" t="n"/>
      <c r="T519" s="3" t="n"/>
      <c r="U519" s="3" t="n"/>
      <c r="V519" s="3" t="n"/>
      <c r="W519" s="3">
        <f>IF(V519="",IFERROR(VLOOKUP($C519,Assumptions!$A$4:$F$7,6,FALSE),0),V519)</f>
        <v/>
      </c>
      <c r="X519" s="3">
        <f>N(O519)*IFERROR(VLOOKUP($C519,Assumptions!$A$4:$F$7,2,FALSE),0)</f>
        <v/>
      </c>
      <c r="Y519" s="3">
        <f>N(S519)*IFERROR(VLOOKUP($C519,Assumptions!$A$4:$F$7,3,FALSE),0)*Assumptions!$B$11</f>
        <v/>
      </c>
      <c r="Z519" s="3">
        <f>N(N519)*IFERROR(VLOOKUP($C519,Assumptions!$A$4:$F$7,4,FALSE),0)</f>
        <v/>
      </c>
      <c r="AA519" s="3">
        <f>N(T519)*IFERROR(VLOOKUP($C519,Assumptions!$A$4:$F$7,5,FALSE),0)</f>
        <v/>
      </c>
      <c r="AB519" s="3">
        <f>N(U519)</f>
        <v/>
      </c>
      <c r="AC519" s="3">
        <f>SUM(W519:AB519)</f>
        <v/>
      </c>
      <c r="AD519" s="3">
        <f>N(AC519)*N(M519)/90</f>
        <v/>
      </c>
      <c r="AE519" s="3">
        <f>IFERROR(AD519-VLOOKUP($C519,Assumptions!$A$29:$C$32,3,FALSE),"")</f>
        <v/>
      </c>
      <c r="AF519" s="3">
        <f>IFERROR(AE519/F519,"")</f>
        <v/>
      </c>
      <c r="AG519">
        <f>IF(AND($E519=TRUE,$C519="GKP"),AD519,"")</f>
        <v/>
      </c>
      <c r="AH519">
        <f>IF(AND($E519=TRUE,$C519="DEF"),AD519,"")</f>
        <v/>
      </c>
      <c r="AI519">
        <f>IF(AND($E519=TRUE,$C519="MID"),AD519,"")</f>
        <v/>
      </c>
      <c r="AJ519">
        <f>IF(AND($E519=TRUE,$C519="FWD"),AD519,"")</f>
        <v/>
      </c>
    </row>
    <row r="520">
      <c r="A520" t="inlineStr">
        <is>
          <t>Jarrod Bowen</t>
        </is>
      </c>
      <c r="D520" t="inlineStr">
        <is>
          <t>FWD</t>
        </is>
      </c>
      <c r="E520" t="b">
        <v>0</v>
      </c>
      <c r="F520" s="2" t="n"/>
      <c r="I520" s="2" t="n">
        <v>3405</v>
      </c>
      <c r="K520" s="3" t="n"/>
      <c r="M520" s="4" t="n">
        <v>3405</v>
      </c>
      <c r="N520" s="4" t="n"/>
      <c r="O520" s="3" t="n">
        <v>0.2028</v>
      </c>
      <c r="P520" t="inlineStr">
        <is>
          <t>adjusted xGOT</t>
        </is>
      </c>
      <c r="Q520" s="3" t="n">
        <v>1.063</v>
      </c>
      <c r="R520" s="3" t="n">
        <v>37.2</v>
      </c>
      <c r="S520" s="3" t="n">
        <v>0.2229</v>
      </c>
      <c r="T520" s="3" t="n">
        <v>0.237</v>
      </c>
      <c r="U520" s="3" t="n">
        <v>0.7401</v>
      </c>
      <c r="V520" s="3" t="n">
        <v>2.009</v>
      </c>
      <c r="W520" s="3">
        <f>IF(V520="",IFERROR(VLOOKUP($C520,Assumptions!$A$4:$F$7,6,FALSE),0),V520)</f>
        <v/>
      </c>
      <c r="X520" s="3">
        <f>N(O520)*IFERROR(VLOOKUP($C520,Assumptions!$A$4:$F$7,2,FALSE),0)</f>
        <v/>
      </c>
      <c r="Y520" s="3">
        <f>N(S520)*IFERROR(VLOOKUP($C520,Assumptions!$A$4:$F$7,3,FALSE),0)*Assumptions!$B$11</f>
        <v/>
      </c>
      <c r="Z520" s="3">
        <f>N(N520)*IFERROR(VLOOKUP($C520,Assumptions!$A$4:$F$7,4,FALSE),0)</f>
        <v/>
      </c>
      <c r="AA520" s="3">
        <f>N(T520)*IFERROR(VLOOKUP($C520,Assumptions!$A$4:$F$7,5,FALSE),0)</f>
        <v/>
      </c>
      <c r="AB520" s="3">
        <f>N(U520)</f>
        <v/>
      </c>
      <c r="AC520" s="3">
        <f>SUM(W520:AB520)</f>
        <v/>
      </c>
      <c r="AD520" s="3">
        <f>N(AC520)*N(M520)/90</f>
        <v/>
      </c>
      <c r="AE520" s="3">
        <f>IFERROR(AD520-VLOOKUP($C520,Assumptions!$A$29:$C$32,3,FALSE),"")</f>
        <v/>
      </c>
      <c r="AF520" s="3">
        <f>IFERROR(AE520/F520,"")</f>
        <v/>
      </c>
      <c r="AG520">
        <f>IF(AND($E520=TRUE,$C520="GKP"),AD520,"")</f>
        <v/>
      </c>
      <c r="AH520">
        <f>IF(AND($E520=TRUE,$C520="DEF"),AD520,"")</f>
        <v/>
      </c>
      <c r="AI520">
        <f>IF(AND($E520=TRUE,$C520="MID"),AD520,"")</f>
        <v/>
      </c>
      <c r="AJ520">
        <f>IF(AND($E520=TRUE,$C520="FWD"),AD520,"")</f>
        <v/>
      </c>
    </row>
    <row r="521">
      <c r="A521" t="inlineStr">
        <is>
          <t>Marc Cucurella</t>
        </is>
      </c>
      <c r="D521" t="inlineStr">
        <is>
          <t>DEF</t>
        </is>
      </c>
      <c r="E521" t="b">
        <v>0</v>
      </c>
      <c r="F521" s="2" t="n"/>
      <c r="I521" s="2" t="n">
        <v>2710</v>
      </c>
      <c r="K521" s="3" t="n"/>
      <c r="M521" s="4" t="n">
        <v>2710</v>
      </c>
      <c r="N521" s="4" t="n"/>
      <c r="O521" s="3" t="n">
        <v>0.081</v>
      </c>
      <c r="P521" t="inlineStr">
        <is>
          <t>adjusted xGOT</t>
        </is>
      </c>
      <c r="Q521" s="3" t="n">
        <v>1.043</v>
      </c>
      <c r="R521" s="3" t="n">
        <v>6.7</v>
      </c>
      <c r="S521" s="3" t="n">
        <v>0.1508</v>
      </c>
      <c r="T521" s="3" t="n">
        <v>0.065</v>
      </c>
      <c r="U521" s="3" t="n">
        <v>0.1328</v>
      </c>
      <c r="V521" s="3" t="n">
        <v>2.092</v>
      </c>
      <c r="W521" s="3">
        <f>IF(V521="",IFERROR(VLOOKUP($C521,Assumptions!$A$4:$F$7,6,FALSE),0),V521)</f>
        <v/>
      </c>
      <c r="X521" s="3">
        <f>N(O521)*IFERROR(VLOOKUP($C521,Assumptions!$A$4:$F$7,2,FALSE),0)</f>
        <v/>
      </c>
      <c r="Y521" s="3">
        <f>N(S521)*IFERROR(VLOOKUP($C521,Assumptions!$A$4:$F$7,3,FALSE),0)*Assumptions!$B$11</f>
        <v/>
      </c>
      <c r="Z521" s="3">
        <f>N(N521)*IFERROR(VLOOKUP($C521,Assumptions!$A$4:$F$7,4,FALSE),0)</f>
        <v/>
      </c>
      <c r="AA521" s="3">
        <f>N(T521)*IFERROR(VLOOKUP($C521,Assumptions!$A$4:$F$7,5,FALSE),0)</f>
        <v/>
      </c>
      <c r="AB521" s="3">
        <f>N(U521)</f>
        <v/>
      </c>
      <c r="AC521" s="3">
        <f>SUM(W521:AB521)</f>
        <v/>
      </c>
      <c r="AD521" s="3">
        <f>N(AC521)*N(M521)/90</f>
        <v/>
      </c>
      <c r="AE521" s="3">
        <f>IFERROR(AD521-VLOOKUP($C521,Assumptions!$A$29:$C$32,3,FALSE),"")</f>
        <v/>
      </c>
      <c r="AF521" s="3">
        <f>IFERROR(AE521/F521,"")</f>
        <v/>
      </c>
      <c r="AG521">
        <f>IF(AND($E521=TRUE,$C521="GKP"),AD521,"")</f>
        <v/>
      </c>
      <c r="AH521">
        <f>IF(AND($E521=TRUE,$C521="DEF"),AD521,"")</f>
        <v/>
      </c>
      <c r="AI521">
        <f>IF(AND($E521=TRUE,$C521="MID"),AD521,"")</f>
        <v/>
      </c>
      <c r="AJ521">
        <f>IF(AND($E521=TRUE,$C521="FWD"),AD521,"")</f>
        <v/>
      </c>
    </row>
    <row r="522">
      <c r="A522" t="inlineStr">
        <is>
          <t>Jacob Bruun Larsen</t>
        </is>
      </c>
      <c r="D522" t="inlineStr">
        <is>
          <t>MID</t>
        </is>
      </c>
      <c r="E522" t="b">
        <v>0</v>
      </c>
      <c r="F522" s="2" t="n"/>
      <c r="I522" s="2" t="n">
        <v>1023</v>
      </c>
      <c r="K522" s="3" t="n"/>
      <c r="M522" s="4" t="n">
        <v>1023</v>
      </c>
      <c r="N522" s="4" t="n"/>
      <c r="O522" s="3" t="n">
        <v>0.1169</v>
      </c>
      <c r="P522" t="inlineStr">
        <is>
          <t>adjusted xGOT</t>
        </is>
      </c>
      <c r="Q522" s="3" t="n">
        <v>0.97</v>
      </c>
      <c r="R522" s="3" t="n">
        <v>6</v>
      </c>
      <c r="S522" s="3" t="n">
        <v>0.1213</v>
      </c>
      <c r="T522" s="3" t="n">
        <v>0.1</v>
      </c>
      <c r="U522" s="3" t="n">
        <v>0</v>
      </c>
      <c r="V522" s="3" t="n">
        <v>3.079</v>
      </c>
      <c r="W522" s="3">
        <f>IF(V522="",IFERROR(VLOOKUP($C522,Assumptions!$A$4:$F$7,6,FALSE),0),V522)</f>
        <v/>
      </c>
      <c r="X522" s="3">
        <f>N(O522)*IFERROR(VLOOKUP($C522,Assumptions!$A$4:$F$7,2,FALSE),0)</f>
        <v/>
      </c>
      <c r="Y522" s="3">
        <f>N(S522)*IFERROR(VLOOKUP($C522,Assumptions!$A$4:$F$7,3,FALSE),0)*Assumptions!$B$11</f>
        <v/>
      </c>
      <c r="Z522" s="3">
        <f>N(N522)*IFERROR(VLOOKUP($C522,Assumptions!$A$4:$F$7,4,FALSE),0)</f>
        <v/>
      </c>
      <c r="AA522" s="3">
        <f>N(T522)*IFERROR(VLOOKUP($C522,Assumptions!$A$4:$F$7,5,FALSE),0)</f>
        <v/>
      </c>
      <c r="AB522" s="3">
        <f>N(U522)</f>
        <v/>
      </c>
      <c r="AC522" s="3">
        <f>SUM(W522:AB522)</f>
        <v/>
      </c>
      <c r="AD522" s="3">
        <f>N(AC522)*N(M522)/90</f>
        <v/>
      </c>
      <c r="AE522" s="3">
        <f>IFERROR(AD522-VLOOKUP($C522,Assumptions!$A$29:$C$32,3,FALSE),"")</f>
        <v/>
      </c>
      <c r="AF522" s="3">
        <f>IFERROR(AE522/F522,"")</f>
        <v/>
      </c>
      <c r="AG522">
        <f>IF(AND($E522=TRUE,$C522="GKP"),AD522,"")</f>
        <v/>
      </c>
      <c r="AH522">
        <f>IF(AND($E522=TRUE,$C522="DEF"),AD522,"")</f>
        <v/>
      </c>
      <c r="AI522">
        <f>IF(AND($E522=TRUE,$C522="MID"),AD522,"")</f>
        <v/>
      </c>
      <c r="AJ522">
        <f>IF(AND($E522=TRUE,$C522="FWD"),AD522,"")</f>
        <v/>
      </c>
    </row>
    <row r="523">
      <c r="A523" t="inlineStr">
        <is>
          <t>Axel Tuanzebe</t>
        </is>
      </c>
      <c r="D523" t="inlineStr">
        <is>
          <t>DEF</t>
        </is>
      </c>
      <c r="E523" t="b">
        <v>0</v>
      </c>
      <c r="F523" s="2" t="n"/>
      <c r="I523" s="2" t="n">
        <v>1202</v>
      </c>
      <c r="K523" s="3" t="n"/>
      <c r="M523" s="4" t="n">
        <v>1202</v>
      </c>
      <c r="N523" s="4" t="n"/>
      <c r="O523" s="3" t="n">
        <v>0.0461</v>
      </c>
      <c r="P523" t="inlineStr">
        <is>
          <t>adjusted xGOT</t>
        </is>
      </c>
      <c r="Q523" s="3" t="n">
        <v>1.009</v>
      </c>
      <c r="R523" s="3" t="n">
        <v>0.8</v>
      </c>
      <c r="S523" s="3" t="n">
        <v>0</v>
      </c>
      <c r="T523" s="3" t="n">
        <v>0.357</v>
      </c>
      <c r="U523" s="3" t="n">
        <v>0</v>
      </c>
      <c r="V523" s="3" t="n">
        <v>2.022</v>
      </c>
      <c r="W523" s="3">
        <f>IF(V523="",IFERROR(VLOOKUP($C523,Assumptions!$A$4:$F$7,6,FALSE),0),V523)</f>
        <v/>
      </c>
      <c r="X523" s="3">
        <f>N(O523)*IFERROR(VLOOKUP($C523,Assumptions!$A$4:$F$7,2,FALSE),0)</f>
        <v/>
      </c>
      <c r="Y523" s="3">
        <f>N(S523)*IFERROR(VLOOKUP($C523,Assumptions!$A$4:$F$7,3,FALSE),0)*Assumptions!$B$11</f>
        <v/>
      </c>
      <c r="Z523" s="3">
        <f>N(N523)*IFERROR(VLOOKUP($C523,Assumptions!$A$4:$F$7,4,FALSE),0)</f>
        <v/>
      </c>
      <c r="AA523" s="3">
        <f>N(T523)*IFERROR(VLOOKUP($C523,Assumptions!$A$4:$F$7,5,FALSE),0)</f>
        <v/>
      </c>
      <c r="AB523" s="3">
        <f>N(U523)</f>
        <v/>
      </c>
      <c r="AC523" s="3">
        <f>SUM(W523:AB523)</f>
        <v/>
      </c>
      <c r="AD523" s="3">
        <f>N(AC523)*N(M523)/90</f>
        <v/>
      </c>
      <c r="AE523" s="3">
        <f>IFERROR(AD523-VLOOKUP($C523,Assumptions!$A$29:$C$32,3,FALSE),"")</f>
        <v/>
      </c>
      <c r="AF523" s="3">
        <f>IFERROR(AE523/F523,"")</f>
        <v/>
      </c>
      <c r="AG523">
        <f>IF(AND($E523=TRUE,$C523="GKP"),AD523,"")</f>
        <v/>
      </c>
      <c r="AH523">
        <f>IF(AND($E523=TRUE,$C523="DEF"),AD523,"")</f>
        <v/>
      </c>
      <c r="AI523">
        <f>IF(AND($E523=TRUE,$C523="MID"),AD523,"")</f>
        <v/>
      </c>
      <c r="AJ523">
        <f>IF(AND($E523=TRUE,$C523="FWD"),AD523,"")</f>
        <v/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b">
        <v>1</v>
      </c>
      <c r="F524" s="2" t="n">
        <v>4</v>
      </c>
      <c r="G524" t="inlineStr">
        <is>
          <t>a</t>
        </is>
      </c>
      <c r="I524" s="2" t="n"/>
      <c r="K524" s="3" t="n">
        <v>193</v>
      </c>
      <c r="L524" t="inlineStr">
        <is>
          <t>flat</t>
        </is>
      </c>
      <c r="M524" s="4" t="n"/>
      <c r="N524" s="4" t="n"/>
      <c r="O524" s="3" t="n"/>
      <c r="P524" t="inlineStr"/>
      <c r="Q524" s="3" t="n"/>
      <c r="R524" s="3" t="n"/>
      <c r="S524" s="3" t="n"/>
      <c r="T524" s="3" t="n"/>
      <c r="U524" s="3" t="n"/>
      <c r="V524" s="3" t="n"/>
      <c r="W524" s="3">
        <f>IF(V524="",IFERROR(VLOOKUP($C524,Assumptions!$A$4:$F$7,6,FALSE),0),V524)</f>
        <v/>
      </c>
      <c r="X524" s="3">
        <f>N(O524)*IFERROR(VLOOKUP($C524,Assumptions!$A$4:$F$7,2,FALSE),0)</f>
        <v/>
      </c>
      <c r="Y524" s="3">
        <f>N(S524)*IFERROR(VLOOKUP($C524,Assumptions!$A$4:$F$7,3,FALSE),0)*Assumptions!$B$11</f>
        <v/>
      </c>
      <c r="Z524" s="3">
        <f>N(N524)*IFERROR(VLOOKUP($C524,Assumptions!$A$4:$F$7,4,FALSE),0)</f>
        <v/>
      </c>
      <c r="AA524" s="3">
        <f>N(T524)*IFERROR(VLOOKUP($C524,Assumptions!$A$4:$F$7,5,FALSE),0)</f>
        <v/>
      </c>
      <c r="AB524" s="3">
        <f>N(U524)</f>
        <v/>
      </c>
      <c r="AC524" s="3">
        <f>SUM(W524:AB524)</f>
        <v/>
      </c>
      <c r="AD524" s="3">
        <f>N(AC524)*N(M524)/90</f>
        <v/>
      </c>
      <c r="AE524" s="3">
        <f>IFERROR(AD524-VLOOKUP($C524,Assumptions!$A$29:$C$32,3,FALSE),"")</f>
        <v/>
      </c>
      <c r="AF524" s="3">
        <f>IFERROR(AE524/F524,"")</f>
        <v/>
      </c>
      <c r="AG524">
        <f>IF(AND($E524=TRUE,$C524="GKP"),AD524,"")</f>
        <v/>
      </c>
      <c r="AH524">
        <f>IF(AND($E524=TRUE,$C524="DEF"),AD524,"")</f>
        <v/>
      </c>
      <c r="AI524">
        <f>IF(AND($E524=TRUE,$C524="MID"),AD524,"")</f>
        <v/>
      </c>
      <c r="AJ524">
        <f>IF(AND($E524=TRUE,$C524="FWD"),AD524,"")</f>
        <v/>
      </c>
    </row>
    <row r="525">
      <c r="A525" t="inlineStr">
        <is>
          <t>Hwang Hee-Chan</t>
        </is>
      </c>
      <c r="D525" t="inlineStr">
        <is>
          <t>MID</t>
        </is>
      </c>
      <c r="E525" t="b">
        <v>0</v>
      </c>
      <c r="F525" s="2" t="n"/>
      <c r="I525" s="2" t="n">
        <v>1452</v>
      </c>
      <c r="K525" s="3" t="n"/>
      <c r="M525" s="4" t="n">
        <v>1452</v>
      </c>
      <c r="N525" s="4" t="n"/>
      <c r="O525" s="3" t="n">
        <v>0.1418</v>
      </c>
      <c r="P525" t="inlineStr">
        <is>
          <t>adjusted xGOT</t>
        </is>
      </c>
      <c r="Q525" s="3" t="n">
        <v>0.965</v>
      </c>
      <c r="R525" s="3" t="n">
        <v>13.7</v>
      </c>
      <c r="S525" s="3" t="n">
        <v>0.1166</v>
      </c>
      <c r="T525" s="3" t="n">
        <v>0.056</v>
      </c>
      <c r="U525" s="3" t="n">
        <v>0</v>
      </c>
      <c r="V525" s="3" t="n">
        <v>2.541</v>
      </c>
      <c r="W525" s="3">
        <f>IF(V525="",IFERROR(VLOOKUP($C525,Assumptions!$A$4:$F$7,6,FALSE),0),V525)</f>
        <v/>
      </c>
      <c r="X525" s="3">
        <f>N(O525)*IFERROR(VLOOKUP($C525,Assumptions!$A$4:$F$7,2,FALSE),0)</f>
        <v/>
      </c>
      <c r="Y525" s="3">
        <f>N(S525)*IFERROR(VLOOKUP($C525,Assumptions!$A$4:$F$7,3,FALSE),0)*Assumptions!$B$11</f>
        <v/>
      </c>
      <c r="Z525" s="3">
        <f>N(N525)*IFERROR(VLOOKUP($C525,Assumptions!$A$4:$F$7,4,FALSE),0)</f>
        <v/>
      </c>
      <c r="AA525" s="3">
        <f>N(T525)*IFERROR(VLOOKUP($C525,Assumptions!$A$4:$F$7,5,FALSE),0)</f>
        <v/>
      </c>
      <c r="AB525" s="3">
        <f>N(U525)</f>
        <v/>
      </c>
      <c r="AC525" s="3">
        <f>SUM(W525:AB525)</f>
        <v/>
      </c>
      <c r="AD525" s="3">
        <f>N(AC525)*N(M525)/90</f>
        <v/>
      </c>
      <c r="AE525" s="3">
        <f>IFERROR(AD525-VLOOKUP($C525,Assumptions!$A$29:$C$32,3,FALSE),"")</f>
        <v/>
      </c>
      <c r="AF525" s="3">
        <f>IFERROR(AE525/F525,"")</f>
        <v/>
      </c>
      <c r="AG525">
        <f>IF(AND($E525=TRUE,$C525="GKP"),AD525,"")</f>
        <v/>
      </c>
      <c r="AH525">
        <f>IF(AND($E525=TRUE,$C525="DEF"),AD525,"")</f>
        <v/>
      </c>
      <c r="AI525">
        <f>IF(AND($E525=TRUE,$C525="MID"),AD525,"")</f>
        <v/>
      </c>
      <c r="AJ525">
        <f>IF(AND($E525=TRUE,$C525="FWD"),AD525,"")</f>
        <v/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b">
        <v>1</v>
      </c>
      <c r="F526" s="2" t="n">
        <v>4</v>
      </c>
      <c r="G526" t="inlineStr">
        <is>
          <t>a</t>
        </is>
      </c>
      <c r="I526" s="2" t="n"/>
      <c r="K526" s="3" t="n">
        <v>2833</v>
      </c>
      <c r="L526" t="inlineStr">
        <is>
          <t>flat</t>
        </is>
      </c>
      <c r="M526" s="4" t="n"/>
      <c r="N526" s="4" t="n"/>
      <c r="O526" s="3" t="n"/>
      <c r="P526" t="inlineStr"/>
      <c r="Q526" s="3" t="n"/>
      <c r="R526" s="3" t="n"/>
      <c r="S526" s="3" t="n"/>
      <c r="T526" s="3" t="n"/>
      <c r="U526" s="3" t="n"/>
      <c r="V526" s="3" t="n"/>
      <c r="W526" s="3">
        <f>IF(V526="",IFERROR(VLOOKUP($C526,Assumptions!$A$4:$F$7,6,FALSE),0),V526)</f>
        <v/>
      </c>
      <c r="X526" s="3">
        <f>N(O526)*IFERROR(VLOOKUP($C526,Assumptions!$A$4:$F$7,2,FALSE),0)</f>
        <v/>
      </c>
      <c r="Y526" s="3">
        <f>N(S526)*IFERROR(VLOOKUP($C526,Assumptions!$A$4:$F$7,3,FALSE),0)*Assumptions!$B$11</f>
        <v/>
      </c>
      <c r="Z526" s="3">
        <f>N(N526)*IFERROR(VLOOKUP($C526,Assumptions!$A$4:$F$7,4,FALSE),0)</f>
        <v/>
      </c>
      <c r="AA526" s="3">
        <f>N(T526)*IFERROR(VLOOKUP($C526,Assumptions!$A$4:$F$7,5,FALSE),0)</f>
        <v/>
      </c>
      <c r="AB526" s="3">
        <f>N(U526)</f>
        <v/>
      </c>
      <c r="AC526" s="3">
        <f>SUM(W526:AB526)</f>
        <v/>
      </c>
      <c r="AD526" s="3">
        <f>N(AC526)*N(M526)/90</f>
        <v/>
      </c>
      <c r="AE526" s="3">
        <f>IFERROR(AD526-VLOOKUP($C526,Assumptions!$A$29:$C$32,3,FALSE),"")</f>
        <v/>
      </c>
      <c r="AF526" s="3">
        <f>IFERROR(AE526/F526,"")</f>
        <v/>
      </c>
      <c r="AG526">
        <f>IF(AND($E526=TRUE,$C526="GKP"),AD526,"")</f>
        <v/>
      </c>
      <c r="AH526">
        <f>IF(AND($E526=TRUE,$C526="DEF"),AD526,"")</f>
        <v/>
      </c>
      <c r="AI526">
        <f>IF(AND($E526=TRUE,$C526="MID"),AD526,"")</f>
        <v/>
      </c>
      <c r="AJ526">
        <f>IF(AND($E526=TRUE,$C526="FWD"),AD526,"")</f>
        <v/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b">
        <v>1</v>
      </c>
      <c r="F527" s="2" t="n">
        <v>5.5</v>
      </c>
      <c r="G527" t="inlineStr">
        <is>
          <t>a</t>
        </is>
      </c>
      <c r="I527" s="2" t="n"/>
      <c r="K527" s="3" t="n">
        <v>1476</v>
      </c>
      <c r="L527" t="inlineStr">
        <is>
          <t>flat</t>
        </is>
      </c>
      <c r="M527" s="4" t="n"/>
      <c r="N527" s="4" t="n"/>
      <c r="O527" s="3" t="n"/>
      <c r="P527" t="inlineStr"/>
      <c r="Q527" s="3" t="n"/>
      <c r="R527" s="3" t="n"/>
      <c r="S527" s="3" t="n"/>
      <c r="T527" s="3" t="n"/>
      <c r="U527" s="3" t="n"/>
      <c r="V527" s="3" t="n"/>
      <c r="W527" s="3">
        <f>IF(V527="",IFERROR(VLOOKUP($C527,Assumptions!$A$4:$F$7,6,FALSE),0),V527)</f>
        <v/>
      </c>
      <c r="X527" s="3">
        <f>N(O527)*IFERROR(VLOOKUP($C527,Assumptions!$A$4:$F$7,2,FALSE),0)</f>
        <v/>
      </c>
      <c r="Y527" s="3">
        <f>N(S527)*IFERROR(VLOOKUP($C527,Assumptions!$A$4:$F$7,3,FALSE),0)*Assumptions!$B$11</f>
        <v/>
      </c>
      <c r="Z527" s="3">
        <f>N(N527)*IFERROR(VLOOKUP($C527,Assumptions!$A$4:$F$7,4,FALSE),0)</f>
        <v/>
      </c>
      <c r="AA527" s="3">
        <f>N(T527)*IFERROR(VLOOKUP($C527,Assumptions!$A$4:$F$7,5,FALSE),0)</f>
        <v/>
      </c>
      <c r="AB527" s="3">
        <f>N(U527)</f>
        <v/>
      </c>
      <c r="AC527" s="3">
        <f>SUM(W527:AB527)</f>
        <v/>
      </c>
      <c r="AD527" s="3">
        <f>N(AC527)*N(M527)/90</f>
        <v/>
      </c>
      <c r="AE527" s="3">
        <f>IFERROR(AD527-VLOOKUP($C527,Assumptions!$A$29:$C$32,3,FALSE),"")</f>
        <v/>
      </c>
      <c r="AF527" s="3">
        <f>IFERROR(AE527/F527,"")</f>
        <v/>
      </c>
      <c r="AG527">
        <f>IF(AND($E527=TRUE,$C527="GKP"),AD527,"")</f>
        <v/>
      </c>
      <c r="AH527">
        <f>IF(AND($E527=TRUE,$C527="DEF"),AD527,"")</f>
        <v/>
      </c>
      <c r="AI527">
        <f>IF(AND($E527=TRUE,$C527="MID"),AD527,"")</f>
        <v/>
      </c>
      <c r="AJ527">
        <f>IF(AND($E527=TRUE,$C527="FWD"),AD527,"")</f>
        <v/>
      </c>
    </row>
    <row r="528">
      <c r="A528" t="inlineStr">
        <is>
          <t>Guido Rodríguez</t>
        </is>
      </c>
      <c r="D528" t="inlineStr">
        <is>
          <t>MID</t>
        </is>
      </c>
      <c r="E528" t="b">
        <v>0</v>
      </c>
      <c r="F528" s="2" t="n"/>
      <c r="I528" s="2" t="n">
        <v>177</v>
      </c>
      <c r="K528" s="3" t="n"/>
      <c r="M528" s="4" t="n">
        <v>177</v>
      </c>
      <c r="N528" s="4" t="n"/>
      <c r="O528" s="3" t="n">
        <v>0.0147</v>
      </c>
      <c r="P528" t="inlineStr">
        <is>
          <t>adjusted xGOT</t>
        </is>
      </c>
      <c r="Q528" s="3" t="n">
        <v>0.97</v>
      </c>
      <c r="R528" s="3" t="n">
        <v>0.2</v>
      </c>
      <c r="S528" s="3" t="n">
        <v>0</v>
      </c>
      <c r="T528" s="3" t="n">
        <v>0</v>
      </c>
      <c r="U528" s="3" t="n">
        <v>0</v>
      </c>
      <c r="V528" s="3" t="n">
        <v>4.068</v>
      </c>
      <c r="W528" s="3">
        <f>IF(V528="",IFERROR(VLOOKUP($C528,Assumptions!$A$4:$F$7,6,FALSE),0),V528)</f>
        <v/>
      </c>
      <c r="X528" s="3">
        <f>N(O528)*IFERROR(VLOOKUP($C528,Assumptions!$A$4:$F$7,2,FALSE),0)</f>
        <v/>
      </c>
      <c r="Y528" s="3">
        <f>N(S528)*IFERROR(VLOOKUP($C528,Assumptions!$A$4:$F$7,3,FALSE),0)*Assumptions!$B$11</f>
        <v/>
      </c>
      <c r="Z528" s="3">
        <f>N(N528)*IFERROR(VLOOKUP($C528,Assumptions!$A$4:$F$7,4,FALSE),0)</f>
        <v/>
      </c>
      <c r="AA528" s="3">
        <f>N(T528)*IFERROR(VLOOKUP($C528,Assumptions!$A$4:$F$7,5,FALSE),0)</f>
        <v/>
      </c>
      <c r="AB528" s="3">
        <f>N(U528)</f>
        <v/>
      </c>
      <c r="AC528" s="3">
        <f>SUM(W528:AB528)</f>
        <v/>
      </c>
      <c r="AD528" s="3">
        <f>N(AC528)*N(M528)/90</f>
        <v/>
      </c>
      <c r="AE528" s="3">
        <f>IFERROR(AD528-VLOOKUP($C528,Assumptions!$A$29:$C$32,3,FALSE),"")</f>
        <v/>
      </c>
      <c r="AF528" s="3">
        <f>IFERROR(AE528/F528,"")</f>
        <v/>
      </c>
      <c r="AG528">
        <f>IF(AND($E528=TRUE,$C528="GKP"),AD528,"")</f>
        <v/>
      </c>
      <c r="AH528">
        <f>IF(AND($E528=TRUE,$C528="DEF"),AD528,"")</f>
        <v/>
      </c>
      <c r="AI528">
        <f>IF(AND($E528=TRUE,$C528="MID"),AD528,"")</f>
        <v/>
      </c>
      <c r="AJ528">
        <f>IF(AND($E528=TRUE,$C528="FWD"),AD528,"")</f>
        <v/>
      </c>
    </row>
    <row r="529">
      <c r="A529" t="inlineStr">
        <is>
          <t>Odsonne Édouard</t>
        </is>
      </c>
      <c r="D529" t="inlineStr">
        <is>
          <t>FWD</t>
        </is>
      </c>
      <c r="E529" t="b">
        <v>0</v>
      </c>
      <c r="F529" s="2" t="n"/>
      <c r="I529" s="2" t="n">
        <v>2</v>
      </c>
      <c r="K529" s="3" t="n"/>
      <c r="M529" s="4" t="n">
        <v>2</v>
      </c>
      <c r="N529" s="4" t="n"/>
      <c r="O529" s="3" t="n">
        <v>0</v>
      </c>
      <c r="P529" t="inlineStr">
        <is>
          <t>adjusted xGOT</t>
        </is>
      </c>
      <c r="Q529" s="3" t="n">
        <v>1.124</v>
      </c>
      <c r="R529" s="3" t="n">
        <v>10.9</v>
      </c>
      <c r="S529" s="3" t="n"/>
      <c r="T529" s="3" t="n"/>
      <c r="U529" s="3" t="n">
        <v>0</v>
      </c>
      <c r="V529" s="3" t="n">
        <v>45</v>
      </c>
      <c r="W529" s="3">
        <f>IF(V529="",IFERROR(VLOOKUP($C529,Assumptions!$A$4:$F$7,6,FALSE),0),V529)</f>
        <v/>
      </c>
      <c r="X529" s="3">
        <f>N(O529)*IFERROR(VLOOKUP($C529,Assumptions!$A$4:$F$7,2,FALSE),0)</f>
        <v/>
      </c>
      <c r="Y529" s="3">
        <f>N(S529)*IFERROR(VLOOKUP($C529,Assumptions!$A$4:$F$7,3,FALSE),0)*Assumptions!$B$11</f>
        <v/>
      </c>
      <c r="Z529" s="3">
        <f>N(N529)*IFERROR(VLOOKUP($C529,Assumptions!$A$4:$F$7,4,FALSE),0)</f>
        <v/>
      </c>
      <c r="AA529" s="3">
        <f>N(T529)*IFERROR(VLOOKUP($C529,Assumptions!$A$4:$F$7,5,FALSE),0)</f>
        <v/>
      </c>
      <c r="AB529" s="3">
        <f>N(U529)</f>
        <v/>
      </c>
      <c r="AC529" s="3">
        <f>SUM(W529:AB529)</f>
        <v/>
      </c>
      <c r="AD529" s="3">
        <f>N(AC529)*N(M529)/90</f>
        <v/>
      </c>
      <c r="AE529" s="3">
        <f>IFERROR(AD529-VLOOKUP($C529,Assumptions!$A$29:$C$32,3,FALSE),"")</f>
        <v/>
      </c>
      <c r="AF529" s="3">
        <f>IFERROR(AE529/F529,"")</f>
        <v/>
      </c>
      <c r="AG529">
        <f>IF(AND($E529=TRUE,$C529="GKP"),AD529,"")</f>
        <v/>
      </c>
      <c r="AH529">
        <f>IF(AND($E529=TRUE,$C529="DEF"),AD529,"")</f>
        <v/>
      </c>
      <c r="AI529">
        <f>IF(AND($E529=TRUE,$C529="MID"),AD529,"")</f>
        <v/>
      </c>
      <c r="AJ529">
        <f>IF(AND($E529=TRUE,$C529="FWD"),AD529,"")</f>
        <v/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b">
        <v>1</v>
      </c>
      <c r="F530" s="2" t="n">
        <v>5</v>
      </c>
      <c r="G530" t="inlineStr">
        <is>
          <t>a</t>
        </is>
      </c>
      <c r="I530" s="2" t="n"/>
      <c r="K530" s="3" t="n">
        <v>2257</v>
      </c>
      <c r="L530" t="inlineStr">
        <is>
          <t>flat</t>
        </is>
      </c>
      <c r="M530" s="4" t="n"/>
      <c r="N530" s="4" t="n">
        <v>0.237</v>
      </c>
      <c r="O530" s="3" t="n"/>
      <c r="P530" t="inlineStr"/>
      <c r="Q530" s="3" t="n"/>
      <c r="R530" s="3" t="n"/>
      <c r="S530" s="3" t="n"/>
      <c r="T530" s="3" t="n"/>
      <c r="U530" s="3" t="n"/>
      <c r="V530" s="3" t="n"/>
      <c r="W530" s="3">
        <f>IF(V530="",IFERROR(VLOOKUP($C530,Assumptions!$A$4:$F$7,6,FALSE),0),V530)</f>
        <v/>
      </c>
      <c r="X530" s="3">
        <f>N(O530)*IFERROR(VLOOKUP($C530,Assumptions!$A$4:$F$7,2,FALSE),0)</f>
        <v/>
      </c>
      <c r="Y530" s="3">
        <f>N(S530)*IFERROR(VLOOKUP($C530,Assumptions!$A$4:$F$7,3,FALSE),0)*Assumptions!$B$11</f>
        <v/>
      </c>
      <c r="Z530" s="3">
        <f>N(N530)*IFERROR(VLOOKUP($C530,Assumptions!$A$4:$F$7,4,FALSE),0)</f>
        <v/>
      </c>
      <c r="AA530" s="3">
        <f>N(T530)*IFERROR(VLOOKUP($C530,Assumptions!$A$4:$F$7,5,FALSE),0)</f>
        <v/>
      </c>
      <c r="AB530" s="3">
        <f>N(U530)</f>
        <v/>
      </c>
      <c r="AC530" s="3">
        <f>SUM(W530:AB530)</f>
        <v/>
      </c>
      <c r="AD530" s="3">
        <f>N(AC530)*N(M530)/90</f>
        <v/>
      </c>
      <c r="AE530" s="3">
        <f>IFERROR(AD530-VLOOKUP($C530,Assumptions!$A$29:$C$32,3,FALSE),"")</f>
        <v/>
      </c>
      <c r="AF530" s="3">
        <f>IFERROR(AE530/F530,"")</f>
        <v/>
      </c>
      <c r="AG530">
        <f>IF(AND($E530=TRUE,$C530="GKP"),AD530,"")</f>
        <v/>
      </c>
      <c r="AH530">
        <f>IF(AND($E530=TRUE,$C530="DEF"),AD530,"")</f>
        <v/>
      </c>
      <c r="AI530">
        <f>IF(AND($E530=TRUE,$C530="MID"),AD530,"")</f>
        <v/>
      </c>
      <c r="AJ530">
        <f>IF(AND($E530=TRUE,$C530="FWD"),AD530,"")</f>
        <v/>
      </c>
    </row>
    <row r="531">
      <c r="A531" t="inlineStr">
        <is>
          <t>Donyell Malen</t>
        </is>
      </c>
      <c r="D531" t="inlineStr">
        <is>
          <t>MID</t>
        </is>
      </c>
      <c r="E531" t="b">
        <v>0</v>
      </c>
      <c r="F531" s="2" t="n"/>
      <c r="I531" s="2" t="n">
        <v>645</v>
      </c>
      <c r="K531" s="3" t="n"/>
      <c r="M531" s="4" t="n">
        <v>645</v>
      </c>
      <c r="N531" s="4" t="n"/>
      <c r="O531" s="3" t="n">
        <v>0.5671</v>
      </c>
      <c r="P531" t="inlineStr">
        <is>
          <t>adjusted xGOT</t>
        </is>
      </c>
      <c r="Q531" s="3" t="n">
        <v>1.008</v>
      </c>
      <c r="R531" s="3" t="n">
        <v>6.2</v>
      </c>
      <c r="S531" s="3" t="n">
        <v>0.0515</v>
      </c>
      <c r="T531" s="3" t="n">
        <v>0</v>
      </c>
      <c r="U531" s="3" t="n">
        <v>0.4186</v>
      </c>
      <c r="V531" s="3" t="n">
        <v>3.488</v>
      </c>
      <c r="W531" s="3">
        <f>IF(V531="",IFERROR(VLOOKUP($C531,Assumptions!$A$4:$F$7,6,FALSE),0),V531)</f>
        <v/>
      </c>
      <c r="X531" s="3">
        <f>N(O531)*IFERROR(VLOOKUP($C531,Assumptions!$A$4:$F$7,2,FALSE),0)</f>
        <v/>
      </c>
      <c r="Y531" s="3">
        <f>N(S531)*IFERROR(VLOOKUP($C531,Assumptions!$A$4:$F$7,3,FALSE),0)*Assumptions!$B$11</f>
        <v/>
      </c>
      <c r="Z531" s="3">
        <f>N(N531)*IFERROR(VLOOKUP($C531,Assumptions!$A$4:$F$7,4,FALSE),0)</f>
        <v/>
      </c>
      <c r="AA531" s="3">
        <f>N(T531)*IFERROR(VLOOKUP($C531,Assumptions!$A$4:$F$7,5,FALSE),0)</f>
        <v/>
      </c>
      <c r="AB531" s="3">
        <f>N(U531)</f>
        <v/>
      </c>
      <c r="AC531" s="3">
        <f>SUM(W531:AB531)</f>
        <v/>
      </c>
      <c r="AD531" s="3">
        <f>N(AC531)*N(M531)/90</f>
        <v/>
      </c>
      <c r="AE531" s="3">
        <f>IFERROR(AD531-VLOOKUP($C531,Assumptions!$A$29:$C$32,3,FALSE),"")</f>
        <v/>
      </c>
      <c r="AF531" s="3">
        <f>IFERROR(AE531/F531,"")</f>
        <v/>
      </c>
      <c r="AG531">
        <f>IF(AND($E531=TRUE,$C531="GKP"),AD531,"")</f>
        <v/>
      </c>
      <c r="AH531">
        <f>IF(AND($E531=TRUE,$C531="DEF"),AD531,"")</f>
        <v/>
      </c>
      <c r="AI531">
        <f>IF(AND($E531=TRUE,$C531="MID"),AD531,"")</f>
        <v/>
      </c>
      <c r="AJ531">
        <f>IF(AND($E531=TRUE,$C531="FWD"),AD531,"")</f>
        <v/>
      </c>
    </row>
    <row r="532">
      <c r="A532" t="inlineStr">
        <is>
          <t>Ibrahima Konaté</t>
        </is>
      </c>
      <c r="D532" t="inlineStr">
        <is>
          <t>DEF</t>
        </is>
      </c>
      <c r="E532" t="b">
        <v>0</v>
      </c>
      <c r="F532" s="2" t="n"/>
      <c r="I532" s="2" t="n">
        <v>3100</v>
      </c>
      <c r="K532" s="3" t="n"/>
      <c r="M532" s="4" t="n">
        <v>3100</v>
      </c>
      <c r="N532" s="4" t="n"/>
      <c r="O532" s="3" t="n">
        <v>0.0295</v>
      </c>
      <c r="P532" t="inlineStr">
        <is>
          <t>adjusted xGOT</t>
        </is>
      </c>
      <c r="Q532" s="3" t="n">
        <v>0.853</v>
      </c>
      <c r="R532" s="3" t="n">
        <v>4.9</v>
      </c>
      <c r="S532" s="3" t="n">
        <v>0.0211</v>
      </c>
      <c r="T532" s="3" t="n">
        <v>0.361</v>
      </c>
      <c r="U532" s="3" t="n">
        <v>0.1742</v>
      </c>
      <c r="V532" s="3" t="n">
        <v>2.032</v>
      </c>
      <c r="W532" s="3">
        <f>IF(V532="",IFERROR(VLOOKUP($C532,Assumptions!$A$4:$F$7,6,FALSE),0),V532)</f>
        <v/>
      </c>
      <c r="X532" s="3">
        <f>N(O532)*IFERROR(VLOOKUP($C532,Assumptions!$A$4:$F$7,2,FALSE),0)</f>
        <v/>
      </c>
      <c r="Y532" s="3">
        <f>N(S532)*IFERROR(VLOOKUP($C532,Assumptions!$A$4:$F$7,3,FALSE),0)*Assumptions!$B$11</f>
        <v/>
      </c>
      <c r="Z532" s="3">
        <f>N(N532)*IFERROR(VLOOKUP($C532,Assumptions!$A$4:$F$7,4,FALSE),0)</f>
        <v/>
      </c>
      <c r="AA532" s="3">
        <f>N(T532)*IFERROR(VLOOKUP($C532,Assumptions!$A$4:$F$7,5,FALSE),0)</f>
        <v/>
      </c>
      <c r="AB532" s="3">
        <f>N(U532)</f>
        <v/>
      </c>
      <c r="AC532" s="3">
        <f>SUM(W532:AB532)</f>
        <v/>
      </c>
      <c r="AD532" s="3">
        <f>N(AC532)*N(M532)/90</f>
        <v/>
      </c>
      <c r="AE532" s="3">
        <f>IFERROR(AD532-VLOOKUP($C532,Assumptions!$A$29:$C$32,3,FALSE),"")</f>
        <v/>
      </c>
      <c r="AF532" s="3">
        <f>IFERROR(AE532/F532,"")</f>
        <v/>
      </c>
      <c r="AG532">
        <f>IF(AND($E532=TRUE,$C532="GKP"),AD532,"")</f>
        <v/>
      </c>
      <c r="AH532">
        <f>IF(AND($E532=TRUE,$C532="DEF"),AD532,"")</f>
        <v/>
      </c>
      <c r="AI532">
        <f>IF(AND($E532=TRUE,$C532="MID"),AD532,"")</f>
        <v/>
      </c>
      <c r="AJ532">
        <f>IF(AND($E532=TRUE,$C532="FWD"),AD532,"")</f>
        <v/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b">
        <v>1</v>
      </c>
      <c r="F533" s="2" t="n">
        <v>4</v>
      </c>
      <c r="G533" t="inlineStr">
        <is>
          <t>a</t>
        </is>
      </c>
      <c r="I533" s="2" t="n"/>
      <c r="K533" s="3" t="n">
        <v>30</v>
      </c>
      <c r="L533" t="inlineStr">
        <is>
          <t>flat</t>
        </is>
      </c>
      <c r="M533" s="4" t="n"/>
      <c r="N533" s="4" t="n"/>
      <c r="O533" s="3" t="n"/>
      <c r="P533" t="inlineStr"/>
      <c r="Q533" s="3" t="n"/>
      <c r="R533" s="3" t="n"/>
      <c r="S533" s="3" t="n"/>
      <c r="T533" s="3" t="n"/>
      <c r="U533" s="3" t="n"/>
      <c r="V533" s="3" t="n"/>
      <c r="W533" s="3">
        <f>IF(V533="",IFERROR(VLOOKUP($C533,Assumptions!$A$4:$F$7,6,FALSE),0),V533)</f>
        <v/>
      </c>
      <c r="X533" s="3">
        <f>N(O533)*IFERROR(VLOOKUP($C533,Assumptions!$A$4:$F$7,2,FALSE),0)</f>
        <v/>
      </c>
      <c r="Y533" s="3">
        <f>N(S533)*IFERROR(VLOOKUP($C533,Assumptions!$A$4:$F$7,3,FALSE),0)*Assumptions!$B$11</f>
        <v/>
      </c>
      <c r="Z533" s="3">
        <f>N(N533)*IFERROR(VLOOKUP($C533,Assumptions!$A$4:$F$7,4,FALSE),0)</f>
        <v/>
      </c>
      <c r="AA533" s="3">
        <f>N(T533)*IFERROR(VLOOKUP($C533,Assumptions!$A$4:$F$7,5,FALSE),0)</f>
        <v/>
      </c>
      <c r="AB533" s="3">
        <f>N(U533)</f>
        <v/>
      </c>
      <c r="AC533" s="3">
        <f>SUM(W533:AB533)</f>
        <v/>
      </c>
      <c r="AD533" s="3">
        <f>N(AC533)*N(M533)/90</f>
        <v/>
      </c>
      <c r="AE533" s="3">
        <f>IFERROR(AD533-VLOOKUP($C533,Assumptions!$A$29:$C$32,3,FALSE),"")</f>
        <v/>
      </c>
      <c r="AF533" s="3">
        <f>IFERROR(AE533/F533,"")</f>
        <v/>
      </c>
      <c r="AG533">
        <f>IF(AND($E533=TRUE,$C533="GKP"),AD533,"")</f>
        <v/>
      </c>
      <c r="AH533">
        <f>IF(AND($E533=TRUE,$C533="DEF"),AD533,"")</f>
        <v/>
      </c>
      <c r="AI533">
        <f>IF(AND($E533=TRUE,$C533="MID"),AD533,"")</f>
        <v/>
      </c>
      <c r="AJ533">
        <f>IF(AND($E533=TRUE,$C533="FWD"),AD533,"")</f>
        <v/>
      </c>
    </row>
    <row r="534">
      <c r="A534" t="inlineStr">
        <is>
          <t>Oleksandr Zinchenko</t>
        </is>
      </c>
      <c r="D534" t="inlineStr">
        <is>
          <t>DEF</t>
        </is>
      </c>
      <c r="E534" t="b">
        <v>0</v>
      </c>
      <c r="F534" s="2" t="n"/>
      <c r="I534" s="2" t="n">
        <v>353</v>
      </c>
      <c r="K534" s="3" t="n"/>
      <c r="M534" s="4" t="n">
        <v>353</v>
      </c>
      <c r="N534" s="4" t="n"/>
      <c r="O534" s="3" t="n">
        <v>0.0178</v>
      </c>
      <c r="P534" t="inlineStr">
        <is>
          <t>adjusted xGOT</t>
        </is>
      </c>
      <c r="Q534" s="3" t="n">
        <v>0.996</v>
      </c>
      <c r="R534" s="3" t="n">
        <v>2.6</v>
      </c>
      <c r="S534" s="3" t="n">
        <v>0.1149</v>
      </c>
      <c r="T534" s="3" t="n">
        <v>0</v>
      </c>
      <c r="U534" s="3" t="n">
        <v>0</v>
      </c>
      <c r="V534" s="3" t="n">
        <v>2.295</v>
      </c>
      <c r="W534" s="3">
        <f>IF(V534="",IFERROR(VLOOKUP($C534,Assumptions!$A$4:$F$7,6,FALSE),0),V534)</f>
        <v/>
      </c>
      <c r="X534" s="3">
        <f>N(O534)*IFERROR(VLOOKUP($C534,Assumptions!$A$4:$F$7,2,FALSE),0)</f>
        <v/>
      </c>
      <c r="Y534" s="3">
        <f>N(S534)*IFERROR(VLOOKUP($C534,Assumptions!$A$4:$F$7,3,FALSE),0)*Assumptions!$B$11</f>
        <v/>
      </c>
      <c r="Z534" s="3">
        <f>N(N534)*IFERROR(VLOOKUP($C534,Assumptions!$A$4:$F$7,4,FALSE),0)</f>
        <v/>
      </c>
      <c r="AA534" s="3">
        <f>N(T534)*IFERROR(VLOOKUP($C534,Assumptions!$A$4:$F$7,5,FALSE),0)</f>
        <v/>
      </c>
      <c r="AB534" s="3">
        <f>N(U534)</f>
        <v/>
      </c>
      <c r="AC534" s="3">
        <f>SUM(W534:AB534)</f>
        <v/>
      </c>
      <c r="AD534" s="3">
        <f>N(AC534)*N(M534)/90</f>
        <v/>
      </c>
      <c r="AE534" s="3">
        <f>IFERROR(AD534-VLOOKUP($C534,Assumptions!$A$29:$C$32,3,FALSE),"")</f>
        <v/>
      </c>
      <c r="AF534" s="3">
        <f>IFERROR(AE534/F534,"")</f>
        <v/>
      </c>
      <c r="AG534">
        <f>IF(AND($E534=TRUE,$C534="GKP"),AD534,"")</f>
        <v/>
      </c>
      <c r="AH534">
        <f>IF(AND($E534=TRUE,$C534="DEF"),AD534,"")</f>
        <v/>
      </c>
      <c r="AI534">
        <f>IF(AND($E534=TRUE,$C534="MID"),AD534,"")</f>
        <v/>
      </c>
      <c r="AJ534">
        <f>IF(AND($E534=TRUE,$C534="FWD"),AD534,"")</f>
        <v/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b">
        <v>1</v>
      </c>
      <c r="F535" s="2" t="n">
        <v>5</v>
      </c>
      <c r="G535" t="inlineStr">
        <is>
          <t>a</t>
        </is>
      </c>
      <c r="I535" s="2" t="n"/>
      <c r="K535" s="3" t="n">
        <v>675</v>
      </c>
      <c r="L535" t="inlineStr">
        <is>
          <t>flat</t>
        </is>
      </c>
      <c r="M535" s="4" t="n"/>
      <c r="N535" s="4" t="n"/>
      <c r="O535" s="3" t="n"/>
      <c r="P535" t="inlineStr"/>
      <c r="Q535" s="3" t="n"/>
      <c r="R535" s="3" t="n"/>
      <c r="S535" s="3" t="n"/>
      <c r="T535" s="3" t="n"/>
      <c r="U535" s="3" t="n"/>
      <c r="V535" s="3" t="n"/>
      <c r="W535" s="3">
        <f>IF(V535="",IFERROR(VLOOKUP($C535,Assumptions!$A$4:$F$7,6,FALSE),0),V535)</f>
        <v/>
      </c>
      <c r="X535" s="3">
        <f>N(O535)*IFERROR(VLOOKUP($C535,Assumptions!$A$4:$F$7,2,FALSE),0)</f>
        <v/>
      </c>
      <c r="Y535" s="3">
        <f>N(S535)*IFERROR(VLOOKUP($C535,Assumptions!$A$4:$F$7,3,FALSE),0)*Assumptions!$B$11</f>
        <v/>
      </c>
      <c r="Z535" s="3">
        <f>N(N535)*IFERROR(VLOOKUP($C535,Assumptions!$A$4:$F$7,4,FALSE),0)</f>
        <v/>
      </c>
      <c r="AA535" s="3">
        <f>N(T535)*IFERROR(VLOOKUP($C535,Assumptions!$A$4:$F$7,5,FALSE),0)</f>
        <v/>
      </c>
      <c r="AB535" s="3">
        <f>N(U535)</f>
        <v/>
      </c>
      <c r="AC535" s="3">
        <f>SUM(W535:AB535)</f>
        <v/>
      </c>
      <c r="AD535" s="3">
        <f>N(AC535)*N(M535)/90</f>
        <v/>
      </c>
      <c r="AE535" s="3">
        <f>IFERROR(AD535-VLOOKUP($C535,Assumptions!$A$29:$C$32,3,FALSE),"")</f>
        <v/>
      </c>
      <c r="AF535" s="3">
        <f>IFERROR(AE535/F535,"")</f>
        <v/>
      </c>
      <c r="AG535">
        <f>IF(AND($E535=TRUE,$C535="GKP"),AD535,"")</f>
        <v/>
      </c>
      <c r="AH535">
        <f>IF(AND($E535=TRUE,$C535="DEF"),AD535,"")</f>
        <v/>
      </c>
      <c r="AI535">
        <f>IF(AND($E535=TRUE,$C535="MID"),AD535,"")</f>
        <v/>
      </c>
      <c r="AJ535">
        <f>IF(AND($E535=TRUE,$C535="FWD"),AD535,"")</f>
        <v/>
      </c>
    </row>
    <row r="536">
      <c r="A536" t="inlineStr">
        <is>
          <t>Joe Worrall</t>
        </is>
      </c>
      <c r="D536" t="inlineStr">
        <is>
          <t>DEF</t>
        </is>
      </c>
      <c r="E536" t="b">
        <v>0</v>
      </c>
      <c r="F536" s="2" t="n"/>
      <c r="I536" s="2" t="n">
        <v>497</v>
      </c>
      <c r="K536" s="3" t="n"/>
      <c r="M536" s="4" t="n">
        <v>497</v>
      </c>
      <c r="N536" s="4" t="n"/>
      <c r="O536" s="3" t="n">
        <v>0.0141</v>
      </c>
      <c r="P536" t="inlineStr">
        <is>
          <t>adjusted xGOT</t>
        </is>
      </c>
      <c r="Q536" s="3" t="n">
        <v>0.974</v>
      </c>
      <c r="R536" s="3" t="n">
        <v>1</v>
      </c>
      <c r="S536" s="3" t="n">
        <v>0</v>
      </c>
      <c r="T536" s="3" t="n">
        <v>0.8</v>
      </c>
      <c r="U536" s="3" t="n">
        <v>0</v>
      </c>
      <c r="V536" s="3" t="n">
        <v>2.716</v>
      </c>
      <c r="W536" s="3">
        <f>IF(V536="",IFERROR(VLOOKUP($C536,Assumptions!$A$4:$F$7,6,FALSE),0),V536)</f>
        <v/>
      </c>
      <c r="X536" s="3">
        <f>N(O536)*IFERROR(VLOOKUP($C536,Assumptions!$A$4:$F$7,2,FALSE),0)</f>
        <v/>
      </c>
      <c r="Y536" s="3">
        <f>N(S536)*IFERROR(VLOOKUP($C536,Assumptions!$A$4:$F$7,3,FALSE),0)*Assumptions!$B$11</f>
        <v/>
      </c>
      <c r="Z536" s="3">
        <f>N(N536)*IFERROR(VLOOKUP($C536,Assumptions!$A$4:$F$7,4,FALSE),0)</f>
        <v/>
      </c>
      <c r="AA536" s="3">
        <f>N(T536)*IFERROR(VLOOKUP($C536,Assumptions!$A$4:$F$7,5,FALSE),0)</f>
        <v/>
      </c>
      <c r="AB536" s="3">
        <f>N(U536)</f>
        <v/>
      </c>
      <c r="AC536" s="3">
        <f>SUM(W536:AB536)</f>
        <v/>
      </c>
      <c r="AD536" s="3">
        <f>N(AC536)*N(M536)/90</f>
        <v/>
      </c>
      <c r="AE536" s="3">
        <f>IFERROR(AD536-VLOOKUP($C536,Assumptions!$A$29:$C$32,3,FALSE),"")</f>
        <v/>
      </c>
      <c r="AF536" s="3">
        <f>IFERROR(AE536/F536,"")</f>
        <v/>
      </c>
      <c r="AG536">
        <f>IF(AND($E536=TRUE,$C536="GKP"),AD536,"")</f>
        <v/>
      </c>
      <c r="AH536">
        <f>IF(AND($E536=TRUE,$C536="DEF"),AD536,"")</f>
        <v/>
      </c>
      <c r="AI536">
        <f>IF(AND($E536=TRUE,$C536="MID"),AD536,"")</f>
        <v/>
      </c>
      <c r="AJ536">
        <f>IF(AND($E536=TRUE,$C536="FWD"),AD536,"")</f>
        <v/>
      </c>
    </row>
    <row r="537">
      <c r="A537" t="inlineStr">
        <is>
          <t>Angel Gomes</t>
        </is>
      </c>
      <c r="D537" t="inlineStr">
        <is>
          <t>MID</t>
        </is>
      </c>
      <c r="E537" t="b">
        <v>0</v>
      </c>
      <c r="F537" s="2" t="n"/>
      <c r="I537" s="2" t="n">
        <v>464</v>
      </c>
      <c r="K537" s="3" t="n"/>
      <c r="M537" s="4" t="n">
        <v>464</v>
      </c>
      <c r="N537" s="4" t="n"/>
      <c r="O537" s="3" t="n">
        <v>0.0481</v>
      </c>
      <c r="P537" t="inlineStr">
        <is>
          <t>adjusted xGOT</t>
        </is>
      </c>
      <c r="Q537" s="3" t="n">
        <v>0.994</v>
      </c>
      <c r="R537" s="3" t="n">
        <v>0.2</v>
      </c>
      <c r="S537" s="3" t="n">
        <v>0.058</v>
      </c>
      <c r="T537" s="3" t="n">
        <v>0.143</v>
      </c>
      <c r="U537" s="3" t="n">
        <v>0</v>
      </c>
      <c r="V537" s="3" t="n">
        <v>3.103</v>
      </c>
      <c r="W537" s="3">
        <f>IF(V537="",IFERROR(VLOOKUP($C537,Assumptions!$A$4:$F$7,6,FALSE),0),V537)</f>
        <v/>
      </c>
      <c r="X537" s="3">
        <f>N(O537)*IFERROR(VLOOKUP($C537,Assumptions!$A$4:$F$7,2,FALSE),0)</f>
        <v/>
      </c>
      <c r="Y537" s="3">
        <f>N(S537)*IFERROR(VLOOKUP($C537,Assumptions!$A$4:$F$7,3,FALSE),0)*Assumptions!$B$11</f>
        <v/>
      </c>
      <c r="Z537" s="3">
        <f>N(N537)*IFERROR(VLOOKUP($C537,Assumptions!$A$4:$F$7,4,FALSE),0)</f>
        <v/>
      </c>
      <c r="AA537" s="3">
        <f>N(T537)*IFERROR(VLOOKUP($C537,Assumptions!$A$4:$F$7,5,FALSE),0)</f>
        <v/>
      </c>
      <c r="AB537" s="3">
        <f>N(U537)</f>
        <v/>
      </c>
      <c r="AC537" s="3">
        <f>SUM(W537:AB537)</f>
        <v/>
      </c>
      <c r="AD537" s="3">
        <f>N(AC537)*N(M537)/90</f>
        <v/>
      </c>
      <c r="AE537" s="3">
        <f>IFERROR(AD537-VLOOKUP($C537,Assumptions!$A$29:$C$32,3,FALSE),"")</f>
        <v/>
      </c>
      <c r="AF537" s="3">
        <f>IFERROR(AE537/F537,"")</f>
        <v/>
      </c>
      <c r="AG537">
        <f>IF(AND($E537=TRUE,$C537="GKP"),AD537,"")</f>
        <v/>
      </c>
      <c r="AH537">
        <f>IF(AND($E537=TRUE,$C537="DEF"),AD537,"")</f>
        <v/>
      </c>
      <c r="AI537">
        <f>IF(AND($E537=TRUE,$C537="MID"),AD537,"")</f>
        <v/>
      </c>
      <c r="AJ537">
        <f>IF(AND($E537=TRUE,$C537="FWD"),AD537,"")</f>
        <v/>
      </c>
    </row>
    <row r="538">
      <c r="A538" t="inlineStr">
        <is>
          <t>Jadon Sancho</t>
        </is>
      </c>
      <c r="D538" t="inlineStr">
        <is>
          <t>MID</t>
        </is>
      </c>
      <c r="E538" t="b">
        <v>0</v>
      </c>
      <c r="F538" s="2" t="n"/>
      <c r="I538" s="2" t="n">
        <v>873</v>
      </c>
      <c r="K538" s="3" t="n"/>
      <c r="M538" s="4" t="n">
        <v>873</v>
      </c>
      <c r="N538" s="4" t="n"/>
      <c r="O538" s="3" t="n">
        <v>0.0677</v>
      </c>
      <c r="P538" t="inlineStr">
        <is>
          <t>adjusted xGOT</t>
        </is>
      </c>
      <c r="Q538" s="3" t="n">
        <v>1.077</v>
      </c>
      <c r="R538" s="3" t="n">
        <v>6.8</v>
      </c>
      <c r="S538" s="3" t="n">
        <v>0.2115</v>
      </c>
      <c r="T538" s="3" t="n">
        <v>0</v>
      </c>
      <c r="U538" s="3" t="n">
        <v>0</v>
      </c>
      <c r="V538" s="3" t="n">
        <v>2.99</v>
      </c>
      <c r="W538" s="3">
        <f>IF(V538="",IFERROR(VLOOKUP($C538,Assumptions!$A$4:$F$7,6,FALSE),0),V538)</f>
        <v/>
      </c>
      <c r="X538" s="3">
        <f>N(O538)*IFERROR(VLOOKUP($C538,Assumptions!$A$4:$F$7,2,FALSE),0)</f>
        <v/>
      </c>
      <c r="Y538" s="3">
        <f>N(S538)*IFERROR(VLOOKUP($C538,Assumptions!$A$4:$F$7,3,FALSE),0)*Assumptions!$B$11</f>
        <v/>
      </c>
      <c r="Z538" s="3">
        <f>N(N538)*IFERROR(VLOOKUP($C538,Assumptions!$A$4:$F$7,4,FALSE),0)</f>
        <v/>
      </c>
      <c r="AA538" s="3">
        <f>N(T538)*IFERROR(VLOOKUP($C538,Assumptions!$A$4:$F$7,5,FALSE),0)</f>
        <v/>
      </c>
      <c r="AB538" s="3">
        <f>N(U538)</f>
        <v/>
      </c>
      <c r="AC538" s="3">
        <f>SUM(W538:AB538)</f>
        <v/>
      </c>
      <c r="AD538" s="3">
        <f>N(AC538)*N(M538)/90</f>
        <v/>
      </c>
      <c r="AE538" s="3">
        <f>IFERROR(AD538-VLOOKUP($C538,Assumptions!$A$29:$C$32,3,FALSE),"")</f>
        <v/>
      </c>
      <c r="AF538" s="3">
        <f>IFERROR(AE538/F538,"")</f>
        <v/>
      </c>
      <c r="AG538">
        <f>IF(AND($E538=TRUE,$C538="GKP"),AD538,"")</f>
        <v/>
      </c>
      <c r="AH538">
        <f>IF(AND($E538=TRUE,$C538="DEF"),AD538,"")</f>
        <v/>
      </c>
      <c r="AI538">
        <f>IF(AND($E538=TRUE,$C538="MID"),AD538,"")</f>
        <v/>
      </c>
      <c r="AJ538">
        <f>IF(AND($E538=TRUE,$C538="FWD"),AD538,"")</f>
        <v/>
      </c>
    </row>
    <row r="539">
      <c r="A539" t="inlineStr">
        <is>
          <t>Nayef Aguerd</t>
        </is>
      </c>
      <c r="D539" t="inlineStr">
        <is>
          <t>DEF</t>
        </is>
      </c>
      <c r="E539" t="b">
        <v>0</v>
      </c>
      <c r="F539" s="2" t="n"/>
      <c r="I539" s="2" t="n">
        <v>180</v>
      </c>
      <c r="K539" s="3" t="n"/>
      <c r="M539" s="4" t="n">
        <v>180</v>
      </c>
      <c r="N539" s="4" t="n"/>
      <c r="O539" s="3" t="n">
        <v>0.0455</v>
      </c>
      <c r="P539" t="inlineStr">
        <is>
          <t>adjusted xGOT</t>
        </is>
      </c>
      <c r="Q539" s="3" t="n">
        <v>0.906</v>
      </c>
      <c r="R539" s="3" t="n">
        <v>3.7</v>
      </c>
      <c r="S539" s="3" t="n">
        <v>0</v>
      </c>
      <c r="T539" s="3" t="n">
        <v>0.5</v>
      </c>
      <c r="U539" s="3" t="n">
        <v>0</v>
      </c>
      <c r="V539" s="3" t="n">
        <v>2</v>
      </c>
      <c r="W539" s="3">
        <f>IF(V539="",IFERROR(VLOOKUP($C539,Assumptions!$A$4:$F$7,6,FALSE),0),V539)</f>
        <v/>
      </c>
      <c r="X539" s="3">
        <f>N(O539)*IFERROR(VLOOKUP($C539,Assumptions!$A$4:$F$7,2,FALSE),0)</f>
        <v/>
      </c>
      <c r="Y539" s="3">
        <f>N(S539)*IFERROR(VLOOKUP($C539,Assumptions!$A$4:$F$7,3,FALSE),0)*Assumptions!$B$11</f>
        <v/>
      </c>
      <c r="Z539" s="3">
        <f>N(N539)*IFERROR(VLOOKUP($C539,Assumptions!$A$4:$F$7,4,FALSE),0)</f>
        <v/>
      </c>
      <c r="AA539" s="3">
        <f>N(T539)*IFERROR(VLOOKUP($C539,Assumptions!$A$4:$F$7,5,FALSE),0)</f>
        <v/>
      </c>
      <c r="AB539" s="3">
        <f>N(U539)</f>
        <v/>
      </c>
      <c r="AC539" s="3">
        <f>SUM(W539:AB539)</f>
        <v/>
      </c>
      <c r="AD539" s="3">
        <f>N(AC539)*N(M539)/90</f>
        <v/>
      </c>
      <c r="AE539" s="3">
        <f>IFERROR(AD539-VLOOKUP($C539,Assumptions!$A$29:$C$32,3,FALSE),"")</f>
        <v/>
      </c>
      <c r="AF539" s="3">
        <f>IFERROR(AE539/F539,"")</f>
        <v/>
      </c>
      <c r="AG539">
        <f>IF(AND($E539=TRUE,$C539="GKP"),AD539,"")</f>
        <v/>
      </c>
      <c r="AH539">
        <f>IF(AND($E539=TRUE,$C539="DEF"),AD539,"")</f>
        <v/>
      </c>
      <c r="AI539">
        <f>IF(AND($E539=TRUE,$C539="MID"),AD539,"")</f>
        <v/>
      </c>
      <c r="AJ539">
        <f>IF(AND($E539=TRUE,$C539="FWD"),AD539,"")</f>
        <v/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b">
        <v>1</v>
      </c>
      <c r="F540" s="2" t="n">
        <v>5</v>
      </c>
      <c r="G540" t="inlineStr">
        <is>
          <t>a</t>
        </is>
      </c>
      <c r="I540" s="2" t="n"/>
      <c r="K540" s="3" t="n">
        <v>281</v>
      </c>
      <c r="L540" t="inlineStr">
        <is>
          <t>flat</t>
        </is>
      </c>
      <c r="M540" s="4" t="n"/>
      <c r="N540" s="4" t="n"/>
      <c r="O540" s="3" t="n"/>
      <c r="P540" t="inlineStr"/>
      <c r="Q540" s="3" t="n"/>
      <c r="R540" s="3" t="n"/>
      <c r="S540" s="3" t="n"/>
      <c r="T540" s="3" t="n"/>
      <c r="U540" s="3" t="n"/>
      <c r="V540" s="3" t="n"/>
      <c r="W540" s="3">
        <f>IF(V540="",IFERROR(VLOOKUP($C540,Assumptions!$A$4:$F$7,6,FALSE),0),V540)</f>
        <v/>
      </c>
      <c r="X540" s="3">
        <f>N(O540)*IFERROR(VLOOKUP($C540,Assumptions!$A$4:$F$7,2,FALSE),0)</f>
        <v/>
      </c>
      <c r="Y540" s="3">
        <f>N(S540)*IFERROR(VLOOKUP($C540,Assumptions!$A$4:$F$7,3,FALSE),0)*Assumptions!$B$11</f>
        <v/>
      </c>
      <c r="Z540" s="3">
        <f>N(N540)*IFERROR(VLOOKUP($C540,Assumptions!$A$4:$F$7,4,FALSE),0)</f>
        <v/>
      </c>
      <c r="AA540" s="3">
        <f>N(T540)*IFERROR(VLOOKUP($C540,Assumptions!$A$4:$F$7,5,FALSE),0)</f>
        <v/>
      </c>
      <c r="AB540" s="3">
        <f>N(U540)</f>
        <v/>
      </c>
      <c r="AC540" s="3">
        <f>SUM(W540:AB540)</f>
        <v/>
      </c>
      <c r="AD540" s="3">
        <f>N(AC540)*N(M540)/90</f>
        <v/>
      </c>
      <c r="AE540" s="3">
        <f>IFERROR(AD540-VLOOKUP($C540,Assumptions!$A$29:$C$32,3,FALSE),"")</f>
        <v/>
      </c>
      <c r="AF540" s="3">
        <f>IFERROR(AE540/F540,"")</f>
        <v/>
      </c>
      <c r="AG540">
        <f>IF(AND($E540=TRUE,$C540="GKP"),AD540,"")</f>
        <v/>
      </c>
      <c r="AH540">
        <f>IF(AND($E540=TRUE,$C540="DEF"),AD540,"")</f>
        <v/>
      </c>
      <c r="AI540">
        <f>IF(AND($E540=TRUE,$C540="MID"),AD540,"")</f>
        <v/>
      </c>
      <c r="AJ540">
        <f>IF(AND($E540=TRUE,$C540="FWD"),AD540,"")</f>
        <v/>
      </c>
    </row>
    <row r="541">
      <c r="A541" t="inlineStr">
        <is>
          <t>Maximilian Kilman</t>
        </is>
      </c>
      <c r="D541" t="inlineStr">
        <is>
          <t>DEF</t>
        </is>
      </c>
      <c r="E541" t="b">
        <v>0</v>
      </c>
      <c r="F541" s="2" t="n"/>
      <c r="I541" s="2" t="n">
        <v>1559</v>
      </c>
      <c r="K541" s="3" t="n"/>
      <c r="M541" s="4" t="n">
        <v>1559</v>
      </c>
      <c r="N541" s="4" t="n"/>
      <c r="O541" s="3" t="n">
        <v>0.0277</v>
      </c>
      <c r="P541" t="inlineStr">
        <is>
          <t>adjusted xGOT</t>
        </is>
      </c>
      <c r="Q541" s="3" t="n">
        <v>0.856</v>
      </c>
      <c r="R541" s="3" t="n">
        <v>5.2</v>
      </c>
      <c r="S541" s="3" t="n">
        <v>0.012</v>
      </c>
      <c r="T541" s="3" t="n">
        <v>0.353</v>
      </c>
      <c r="U541" s="3" t="n">
        <v>0</v>
      </c>
      <c r="V541" s="3" t="n">
        <v>2.194</v>
      </c>
      <c r="W541" s="3">
        <f>IF(V541="",IFERROR(VLOOKUP($C541,Assumptions!$A$4:$F$7,6,FALSE),0),V541)</f>
        <v/>
      </c>
      <c r="X541" s="3">
        <f>N(O541)*IFERROR(VLOOKUP($C541,Assumptions!$A$4:$F$7,2,FALSE),0)</f>
        <v/>
      </c>
      <c r="Y541" s="3">
        <f>N(S541)*IFERROR(VLOOKUP($C541,Assumptions!$A$4:$F$7,3,FALSE),0)*Assumptions!$B$11</f>
        <v/>
      </c>
      <c r="Z541" s="3">
        <f>N(N541)*IFERROR(VLOOKUP($C541,Assumptions!$A$4:$F$7,4,FALSE),0)</f>
        <v/>
      </c>
      <c r="AA541" s="3">
        <f>N(T541)*IFERROR(VLOOKUP($C541,Assumptions!$A$4:$F$7,5,FALSE),0)</f>
        <v/>
      </c>
      <c r="AB541" s="3">
        <f>N(U541)</f>
        <v/>
      </c>
      <c r="AC541" s="3">
        <f>SUM(W541:AB541)</f>
        <v/>
      </c>
      <c r="AD541" s="3">
        <f>N(AC541)*N(M541)/90</f>
        <v/>
      </c>
      <c r="AE541" s="3">
        <f>IFERROR(AD541-VLOOKUP($C541,Assumptions!$A$29:$C$32,3,FALSE),"")</f>
        <v/>
      </c>
      <c r="AF541" s="3">
        <f>IFERROR(AE541/F541,"")</f>
        <v/>
      </c>
      <c r="AG541">
        <f>IF(AND($E541=TRUE,$C541="GKP"),AD541,"")</f>
        <v/>
      </c>
      <c r="AH541">
        <f>IF(AND($E541=TRUE,$C541="DEF"),AD541,"")</f>
        <v/>
      </c>
      <c r="AI541">
        <f>IF(AND($E541=TRUE,$C541="MID"),AD541,"")</f>
        <v/>
      </c>
      <c r="AJ541">
        <f>IF(AND($E541=TRUE,$C541="FWD"),AD541,"")</f>
        <v/>
      </c>
    </row>
    <row r="542">
      <c r="A542" t="inlineStr">
        <is>
          <t>Aaron Wan-Bissaka</t>
        </is>
      </c>
      <c r="D542" t="inlineStr">
        <is>
          <t>DEF</t>
        </is>
      </c>
      <c r="E542" t="b">
        <v>0</v>
      </c>
      <c r="F542" s="2" t="n"/>
      <c r="I542" s="2" t="n">
        <v>2084</v>
      </c>
      <c r="K542" s="3" t="n"/>
      <c r="M542" s="4" t="n">
        <v>2084</v>
      </c>
      <c r="N542" s="4" t="n"/>
      <c r="O542" s="3" t="n">
        <v>0</v>
      </c>
      <c r="P542" t="inlineStr">
        <is>
          <t>adjusted xGOT</t>
        </is>
      </c>
      <c r="Q542" s="3" t="n">
        <v>0.878</v>
      </c>
      <c r="R542" s="3" t="n">
        <v>2.5</v>
      </c>
      <c r="S542" s="3" t="n">
        <v>0.0617</v>
      </c>
      <c r="T542" s="3" t="n">
        <v>0.348</v>
      </c>
      <c r="U542" s="3" t="n">
        <v>0</v>
      </c>
      <c r="V542" s="3" t="n">
        <v>2.073</v>
      </c>
      <c r="W542" s="3">
        <f>IF(V542="",IFERROR(VLOOKUP($C542,Assumptions!$A$4:$F$7,6,FALSE),0),V542)</f>
        <v/>
      </c>
      <c r="X542" s="3">
        <f>N(O542)*IFERROR(VLOOKUP($C542,Assumptions!$A$4:$F$7,2,FALSE),0)</f>
        <v/>
      </c>
      <c r="Y542" s="3">
        <f>N(S542)*IFERROR(VLOOKUP($C542,Assumptions!$A$4:$F$7,3,FALSE),0)*Assumptions!$B$11</f>
        <v/>
      </c>
      <c r="Z542" s="3">
        <f>N(N542)*IFERROR(VLOOKUP($C542,Assumptions!$A$4:$F$7,4,FALSE),0)</f>
        <v/>
      </c>
      <c r="AA542" s="3">
        <f>N(T542)*IFERROR(VLOOKUP($C542,Assumptions!$A$4:$F$7,5,FALSE),0)</f>
        <v/>
      </c>
      <c r="AB542" s="3">
        <f>N(U542)</f>
        <v/>
      </c>
      <c r="AC542" s="3">
        <f>SUM(W542:AB542)</f>
        <v/>
      </c>
      <c r="AD542" s="3">
        <f>N(AC542)*N(M542)/90</f>
        <v/>
      </c>
      <c r="AE542" s="3">
        <f>IFERROR(AD542-VLOOKUP($C542,Assumptions!$A$29:$C$32,3,FALSE),"")</f>
        <v/>
      </c>
      <c r="AF542" s="3">
        <f>IFERROR(AE542/F542,"")</f>
        <v/>
      </c>
      <c r="AG542">
        <f>IF(AND($E542=TRUE,$C542="GKP"),AD542,"")</f>
        <v/>
      </c>
      <c r="AH542">
        <f>IF(AND($E542=TRUE,$C542="DEF"),AD542,"")</f>
        <v/>
      </c>
      <c r="AI542">
        <f>IF(AND($E542=TRUE,$C542="MID"),AD542,"")</f>
        <v/>
      </c>
      <c r="AJ542">
        <f>IF(AND($E542=TRUE,$C542="FWD"),AD542,"")</f>
        <v/>
      </c>
    </row>
    <row r="543">
      <c r="A543" t="inlineStr">
        <is>
          <t>Tomás Soucek</t>
        </is>
      </c>
      <c r="D543" t="inlineStr">
        <is>
          <t>MID</t>
        </is>
      </c>
      <c r="E543" t="b">
        <v>0</v>
      </c>
      <c r="F543" s="2" t="n"/>
      <c r="I543" s="2" t="n">
        <v>2198</v>
      </c>
      <c r="K543" s="3" t="n"/>
      <c r="M543" s="4" t="n">
        <v>2198</v>
      </c>
      <c r="N543" s="4" t="n"/>
      <c r="O543" s="3" t="n">
        <v>0.2578</v>
      </c>
      <c r="P543" t="inlineStr">
        <is>
          <t>adjusted xGOT</t>
        </is>
      </c>
      <c r="Q543" s="3" t="n">
        <v>1.099</v>
      </c>
      <c r="R543" s="3" t="n">
        <v>23</v>
      </c>
      <c r="S543" s="3" t="n">
        <v>0.0336</v>
      </c>
      <c r="T543" s="3" t="n">
        <v>0.292</v>
      </c>
      <c r="U543" s="3" t="n">
        <v>0.3685</v>
      </c>
      <c r="V543" s="3" t="n">
        <v>2.375</v>
      </c>
      <c r="W543" s="3">
        <f>IF(V543="",IFERROR(VLOOKUP($C543,Assumptions!$A$4:$F$7,6,FALSE),0),V543)</f>
        <v/>
      </c>
      <c r="X543" s="3">
        <f>N(O543)*IFERROR(VLOOKUP($C543,Assumptions!$A$4:$F$7,2,FALSE),0)</f>
        <v/>
      </c>
      <c r="Y543" s="3">
        <f>N(S543)*IFERROR(VLOOKUP($C543,Assumptions!$A$4:$F$7,3,FALSE),0)*Assumptions!$B$11</f>
        <v/>
      </c>
      <c r="Z543" s="3">
        <f>N(N543)*IFERROR(VLOOKUP($C543,Assumptions!$A$4:$F$7,4,FALSE),0)</f>
        <v/>
      </c>
      <c r="AA543" s="3">
        <f>N(T543)*IFERROR(VLOOKUP($C543,Assumptions!$A$4:$F$7,5,FALSE),0)</f>
        <v/>
      </c>
      <c r="AB543" s="3">
        <f>N(U543)</f>
        <v/>
      </c>
      <c r="AC543" s="3">
        <f>SUM(W543:AB543)</f>
        <v/>
      </c>
      <c r="AD543" s="3">
        <f>N(AC543)*N(M543)/90</f>
        <v/>
      </c>
      <c r="AE543" s="3">
        <f>IFERROR(AD543-VLOOKUP($C543,Assumptions!$A$29:$C$32,3,FALSE),"")</f>
        <v/>
      </c>
      <c r="AF543" s="3">
        <f>IFERROR(AE543/F543,"")</f>
        <v/>
      </c>
      <c r="AG543">
        <f>IF(AND($E543=TRUE,$C543="GKP"),AD543,"")</f>
        <v/>
      </c>
      <c r="AH543">
        <f>IF(AND($E543=TRUE,$C543="DEF"),AD543,"")</f>
        <v/>
      </c>
      <c r="AI543">
        <f>IF(AND($E543=TRUE,$C543="MID"),AD543,"")</f>
        <v/>
      </c>
      <c r="AJ543">
        <f>IF(AND($E543=TRUE,$C543="FWD"),AD543,"")</f>
        <v/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b">
        <v>1</v>
      </c>
      <c r="F544" s="2" t="n">
        <v>4</v>
      </c>
      <c r="G544" t="inlineStr">
        <is>
          <t>a</t>
        </is>
      </c>
      <c r="I544" s="2" t="n"/>
      <c r="K544" s="3" t="n">
        <v>3232</v>
      </c>
      <c r="L544" t="inlineStr">
        <is>
          <t>flat</t>
        </is>
      </c>
      <c r="M544" s="4" t="n"/>
      <c r="N544" s="4" t="n"/>
      <c r="O544" s="3" t="n"/>
      <c r="P544" t="inlineStr"/>
      <c r="Q544" s="3" t="n"/>
      <c r="R544" s="3" t="n"/>
      <c r="S544" s="3" t="n"/>
      <c r="T544" s="3" t="n"/>
      <c r="U544" s="3" t="n"/>
      <c r="V544" s="3" t="n"/>
      <c r="W544" s="3">
        <f>IF(V544="",IFERROR(VLOOKUP($C544,Assumptions!$A$4:$F$7,6,FALSE),0),V544)</f>
        <v/>
      </c>
      <c r="X544" s="3">
        <f>N(O544)*IFERROR(VLOOKUP($C544,Assumptions!$A$4:$F$7,2,FALSE),0)</f>
        <v/>
      </c>
      <c r="Y544" s="3">
        <f>N(S544)*IFERROR(VLOOKUP($C544,Assumptions!$A$4:$F$7,3,FALSE),0)*Assumptions!$B$11</f>
        <v/>
      </c>
      <c r="Z544" s="3">
        <f>N(N544)*IFERROR(VLOOKUP($C544,Assumptions!$A$4:$F$7,4,FALSE),0)</f>
        <v/>
      </c>
      <c r="AA544" s="3">
        <f>N(T544)*IFERROR(VLOOKUP($C544,Assumptions!$A$4:$F$7,5,FALSE),0)</f>
        <v/>
      </c>
      <c r="AB544" s="3">
        <f>N(U544)</f>
        <v/>
      </c>
      <c r="AC544" s="3">
        <f>SUM(W544:AB544)</f>
        <v/>
      </c>
      <c r="AD544" s="3">
        <f>N(AC544)*N(M544)/90</f>
        <v/>
      </c>
      <c r="AE544" s="3">
        <f>IFERROR(AD544-VLOOKUP($C544,Assumptions!$A$29:$C$32,3,FALSE),"")</f>
        <v/>
      </c>
      <c r="AF544" s="3">
        <f>IFERROR(AE544/F544,"")</f>
        <v/>
      </c>
      <c r="AG544">
        <f>IF(AND($E544=TRUE,$C544="GKP"),AD544,"")</f>
        <v/>
      </c>
      <c r="AH544">
        <f>IF(AND($E544=TRUE,$C544="DEF"),AD544,"")</f>
        <v/>
      </c>
      <c r="AI544">
        <f>IF(AND($E544=TRUE,$C544="MID"),AD544,"")</f>
        <v/>
      </c>
      <c r="AJ544">
        <f>IF(AND($E544=TRUE,$C544="FWD"),AD544,"")</f>
        <v/>
      </c>
    </row>
    <row r="545">
      <c r="A545" t="inlineStr">
        <is>
          <t>Samuel Chukwueze</t>
        </is>
      </c>
      <c r="D545" t="inlineStr">
        <is>
          <t>MID</t>
        </is>
      </c>
      <c r="E545" t="b">
        <v>0</v>
      </c>
      <c r="F545" s="2" t="n"/>
      <c r="I545" s="2" t="n">
        <v>1075</v>
      </c>
      <c r="K545" s="3" t="n"/>
      <c r="M545" s="4" t="n">
        <v>1075</v>
      </c>
      <c r="N545" s="4" t="n"/>
      <c r="O545" s="3" t="n">
        <v>0.1932</v>
      </c>
      <c r="P545" t="inlineStr">
        <is>
          <t>adjusted xGOT</t>
        </is>
      </c>
      <c r="Q545" s="3" t="n">
        <v>1.099</v>
      </c>
      <c r="R545" s="3" t="n">
        <v>2.1</v>
      </c>
      <c r="S545" s="3" t="n">
        <v>0.2374</v>
      </c>
      <c r="T545" s="3" t="n">
        <v>0</v>
      </c>
      <c r="U545" s="3" t="n">
        <v>0.1674</v>
      </c>
      <c r="V545" s="3" t="n">
        <v>2.679</v>
      </c>
      <c r="W545" s="3">
        <f>IF(V545="",IFERROR(VLOOKUP($C545,Assumptions!$A$4:$F$7,6,FALSE),0),V545)</f>
        <v/>
      </c>
      <c r="X545" s="3">
        <f>N(O545)*IFERROR(VLOOKUP($C545,Assumptions!$A$4:$F$7,2,FALSE),0)</f>
        <v/>
      </c>
      <c r="Y545" s="3">
        <f>N(S545)*IFERROR(VLOOKUP($C545,Assumptions!$A$4:$F$7,3,FALSE),0)*Assumptions!$B$11</f>
        <v/>
      </c>
      <c r="Z545" s="3">
        <f>N(N545)*IFERROR(VLOOKUP($C545,Assumptions!$A$4:$F$7,4,FALSE),0)</f>
        <v/>
      </c>
      <c r="AA545" s="3">
        <f>N(T545)*IFERROR(VLOOKUP($C545,Assumptions!$A$4:$F$7,5,FALSE),0)</f>
        <v/>
      </c>
      <c r="AB545" s="3">
        <f>N(U545)</f>
        <v/>
      </c>
      <c r="AC545" s="3">
        <f>SUM(W545:AB545)</f>
        <v/>
      </c>
      <c r="AD545" s="3">
        <f>N(AC545)*N(M545)/90</f>
        <v/>
      </c>
      <c r="AE545" s="3">
        <f>IFERROR(AD545-VLOOKUP($C545,Assumptions!$A$29:$C$32,3,FALSE),"")</f>
        <v/>
      </c>
      <c r="AF545" s="3">
        <f>IFERROR(AE545/F545,"")</f>
        <v/>
      </c>
      <c r="AG545">
        <f>IF(AND($E545=TRUE,$C545="GKP"),AD545,"")</f>
        <v/>
      </c>
      <c r="AH545">
        <f>IF(AND($E545=TRUE,$C545="DEF"),AD545,"")</f>
        <v/>
      </c>
      <c r="AI545">
        <f>IF(AND($E545=TRUE,$C545="MID"),AD545,"")</f>
        <v/>
      </c>
      <c r="AJ545">
        <f>IF(AND($E545=TRUE,$C545="FWD"),AD545,"")</f>
        <v/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b">
        <v>1</v>
      </c>
      <c r="F546" s="2" t="n">
        <v>5</v>
      </c>
      <c r="G546" t="inlineStr">
        <is>
          <t>a</t>
        </is>
      </c>
      <c r="I546" s="2" t="n"/>
      <c r="K546" s="3" t="n">
        <v>744</v>
      </c>
      <c r="L546" t="inlineStr">
        <is>
          <t>fade (losing his place)</t>
        </is>
      </c>
      <c r="M546" s="4" t="n"/>
      <c r="N546" s="4" t="n"/>
      <c r="O546" s="3" t="n"/>
      <c r="P546" t="inlineStr"/>
      <c r="Q546" s="3" t="n"/>
      <c r="R546" s="3" t="n"/>
      <c r="S546" s="3" t="n"/>
      <c r="T546" s="3" t="n"/>
      <c r="U546" s="3" t="n"/>
      <c r="V546" s="3" t="n"/>
      <c r="W546" s="3">
        <f>IF(V546="",IFERROR(VLOOKUP($C546,Assumptions!$A$4:$F$7,6,FALSE),0),V546)</f>
        <v/>
      </c>
      <c r="X546" s="3">
        <f>N(O546)*IFERROR(VLOOKUP($C546,Assumptions!$A$4:$F$7,2,FALSE),0)</f>
        <v/>
      </c>
      <c r="Y546" s="3">
        <f>N(S546)*IFERROR(VLOOKUP($C546,Assumptions!$A$4:$F$7,3,FALSE),0)*Assumptions!$B$11</f>
        <v/>
      </c>
      <c r="Z546" s="3">
        <f>N(N546)*IFERROR(VLOOKUP($C546,Assumptions!$A$4:$F$7,4,FALSE),0)</f>
        <v/>
      </c>
      <c r="AA546" s="3">
        <f>N(T546)*IFERROR(VLOOKUP($C546,Assumptions!$A$4:$F$7,5,FALSE),0)</f>
        <v/>
      </c>
      <c r="AB546" s="3">
        <f>N(U546)</f>
        <v/>
      </c>
      <c r="AC546" s="3">
        <f>SUM(W546:AB546)</f>
        <v/>
      </c>
      <c r="AD546" s="3">
        <f>N(AC546)*N(M546)/90</f>
        <v/>
      </c>
      <c r="AE546" s="3">
        <f>IFERROR(AD546-VLOOKUP($C546,Assumptions!$A$29:$C$32,3,FALSE),"")</f>
        <v/>
      </c>
      <c r="AF546" s="3">
        <f>IFERROR(AE546/F546,"")</f>
        <v/>
      </c>
      <c r="AG546">
        <f>IF(AND($E546=TRUE,$C546="GKP"),AD546,"")</f>
        <v/>
      </c>
      <c r="AH546">
        <f>IF(AND($E546=TRUE,$C546="DEF"),AD546,"")</f>
        <v/>
      </c>
      <c r="AI546">
        <f>IF(AND($E546=TRUE,$C546="MID"),AD546,"")</f>
        <v/>
      </c>
      <c r="AJ546">
        <f>IF(AND($E546=TRUE,$C546="FWD"),AD546,"")</f>
        <v/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b">
        <v>1</v>
      </c>
      <c r="F547" s="2" t="n">
        <v>4</v>
      </c>
      <c r="G547" t="inlineStr">
        <is>
          <t>a</t>
        </is>
      </c>
      <c r="I547" s="2" t="n"/>
      <c r="K547" s="3" t="n">
        <v>270</v>
      </c>
      <c r="L547" t="inlineStr">
        <is>
          <t>flat</t>
        </is>
      </c>
      <c r="M547" s="4" t="n"/>
      <c r="N547" s="4" t="n"/>
      <c r="O547" s="3" t="n"/>
      <c r="P547" t="inlineStr"/>
      <c r="Q547" s="3" t="n"/>
      <c r="R547" s="3" t="n"/>
      <c r="S547" s="3" t="n"/>
      <c r="T547" s="3" t="n"/>
      <c r="U547" s="3" t="n"/>
      <c r="V547" s="3" t="n"/>
      <c r="W547" s="3">
        <f>IF(V547="",IFERROR(VLOOKUP($C547,Assumptions!$A$4:$F$7,6,FALSE),0),V547)</f>
        <v/>
      </c>
      <c r="X547" s="3">
        <f>N(O547)*IFERROR(VLOOKUP($C547,Assumptions!$A$4:$F$7,2,FALSE),0)</f>
        <v/>
      </c>
      <c r="Y547" s="3">
        <f>N(S547)*IFERROR(VLOOKUP($C547,Assumptions!$A$4:$F$7,3,FALSE),0)*Assumptions!$B$11</f>
        <v/>
      </c>
      <c r="Z547" s="3">
        <f>N(N547)*IFERROR(VLOOKUP($C547,Assumptions!$A$4:$F$7,4,FALSE),0)</f>
        <v/>
      </c>
      <c r="AA547" s="3">
        <f>N(T547)*IFERROR(VLOOKUP($C547,Assumptions!$A$4:$F$7,5,FALSE),0)</f>
        <v/>
      </c>
      <c r="AB547" s="3">
        <f>N(U547)</f>
        <v/>
      </c>
      <c r="AC547" s="3">
        <f>SUM(W547:AB547)</f>
        <v/>
      </c>
      <c r="AD547" s="3">
        <f>N(AC547)*N(M547)/90</f>
        <v/>
      </c>
      <c r="AE547" s="3">
        <f>IFERROR(AD547-VLOOKUP($C547,Assumptions!$A$29:$C$32,3,FALSE),"")</f>
        <v/>
      </c>
      <c r="AF547" s="3">
        <f>IFERROR(AE547/F547,"")</f>
        <v/>
      </c>
      <c r="AG547">
        <f>IF(AND($E547=TRUE,$C547="GKP"),AD547,"")</f>
        <v/>
      </c>
      <c r="AH547">
        <f>IF(AND($E547=TRUE,$C547="DEF"),AD547,"")</f>
        <v/>
      </c>
      <c r="AI547">
        <f>IF(AND($E547=TRUE,$C547="MID"),AD547,"")</f>
        <v/>
      </c>
      <c r="AJ547">
        <f>IF(AND($E547=TRUE,$C547="FWD"),AD547,"")</f>
        <v/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b">
        <v>1</v>
      </c>
      <c r="F548" s="2" t="n">
        <v>4</v>
      </c>
      <c r="G548" t="inlineStr">
        <is>
          <t>a</t>
        </is>
      </c>
      <c r="I548" s="2" t="n"/>
      <c r="K548" s="3" t="n">
        <v>382</v>
      </c>
      <c r="L548" t="inlineStr">
        <is>
          <t>flat</t>
        </is>
      </c>
      <c r="M548" s="4" t="n"/>
      <c r="N548" s="4" t="n"/>
      <c r="O548" s="3" t="n"/>
      <c r="P548" t="inlineStr"/>
      <c r="Q548" s="3" t="n"/>
      <c r="R548" s="3" t="n"/>
      <c r="S548" s="3" t="n"/>
      <c r="T548" s="3" t="n"/>
      <c r="U548" s="3" t="n"/>
      <c r="V548" s="3" t="n"/>
      <c r="W548" s="3">
        <f>IF(V548="",IFERROR(VLOOKUP($C548,Assumptions!$A$4:$F$7,6,FALSE),0),V548)</f>
        <v/>
      </c>
      <c r="X548" s="3">
        <f>N(O548)*IFERROR(VLOOKUP($C548,Assumptions!$A$4:$F$7,2,FALSE),0)</f>
        <v/>
      </c>
      <c r="Y548" s="3">
        <f>N(S548)*IFERROR(VLOOKUP($C548,Assumptions!$A$4:$F$7,3,FALSE),0)*Assumptions!$B$11</f>
        <v/>
      </c>
      <c r="Z548" s="3">
        <f>N(N548)*IFERROR(VLOOKUP($C548,Assumptions!$A$4:$F$7,4,FALSE),0)</f>
        <v/>
      </c>
      <c r="AA548" s="3">
        <f>N(T548)*IFERROR(VLOOKUP($C548,Assumptions!$A$4:$F$7,5,FALSE),0)</f>
        <v/>
      </c>
      <c r="AB548" s="3">
        <f>N(U548)</f>
        <v/>
      </c>
      <c r="AC548" s="3">
        <f>SUM(W548:AB548)</f>
        <v/>
      </c>
      <c r="AD548" s="3">
        <f>N(AC548)*N(M548)/90</f>
        <v/>
      </c>
      <c r="AE548" s="3">
        <f>IFERROR(AD548-VLOOKUP($C548,Assumptions!$A$29:$C$32,3,FALSE),"")</f>
        <v/>
      </c>
      <c r="AF548" s="3">
        <f>IFERROR(AE548/F548,"")</f>
        <v/>
      </c>
      <c r="AG548">
        <f>IF(AND($E548=TRUE,$C548="GKP"),AD548,"")</f>
        <v/>
      </c>
      <c r="AH548">
        <f>IF(AND($E548=TRUE,$C548="DEF"),AD548,"")</f>
        <v/>
      </c>
      <c r="AI548">
        <f>IF(AND($E548=TRUE,$C548="MID"),AD548,"")</f>
        <v/>
      </c>
      <c r="AJ548">
        <f>IF(AND($E548=TRUE,$C548="FWD"),AD548,"")</f>
        <v/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b">
        <v>1</v>
      </c>
      <c r="F549" s="2" t="n">
        <v>5</v>
      </c>
      <c r="G549" t="inlineStr">
        <is>
          <t>a</t>
        </is>
      </c>
      <c r="I549" s="2" t="n"/>
      <c r="K549" s="3" t="n">
        <v>448</v>
      </c>
      <c r="L549" t="inlineStr">
        <is>
          <t>flat</t>
        </is>
      </c>
      <c r="M549" s="4" t="n"/>
      <c r="N549" s="4" t="n"/>
      <c r="O549" s="3" t="n"/>
      <c r="P549" t="inlineStr"/>
      <c r="Q549" s="3" t="n"/>
      <c r="R549" s="3" t="n"/>
      <c r="S549" s="3" t="n"/>
      <c r="T549" s="3" t="n"/>
      <c r="U549" s="3" t="n"/>
      <c r="V549" s="3" t="n"/>
      <c r="W549" s="3">
        <f>IF(V549="",IFERROR(VLOOKUP($C549,Assumptions!$A$4:$F$7,6,FALSE),0),V549)</f>
        <v/>
      </c>
      <c r="X549" s="3">
        <f>N(O549)*IFERROR(VLOOKUP($C549,Assumptions!$A$4:$F$7,2,FALSE),0)</f>
        <v/>
      </c>
      <c r="Y549" s="3">
        <f>N(S549)*IFERROR(VLOOKUP($C549,Assumptions!$A$4:$F$7,3,FALSE),0)*Assumptions!$B$11</f>
        <v/>
      </c>
      <c r="Z549" s="3">
        <f>N(N549)*IFERROR(VLOOKUP($C549,Assumptions!$A$4:$F$7,4,FALSE),0)</f>
        <v/>
      </c>
      <c r="AA549" s="3">
        <f>N(T549)*IFERROR(VLOOKUP($C549,Assumptions!$A$4:$F$7,5,FALSE),0)</f>
        <v/>
      </c>
      <c r="AB549" s="3">
        <f>N(U549)</f>
        <v/>
      </c>
      <c r="AC549" s="3">
        <f>SUM(W549:AB549)</f>
        <v/>
      </c>
      <c r="AD549" s="3">
        <f>N(AC549)*N(M549)/90</f>
        <v/>
      </c>
      <c r="AE549" s="3">
        <f>IFERROR(AD549-VLOOKUP($C549,Assumptions!$A$29:$C$32,3,FALSE),"")</f>
        <v/>
      </c>
      <c r="AF549" s="3">
        <f>IFERROR(AE549/F549,"")</f>
        <v/>
      </c>
      <c r="AG549">
        <f>IF(AND($E549=TRUE,$C549="GKP"),AD549,"")</f>
        <v/>
      </c>
      <c r="AH549">
        <f>IF(AND($E549=TRUE,$C549="DEF"),AD549,"")</f>
        <v/>
      </c>
      <c r="AI549">
        <f>IF(AND($E549=TRUE,$C549="MID"),AD549,"")</f>
        <v/>
      </c>
      <c r="AJ549">
        <f>IF(AND($E549=TRUE,$C549="FWD"),AD549,"")</f>
        <v/>
      </c>
    </row>
    <row r="550">
      <c r="A550" t="inlineStr">
        <is>
          <t>Tyrell Malacia</t>
        </is>
      </c>
      <c r="D550" t="inlineStr">
        <is>
          <t>DEF</t>
        </is>
      </c>
      <c r="E550" t="b">
        <v>0</v>
      </c>
      <c r="F550" s="2" t="n"/>
      <c r="I550" s="2" t="n">
        <v>15</v>
      </c>
      <c r="K550" s="3" t="n"/>
      <c r="M550" s="4" t="n">
        <v>15</v>
      </c>
      <c r="N550" s="4" t="n"/>
      <c r="O550" s="3" t="n">
        <v>0</v>
      </c>
      <c r="P550" t="inlineStr">
        <is>
          <t>adjusted xGOT</t>
        </is>
      </c>
      <c r="Q550" s="3" t="n">
        <v>0.984</v>
      </c>
      <c r="R550" s="3" t="n">
        <v>0.2</v>
      </c>
      <c r="S550" s="3" t="n"/>
      <c r="T550" s="3" t="n"/>
      <c r="U550" s="3" t="n">
        <v>0</v>
      </c>
      <c r="V550" s="3" t="n">
        <v>18</v>
      </c>
      <c r="W550" s="3">
        <f>IF(V550="",IFERROR(VLOOKUP($C550,Assumptions!$A$4:$F$7,6,FALSE),0),V550)</f>
        <v/>
      </c>
      <c r="X550" s="3">
        <f>N(O550)*IFERROR(VLOOKUP($C550,Assumptions!$A$4:$F$7,2,FALSE),0)</f>
        <v/>
      </c>
      <c r="Y550" s="3">
        <f>N(S550)*IFERROR(VLOOKUP($C550,Assumptions!$A$4:$F$7,3,FALSE),0)*Assumptions!$B$11</f>
        <v/>
      </c>
      <c r="Z550" s="3">
        <f>N(N550)*IFERROR(VLOOKUP($C550,Assumptions!$A$4:$F$7,4,FALSE),0)</f>
        <v/>
      </c>
      <c r="AA550" s="3">
        <f>N(T550)*IFERROR(VLOOKUP($C550,Assumptions!$A$4:$F$7,5,FALSE),0)</f>
        <v/>
      </c>
      <c r="AB550" s="3">
        <f>N(U550)</f>
        <v/>
      </c>
      <c r="AC550" s="3">
        <f>SUM(W550:AB550)</f>
        <v/>
      </c>
      <c r="AD550" s="3">
        <f>N(AC550)*N(M550)/90</f>
        <v/>
      </c>
      <c r="AE550" s="3">
        <f>IFERROR(AD550-VLOOKUP($C550,Assumptions!$A$29:$C$32,3,FALSE),"")</f>
        <v/>
      </c>
      <c r="AF550" s="3">
        <f>IFERROR(AE550/F550,"")</f>
        <v/>
      </c>
      <c r="AG550">
        <f>IF(AND($E550=TRUE,$C550="GKP"),AD550,"")</f>
        <v/>
      </c>
      <c r="AH550">
        <f>IF(AND($E550=TRUE,$C550="DEF"),AD550,"")</f>
        <v/>
      </c>
      <c r="AI550">
        <f>IF(AND($E550=TRUE,$C550="MID"),AD550,"")</f>
        <v/>
      </c>
      <c r="AJ550">
        <f>IF(AND($E550=TRUE,$C550="FWD"),AD550,"")</f>
        <v/>
      </c>
    </row>
    <row r="551">
      <c r="A551" t="inlineStr">
        <is>
          <t>Dan Neil</t>
        </is>
      </c>
      <c r="D551" t="inlineStr">
        <is>
          <t>MID</t>
        </is>
      </c>
      <c r="E551" t="b">
        <v>0</v>
      </c>
      <c r="F551" s="2" t="n"/>
      <c r="I551" s="2" t="n">
        <v>13</v>
      </c>
      <c r="K551" s="3" t="n"/>
      <c r="M551" s="4" t="n">
        <v>13</v>
      </c>
      <c r="N551" s="4" t="n"/>
      <c r="O551" s="3" t="n">
        <v>0</v>
      </c>
      <c r="P551" t="inlineStr">
        <is>
          <t>blended xG</t>
        </is>
      </c>
      <c r="Q551" s="3" t="n">
        <v>1</v>
      </c>
      <c r="R551" s="3" t="n">
        <v>0</v>
      </c>
      <c r="S551" s="3" t="n">
        <v>0</v>
      </c>
      <c r="T551" s="3" t="n"/>
      <c r="U551" s="3" t="n">
        <v>0</v>
      </c>
      <c r="V551" s="3" t="n">
        <v>20.769</v>
      </c>
      <c r="W551" s="3">
        <f>IF(V551="",IFERROR(VLOOKUP($C551,Assumptions!$A$4:$F$7,6,FALSE),0),V551)</f>
        <v/>
      </c>
      <c r="X551" s="3">
        <f>N(O551)*IFERROR(VLOOKUP($C551,Assumptions!$A$4:$F$7,2,FALSE),0)</f>
        <v/>
      </c>
      <c r="Y551" s="3">
        <f>N(S551)*IFERROR(VLOOKUP($C551,Assumptions!$A$4:$F$7,3,FALSE),0)*Assumptions!$B$11</f>
        <v/>
      </c>
      <c r="Z551" s="3">
        <f>N(N551)*IFERROR(VLOOKUP($C551,Assumptions!$A$4:$F$7,4,FALSE),0)</f>
        <v/>
      </c>
      <c r="AA551" s="3">
        <f>N(T551)*IFERROR(VLOOKUP($C551,Assumptions!$A$4:$F$7,5,FALSE),0)</f>
        <v/>
      </c>
      <c r="AB551" s="3">
        <f>N(U551)</f>
        <v/>
      </c>
      <c r="AC551" s="3">
        <f>SUM(W551:AB551)</f>
        <v/>
      </c>
      <c r="AD551" s="3">
        <f>N(AC551)*N(M551)/90</f>
        <v/>
      </c>
      <c r="AE551" s="3">
        <f>IFERROR(AD551-VLOOKUP($C551,Assumptions!$A$29:$C$32,3,FALSE),"")</f>
        <v/>
      </c>
      <c r="AF551" s="3">
        <f>IFERROR(AE551/F551,"")</f>
        <v/>
      </c>
      <c r="AG551">
        <f>IF(AND($E551=TRUE,$C551="GKP"),AD551,"")</f>
        <v/>
      </c>
      <c r="AH551">
        <f>IF(AND($E551=TRUE,$C551="DEF"),AD551,"")</f>
        <v/>
      </c>
      <c r="AI551">
        <f>IF(AND($E551=TRUE,$C551="MID"),AD551,"")</f>
        <v/>
      </c>
      <c r="AJ551">
        <f>IF(AND($E551=TRUE,$C551="FWD"),AD551,"")</f>
        <v/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b">
        <v>1</v>
      </c>
      <c r="F552" s="2" t="n">
        <v>4.5</v>
      </c>
      <c r="G552" t="inlineStr">
        <is>
          <t>a</t>
        </is>
      </c>
      <c r="I552" s="2" t="n"/>
      <c r="K552" s="3" t="n">
        <v>2822</v>
      </c>
      <c r="L552" t="inlineStr">
        <is>
          <t>flat</t>
        </is>
      </c>
      <c r="M552" s="4" t="n"/>
      <c r="N552" s="4" t="n">
        <v>0.316</v>
      </c>
      <c r="O552" s="3" t="n"/>
      <c r="P552" t="inlineStr"/>
      <c r="Q552" s="3" t="n"/>
      <c r="R552" s="3" t="n"/>
      <c r="S552" s="3" t="n"/>
      <c r="T552" s="3" t="n"/>
      <c r="U552" s="3" t="n"/>
      <c r="V552" s="3" t="n"/>
      <c r="W552" s="3">
        <f>IF(V552="",IFERROR(VLOOKUP($C552,Assumptions!$A$4:$F$7,6,FALSE),0),V552)</f>
        <v/>
      </c>
      <c r="X552" s="3">
        <f>N(O552)*IFERROR(VLOOKUP($C552,Assumptions!$A$4:$F$7,2,FALSE),0)</f>
        <v/>
      </c>
      <c r="Y552" s="3">
        <f>N(S552)*IFERROR(VLOOKUP($C552,Assumptions!$A$4:$F$7,3,FALSE),0)*Assumptions!$B$11</f>
        <v/>
      </c>
      <c r="Z552" s="3">
        <f>N(N552)*IFERROR(VLOOKUP($C552,Assumptions!$A$4:$F$7,4,FALSE),0)</f>
        <v/>
      </c>
      <c r="AA552" s="3">
        <f>N(T552)*IFERROR(VLOOKUP($C552,Assumptions!$A$4:$F$7,5,FALSE),0)</f>
        <v/>
      </c>
      <c r="AB552" s="3">
        <f>N(U552)</f>
        <v/>
      </c>
      <c r="AC552" s="3">
        <f>SUM(W552:AB552)</f>
        <v/>
      </c>
      <c r="AD552" s="3">
        <f>N(AC552)*N(M552)/90</f>
        <v/>
      </c>
      <c r="AE552" s="3">
        <f>IFERROR(AD552-VLOOKUP($C552,Assumptions!$A$29:$C$32,3,FALSE),"")</f>
        <v/>
      </c>
      <c r="AF552" s="3">
        <f>IFERROR(AE552/F552,"")</f>
        <v/>
      </c>
      <c r="AG552">
        <f>IF(AND($E552=TRUE,$C552="GKP"),AD552,"")</f>
        <v/>
      </c>
      <c r="AH552">
        <f>IF(AND($E552=TRUE,$C552="DEF"),AD552,"")</f>
        <v/>
      </c>
      <c r="AI552">
        <f>IF(AND($E552=TRUE,$C552="MID"),AD552,"")</f>
        <v/>
      </c>
      <c r="AJ552">
        <f>IF(AND($E552=TRUE,$C552="FWD"),AD552,"")</f>
        <v/>
      </c>
    </row>
    <row r="553">
      <c r="A553" t="inlineStr">
        <is>
          <t>Lucas Paquetá</t>
        </is>
      </c>
      <c r="D553" t="inlineStr">
        <is>
          <t>MID</t>
        </is>
      </c>
      <c r="E553" t="b">
        <v>0</v>
      </c>
      <c r="F553" s="2" t="n"/>
      <c r="I553" s="2" t="n">
        <v>1521</v>
      </c>
      <c r="K553" s="3" t="n"/>
      <c r="M553" s="4" t="n">
        <v>1521</v>
      </c>
      <c r="N553" s="4" t="n"/>
      <c r="O553" s="3" t="n">
        <v>0.1471</v>
      </c>
      <c r="P553" t="inlineStr">
        <is>
          <t>adjusted xGOT</t>
        </is>
      </c>
      <c r="Q553" s="3" t="n">
        <v>0.872</v>
      </c>
      <c r="R553" s="3" t="n">
        <v>17.8</v>
      </c>
      <c r="S553" s="3" t="n">
        <v>0.1782</v>
      </c>
      <c r="T553" s="3" t="n">
        <v>0.444</v>
      </c>
      <c r="U553" s="3" t="n">
        <v>0.4734</v>
      </c>
      <c r="V553" s="3" t="n">
        <v>2.13</v>
      </c>
      <c r="W553" s="3">
        <f>IF(V553="",IFERROR(VLOOKUP($C553,Assumptions!$A$4:$F$7,6,FALSE),0),V553)</f>
        <v/>
      </c>
      <c r="X553" s="3">
        <f>N(O553)*IFERROR(VLOOKUP($C553,Assumptions!$A$4:$F$7,2,FALSE),0)</f>
        <v/>
      </c>
      <c r="Y553" s="3">
        <f>N(S553)*IFERROR(VLOOKUP($C553,Assumptions!$A$4:$F$7,3,FALSE),0)*Assumptions!$B$11</f>
        <v/>
      </c>
      <c r="Z553" s="3">
        <f>N(N553)*IFERROR(VLOOKUP($C553,Assumptions!$A$4:$F$7,4,FALSE),0)</f>
        <v/>
      </c>
      <c r="AA553" s="3">
        <f>N(T553)*IFERROR(VLOOKUP($C553,Assumptions!$A$4:$F$7,5,FALSE),0)</f>
        <v/>
      </c>
      <c r="AB553" s="3">
        <f>N(U553)</f>
        <v/>
      </c>
      <c r="AC553" s="3">
        <f>SUM(W553:AB553)</f>
        <v/>
      </c>
      <c r="AD553" s="3">
        <f>N(AC553)*N(M553)/90</f>
        <v/>
      </c>
      <c r="AE553" s="3">
        <f>IFERROR(AD553-VLOOKUP($C553,Assumptions!$A$29:$C$32,3,FALSE),"")</f>
        <v/>
      </c>
      <c r="AF553" s="3">
        <f>IFERROR(AE553/F553,"")</f>
        <v/>
      </c>
      <c r="AG553">
        <f>IF(AND($E553=TRUE,$C553="GKP"),AD553,"")</f>
        <v/>
      </c>
      <c r="AH553">
        <f>IF(AND($E553=TRUE,$C553="DEF"),AD553,"")</f>
        <v/>
      </c>
      <c r="AI553">
        <f>IF(AND($E553=TRUE,$C553="MID"),AD553,"")</f>
        <v/>
      </c>
      <c r="AJ553">
        <f>IF(AND($E553=TRUE,$C553="FWD"),AD553,"")</f>
        <v/>
      </c>
    </row>
    <row r="554">
      <c r="A554" t="inlineStr">
        <is>
          <t>Aaron Ramsdale</t>
        </is>
      </c>
      <c r="D554" t="inlineStr">
        <is>
          <t>GKP</t>
        </is>
      </c>
      <c r="E554" t="b">
        <v>0</v>
      </c>
      <c r="F554" s="2" t="n"/>
      <c r="I554" s="2" t="n">
        <v>1003</v>
      </c>
      <c r="K554" s="3" t="n"/>
      <c r="M554" s="4" t="n">
        <v>1003</v>
      </c>
      <c r="N554" s="4" t="n"/>
      <c r="O554" s="3" t="n">
        <v>0</v>
      </c>
      <c r="P554" t="inlineStr">
        <is>
          <t>blended xG</t>
        </is>
      </c>
      <c r="Q554" s="3" t="n">
        <v>1</v>
      </c>
      <c r="R554" s="3" t="n">
        <v>0</v>
      </c>
      <c r="S554" s="3" t="n">
        <v>0.0064</v>
      </c>
      <c r="T554" s="3" t="n">
        <v>0</v>
      </c>
      <c r="U554" s="3" t="n">
        <v>0.0897</v>
      </c>
      <c r="V554" s="3" t="n">
        <v>2.064</v>
      </c>
      <c r="W554" s="3">
        <f>IF(V554="",IFERROR(VLOOKUP($C554,Assumptions!$A$4:$F$7,6,FALSE),0),V554)</f>
        <v/>
      </c>
      <c r="X554" s="3">
        <f>N(O554)*IFERROR(VLOOKUP($C554,Assumptions!$A$4:$F$7,2,FALSE),0)</f>
        <v/>
      </c>
      <c r="Y554" s="3">
        <f>N(S554)*IFERROR(VLOOKUP($C554,Assumptions!$A$4:$F$7,3,FALSE),0)*Assumptions!$B$11</f>
        <v/>
      </c>
      <c r="Z554" s="3">
        <f>N(N554)*IFERROR(VLOOKUP($C554,Assumptions!$A$4:$F$7,4,FALSE),0)</f>
        <v/>
      </c>
      <c r="AA554" s="3">
        <f>N(T554)*IFERROR(VLOOKUP($C554,Assumptions!$A$4:$F$7,5,FALSE),0)</f>
        <v/>
      </c>
      <c r="AB554" s="3">
        <f>N(U554)</f>
        <v/>
      </c>
      <c r="AC554" s="3">
        <f>SUM(W554:AB554)</f>
        <v/>
      </c>
      <c r="AD554" s="3">
        <f>N(AC554)*N(M554)/90</f>
        <v/>
      </c>
      <c r="AE554" s="3">
        <f>IFERROR(AD554-VLOOKUP($C554,Assumptions!$A$29:$C$32,3,FALSE),"")</f>
        <v/>
      </c>
      <c r="AF554" s="3">
        <f>IFERROR(AE554/F554,"")</f>
        <v/>
      </c>
      <c r="AG554">
        <f>IF(AND($E554=TRUE,$C554="GKP"),AD554,"")</f>
        <v/>
      </c>
      <c r="AH554">
        <f>IF(AND($E554=TRUE,$C554="DEF"),AD554,"")</f>
        <v/>
      </c>
      <c r="AI554">
        <f>IF(AND($E554=TRUE,$C554="MID"),AD554,"")</f>
        <v/>
      </c>
      <c r="AJ554">
        <f>IF(AND($E554=TRUE,$C554="FWD"),AD554,"")</f>
        <v/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b">
        <v>1</v>
      </c>
      <c r="F555" s="2" t="n">
        <v>5.5</v>
      </c>
      <c r="G555" t="inlineStr">
        <is>
          <t>a</t>
        </is>
      </c>
      <c r="I555" s="2" t="n"/>
      <c r="K555" s="3" t="n">
        <v>724</v>
      </c>
      <c r="L555" t="inlineStr">
        <is>
          <t>flat</t>
        </is>
      </c>
      <c r="M555" s="4" t="n"/>
      <c r="N555" s="4" t="n"/>
      <c r="O555" s="3" t="n"/>
      <c r="P555" t="inlineStr"/>
      <c r="Q555" s="3" t="n"/>
      <c r="R555" s="3" t="n"/>
      <c r="S555" s="3" t="n"/>
      <c r="T555" s="3" t="n"/>
      <c r="U555" s="3" t="n"/>
      <c r="V555" s="3" t="n"/>
      <c r="W555" s="3">
        <f>IF(V555="",IFERROR(VLOOKUP($C555,Assumptions!$A$4:$F$7,6,FALSE),0),V555)</f>
        <v/>
      </c>
      <c r="X555" s="3">
        <f>N(O555)*IFERROR(VLOOKUP($C555,Assumptions!$A$4:$F$7,2,FALSE),0)</f>
        <v/>
      </c>
      <c r="Y555" s="3">
        <f>N(S555)*IFERROR(VLOOKUP($C555,Assumptions!$A$4:$F$7,3,FALSE),0)*Assumptions!$B$11</f>
        <v/>
      </c>
      <c r="Z555" s="3">
        <f>N(N555)*IFERROR(VLOOKUP($C555,Assumptions!$A$4:$F$7,4,FALSE),0)</f>
        <v/>
      </c>
      <c r="AA555" s="3">
        <f>N(T555)*IFERROR(VLOOKUP($C555,Assumptions!$A$4:$F$7,5,FALSE),0)</f>
        <v/>
      </c>
      <c r="AB555" s="3">
        <f>N(U555)</f>
        <v/>
      </c>
      <c r="AC555" s="3">
        <f>SUM(W555:AB555)</f>
        <v/>
      </c>
      <c r="AD555" s="3">
        <f>N(AC555)*N(M555)/90</f>
        <v/>
      </c>
      <c r="AE555" s="3">
        <f>IFERROR(AD555-VLOOKUP($C555,Assumptions!$A$29:$C$32,3,FALSE),"")</f>
        <v/>
      </c>
      <c r="AF555" s="3">
        <f>IFERROR(AE555/F555,"")</f>
        <v/>
      </c>
      <c r="AG555">
        <f>IF(AND($E555=TRUE,$C555="GKP"),AD555,"")</f>
        <v/>
      </c>
      <c r="AH555">
        <f>IF(AND($E555=TRUE,$C555="DEF"),AD555,"")</f>
        <v/>
      </c>
      <c r="AI555">
        <f>IF(AND($E555=TRUE,$C555="MID"),AD555,"")</f>
        <v/>
      </c>
      <c r="AJ555">
        <f>IF(AND($E555=TRUE,$C555="FWD"),AD555,"")</f>
        <v/>
      </c>
    </row>
    <row r="556">
      <c r="A556" t="inlineStr">
        <is>
          <t>Yves Bissouma</t>
        </is>
      </c>
      <c r="D556" t="inlineStr">
        <is>
          <t>MID</t>
        </is>
      </c>
      <c r="E556" t="b">
        <v>0</v>
      </c>
      <c r="F556" s="2" t="n"/>
      <c r="I556" s="2" t="n">
        <v>605</v>
      </c>
      <c r="K556" s="3" t="n"/>
      <c r="M556" s="4" t="n">
        <v>605</v>
      </c>
      <c r="N556" s="4" t="n"/>
      <c r="O556" s="3" t="n">
        <v>0.0533</v>
      </c>
      <c r="P556" t="inlineStr">
        <is>
          <t>adjusted xGOT</t>
        </is>
      </c>
      <c r="Q556" s="3" t="n">
        <v>0.995</v>
      </c>
      <c r="R556" s="3" t="n">
        <v>2.3</v>
      </c>
      <c r="S556" s="3" t="n">
        <v>0</v>
      </c>
      <c r="T556" s="3" t="n">
        <v>0.286</v>
      </c>
      <c r="U556" s="3" t="n">
        <v>0</v>
      </c>
      <c r="V556" s="3" t="n">
        <v>2.38</v>
      </c>
      <c r="W556" s="3">
        <f>IF(V556="",IFERROR(VLOOKUP($C556,Assumptions!$A$4:$F$7,6,FALSE),0),V556)</f>
        <v/>
      </c>
      <c r="X556" s="3">
        <f>N(O556)*IFERROR(VLOOKUP($C556,Assumptions!$A$4:$F$7,2,FALSE),0)</f>
        <v/>
      </c>
      <c r="Y556" s="3">
        <f>N(S556)*IFERROR(VLOOKUP($C556,Assumptions!$A$4:$F$7,3,FALSE),0)*Assumptions!$B$11</f>
        <v/>
      </c>
      <c r="Z556" s="3">
        <f>N(N556)*IFERROR(VLOOKUP($C556,Assumptions!$A$4:$F$7,4,FALSE),0)</f>
        <v/>
      </c>
      <c r="AA556" s="3">
        <f>N(T556)*IFERROR(VLOOKUP($C556,Assumptions!$A$4:$F$7,5,FALSE),0)</f>
        <v/>
      </c>
      <c r="AB556" s="3">
        <f>N(U556)</f>
        <v/>
      </c>
      <c r="AC556" s="3">
        <f>SUM(W556:AB556)</f>
        <v/>
      </c>
      <c r="AD556" s="3">
        <f>N(AC556)*N(M556)/90</f>
        <v/>
      </c>
      <c r="AE556" s="3">
        <f>IFERROR(AD556-VLOOKUP($C556,Assumptions!$A$29:$C$32,3,FALSE),"")</f>
        <v/>
      </c>
      <c r="AF556" s="3">
        <f>IFERROR(AE556/F556,"")</f>
        <v/>
      </c>
      <c r="AG556">
        <f>IF(AND($E556=TRUE,$C556="GKP"),AD556,"")</f>
        <v/>
      </c>
      <c r="AH556">
        <f>IF(AND($E556=TRUE,$C556="DEF"),AD556,"")</f>
        <v/>
      </c>
      <c r="AI556">
        <f>IF(AND($E556=TRUE,$C556="MID"),AD556,"")</f>
        <v/>
      </c>
      <c r="AJ556">
        <f>IF(AND($E556=TRUE,$C556="FWD"),AD556,"")</f>
        <v/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b">
        <v>1</v>
      </c>
      <c r="F557" s="2" t="n">
        <v>5</v>
      </c>
      <c r="G557" t="inlineStr">
        <is>
          <t>a</t>
        </is>
      </c>
      <c r="I557" s="2" t="n"/>
      <c r="K557" s="3" t="n">
        <v>0</v>
      </c>
      <c r="L557" t="inlineStr">
        <is>
          <t>flat</t>
        </is>
      </c>
      <c r="M557" s="4" t="n"/>
      <c r="N557" s="4" t="n"/>
      <c r="O557" s="3" t="n"/>
      <c r="P557" t="inlineStr"/>
      <c r="Q557" s="3" t="n"/>
      <c r="R557" s="3" t="n"/>
      <c r="S557" s="3" t="n"/>
      <c r="T557" s="3" t="n"/>
      <c r="U557" s="3" t="n"/>
      <c r="V557" s="3" t="n"/>
      <c r="W557" s="3">
        <f>IF(V557="",IFERROR(VLOOKUP($C557,Assumptions!$A$4:$F$7,6,FALSE),0),V557)</f>
        <v/>
      </c>
      <c r="X557" s="3">
        <f>N(O557)*IFERROR(VLOOKUP($C557,Assumptions!$A$4:$F$7,2,FALSE),0)</f>
        <v/>
      </c>
      <c r="Y557" s="3">
        <f>N(S557)*IFERROR(VLOOKUP($C557,Assumptions!$A$4:$F$7,3,FALSE),0)*Assumptions!$B$11</f>
        <v/>
      </c>
      <c r="Z557" s="3">
        <f>N(N557)*IFERROR(VLOOKUP($C557,Assumptions!$A$4:$F$7,4,FALSE),0)</f>
        <v/>
      </c>
      <c r="AA557" s="3">
        <f>N(T557)*IFERROR(VLOOKUP($C557,Assumptions!$A$4:$F$7,5,FALSE),0)</f>
        <v/>
      </c>
      <c r="AB557" s="3">
        <f>N(U557)</f>
        <v/>
      </c>
      <c r="AC557" s="3">
        <f>SUM(W557:AB557)</f>
        <v/>
      </c>
      <c r="AD557" s="3">
        <f>N(AC557)*N(M557)/90</f>
        <v/>
      </c>
      <c r="AE557" s="3">
        <f>IFERROR(AD557-VLOOKUP($C557,Assumptions!$A$29:$C$32,3,FALSE),"")</f>
        <v/>
      </c>
      <c r="AF557" s="3">
        <f>IFERROR(AE557/F557,"")</f>
        <v/>
      </c>
      <c r="AG557">
        <f>IF(AND($E557=TRUE,$C557="GKP"),AD557,"")</f>
        <v/>
      </c>
      <c r="AH557">
        <f>IF(AND($E557=TRUE,$C557="DEF"),AD557,"")</f>
        <v/>
      </c>
      <c r="AI557">
        <f>IF(AND($E557=TRUE,$C557="MID"),AD557,"")</f>
        <v/>
      </c>
      <c r="AJ557">
        <f>IF(AND($E557=TRUE,$C557="FWD"),AD557,"")</f>
        <v/>
      </c>
    </row>
    <row r="558">
      <c r="A558" t="inlineStr">
        <is>
          <t>Andy Irving</t>
        </is>
      </c>
      <c r="D558" t="inlineStr">
        <is>
          <t>MID</t>
        </is>
      </c>
      <c r="E558" t="b">
        <v>0</v>
      </c>
      <c r="F558" s="2" t="n"/>
      <c r="I558" s="2" t="n">
        <v>157</v>
      </c>
      <c r="K558" s="3" t="n"/>
      <c r="M558" s="4" t="n">
        <v>157</v>
      </c>
      <c r="N558" s="4" t="n"/>
      <c r="O558" s="3" t="n">
        <v>0</v>
      </c>
      <c r="P558" t="inlineStr">
        <is>
          <t>adjusted xGOT</t>
        </is>
      </c>
      <c r="Q558" s="3" t="n">
        <v>0.996</v>
      </c>
      <c r="R558" s="3" t="n">
        <v>0.1</v>
      </c>
      <c r="S558" s="3" t="n">
        <v>0.1159</v>
      </c>
      <c r="T558" s="3" t="n">
        <v>0</v>
      </c>
      <c r="U558" s="3" t="n">
        <v>0</v>
      </c>
      <c r="V558" s="3" t="n">
        <v>5.159</v>
      </c>
      <c r="W558" s="3">
        <f>IF(V558="",IFERROR(VLOOKUP($C558,Assumptions!$A$4:$F$7,6,FALSE),0),V558)</f>
        <v/>
      </c>
      <c r="X558" s="3">
        <f>N(O558)*IFERROR(VLOOKUP($C558,Assumptions!$A$4:$F$7,2,FALSE),0)</f>
        <v/>
      </c>
      <c r="Y558" s="3">
        <f>N(S558)*IFERROR(VLOOKUP($C558,Assumptions!$A$4:$F$7,3,FALSE),0)*Assumptions!$B$11</f>
        <v/>
      </c>
      <c r="Z558" s="3">
        <f>N(N558)*IFERROR(VLOOKUP($C558,Assumptions!$A$4:$F$7,4,FALSE),0)</f>
        <v/>
      </c>
      <c r="AA558" s="3">
        <f>N(T558)*IFERROR(VLOOKUP($C558,Assumptions!$A$4:$F$7,5,FALSE),0)</f>
        <v/>
      </c>
      <c r="AB558" s="3">
        <f>N(U558)</f>
        <v/>
      </c>
      <c r="AC558" s="3">
        <f>SUM(W558:AB558)</f>
        <v/>
      </c>
      <c r="AD558" s="3">
        <f>N(AC558)*N(M558)/90</f>
        <v/>
      </c>
      <c r="AE558" s="3">
        <f>IFERROR(AD558-VLOOKUP($C558,Assumptions!$A$29:$C$32,3,FALSE),"")</f>
        <v/>
      </c>
      <c r="AF558" s="3">
        <f>IFERROR(AE558/F558,"")</f>
        <v/>
      </c>
      <c r="AG558">
        <f>IF(AND($E558=TRUE,$C558="GKP"),AD558,"")</f>
        <v/>
      </c>
      <c r="AH558">
        <f>IF(AND($E558=TRUE,$C558="DEF"),AD558,"")</f>
        <v/>
      </c>
      <c r="AI558">
        <f>IF(AND($E558=TRUE,$C558="MID"),AD558,"")</f>
        <v/>
      </c>
      <c r="AJ558">
        <f>IF(AND($E558=TRUE,$C558="FWD"),AD558,"")</f>
        <v/>
      </c>
    </row>
    <row r="559">
      <c r="A559" t="inlineStr">
        <is>
          <t>Douglas Luiz</t>
        </is>
      </c>
      <c r="D559" t="inlineStr">
        <is>
          <t>MID</t>
        </is>
      </c>
      <c r="E559" t="b">
        <v>0</v>
      </c>
      <c r="F559" s="2" t="n"/>
      <c r="I559" s="2" t="n">
        <v>923</v>
      </c>
      <c r="K559" s="3" t="n"/>
      <c r="M559" s="4" t="n">
        <v>923</v>
      </c>
      <c r="N559" s="4" t="n"/>
      <c r="O559" s="3" t="n">
        <v>0.0626</v>
      </c>
      <c r="P559" t="inlineStr">
        <is>
          <t>adjusted xGOT</t>
        </is>
      </c>
      <c r="Q559" s="3" t="n">
        <v>1.21</v>
      </c>
      <c r="R559" s="3" t="n">
        <v>10</v>
      </c>
      <c r="S559" s="3" t="n">
        <v>0.1778</v>
      </c>
      <c r="T559" s="3" t="n">
        <v>0.417</v>
      </c>
      <c r="U559" s="3" t="n">
        <v>0.0975</v>
      </c>
      <c r="V559" s="3" t="n">
        <v>2.828</v>
      </c>
      <c r="W559" s="3">
        <f>IF(V559="",IFERROR(VLOOKUP($C559,Assumptions!$A$4:$F$7,6,FALSE),0),V559)</f>
        <v/>
      </c>
      <c r="X559" s="3">
        <f>N(O559)*IFERROR(VLOOKUP($C559,Assumptions!$A$4:$F$7,2,FALSE),0)</f>
        <v/>
      </c>
      <c r="Y559" s="3">
        <f>N(S559)*IFERROR(VLOOKUP($C559,Assumptions!$A$4:$F$7,3,FALSE),0)*Assumptions!$B$11</f>
        <v/>
      </c>
      <c r="Z559" s="3">
        <f>N(N559)*IFERROR(VLOOKUP($C559,Assumptions!$A$4:$F$7,4,FALSE),0)</f>
        <v/>
      </c>
      <c r="AA559" s="3">
        <f>N(T559)*IFERROR(VLOOKUP($C559,Assumptions!$A$4:$F$7,5,FALSE),0)</f>
        <v/>
      </c>
      <c r="AB559" s="3">
        <f>N(U559)</f>
        <v/>
      </c>
      <c r="AC559" s="3">
        <f>SUM(W559:AB559)</f>
        <v/>
      </c>
      <c r="AD559" s="3">
        <f>N(AC559)*N(M559)/90</f>
        <v/>
      </c>
      <c r="AE559" s="3">
        <f>IFERROR(AD559-VLOOKUP($C559,Assumptions!$A$29:$C$32,3,FALSE),"")</f>
        <v/>
      </c>
      <c r="AF559" s="3">
        <f>IFERROR(AE559/F559,"")</f>
        <v/>
      </c>
      <c r="AG559">
        <f>IF(AND($E559=TRUE,$C559="GKP"),AD559,"")</f>
        <v/>
      </c>
      <c r="AH559">
        <f>IF(AND($E559=TRUE,$C559="DEF"),AD559,"")</f>
        <v/>
      </c>
      <c r="AI559">
        <f>IF(AND($E559=TRUE,$C559="MID"),AD559,"")</f>
        <v/>
      </c>
      <c r="AJ559">
        <f>IF(AND($E559=TRUE,$C559="FWD"),AD559,"")</f>
        <v/>
      </c>
    </row>
    <row r="560">
      <c r="A560" t="inlineStr">
        <is>
          <t>Jhon Arias</t>
        </is>
      </c>
      <c r="D560" t="inlineStr">
        <is>
          <t>MID</t>
        </is>
      </c>
      <c r="E560" t="b">
        <v>0</v>
      </c>
      <c r="F560" s="2" t="n"/>
      <c r="I560" s="2" t="n">
        <v>1121</v>
      </c>
      <c r="K560" s="3" t="n"/>
      <c r="M560" s="4" t="n">
        <v>1121</v>
      </c>
      <c r="N560" s="4" t="n"/>
      <c r="O560" s="3" t="n">
        <v>0.2099</v>
      </c>
      <c r="P560" t="inlineStr">
        <is>
          <t>adjusted xGOT</t>
        </is>
      </c>
      <c r="Q560" s="3" t="n">
        <v>0.773</v>
      </c>
      <c r="R560" s="3" t="n">
        <v>3.4</v>
      </c>
      <c r="S560" s="3" t="n">
        <v>0.07199999999999999</v>
      </c>
      <c r="T560" s="3" t="n">
        <v>0.286</v>
      </c>
      <c r="U560" s="3" t="n">
        <v>0.2409</v>
      </c>
      <c r="V560" s="3" t="n">
        <v>2.649</v>
      </c>
      <c r="W560" s="3">
        <f>IF(V560="",IFERROR(VLOOKUP($C560,Assumptions!$A$4:$F$7,6,FALSE),0),V560)</f>
        <v/>
      </c>
      <c r="X560" s="3">
        <f>N(O560)*IFERROR(VLOOKUP($C560,Assumptions!$A$4:$F$7,2,FALSE),0)</f>
        <v/>
      </c>
      <c r="Y560" s="3">
        <f>N(S560)*IFERROR(VLOOKUP($C560,Assumptions!$A$4:$F$7,3,FALSE),0)*Assumptions!$B$11</f>
        <v/>
      </c>
      <c r="Z560" s="3">
        <f>N(N560)*IFERROR(VLOOKUP($C560,Assumptions!$A$4:$F$7,4,FALSE),0)</f>
        <v/>
      </c>
      <c r="AA560" s="3">
        <f>N(T560)*IFERROR(VLOOKUP($C560,Assumptions!$A$4:$F$7,5,FALSE),0)</f>
        <v/>
      </c>
      <c r="AB560" s="3">
        <f>N(U560)</f>
        <v/>
      </c>
      <c r="AC560" s="3">
        <f>SUM(W560:AB560)</f>
        <v/>
      </c>
      <c r="AD560" s="3">
        <f>N(AC560)*N(M560)/90</f>
        <v/>
      </c>
      <c r="AE560" s="3">
        <f>IFERROR(AD560-VLOOKUP($C560,Assumptions!$A$29:$C$32,3,FALSE),"")</f>
        <v/>
      </c>
      <c r="AF560" s="3">
        <f>IFERROR(AE560/F560,"")</f>
        <v/>
      </c>
      <c r="AG560">
        <f>IF(AND($E560=TRUE,$C560="GKP"),AD560,"")</f>
        <v/>
      </c>
      <c r="AH560">
        <f>IF(AND($E560=TRUE,$C560="DEF"),AD560,"")</f>
        <v/>
      </c>
      <c r="AI560">
        <f>IF(AND($E560=TRUE,$C560="MID"),AD560,"")</f>
        <v/>
      </c>
      <c r="AJ560">
        <f>IF(AND($E560=TRUE,$C560="FWD"),AD560,"")</f>
        <v/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b">
        <v>1</v>
      </c>
      <c r="F561" s="2" t="n">
        <v>5</v>
      </c>
      <c r="G561" t="inlineStr">
        <is>
          <t>a</t>
        </is>
      </c>
      <c r="I561" s="2" t="n"/>
      <c r="K561" s="3" t="n">
        <v>1282</v>
      </c>
      <c r="L561" t="inlineStr">
        <is>
          <t>flat</t>
        </is>
      </c>
      <c r="M561" s="4" t="n"/>
      <c r="N561" s="4" t="n"/>
      <c r="O561" s="3" t="n"/>
      <c r="P561" t="inlineStr"/>
      <c r="Q561" s="3" t="n"/>
      <c r="R561" s="3" t="n"/>
      <c r="S561" s="3" t="n"/>
      <c r="T561" s="3" t="n"/>
      <c r="U561" s="3" t="n"/>
      <c r="V561" s="3" t="n"/>
      <c r="W561" s="3">
        <f>IF(V561="",IFERROR(VLOOKUP($C561,Assumptions!$A$4:$F$7,6,FALSE),0),V561)</f>
        <v/>
      </c>
      <c r="X561" s="3">
        <f>N(O561)*IFERROR(VLOOKUP($C561,Assumptions!$A$4:$F$7,2,FALSE),0)</f>
        <v/>
      </c>
      <c r="Y561" s="3">
        <f>N(S561)*IFERROR(VLOOKUP($C561,Assumptions!$A$4:$F$7,3,FALSE),0)*Assumptions!$B$11</f>
        <v/>
      </c>
      <c r="Z561" s="3">
        <f>N(N561)*IFERROR(VLOOKUP($C561,Assumptions!$A$4:$F$7,4,FALSE),0)</f>
        <v/>
      </c>
      <c r="AA561" s="3">
        <f>N(T561)*IFERROR(VLOOKUP($C561,Assumptions!$A$4:$F$7,5,FALSE),0)</f>
        <v/>
      </c>
      <c r="AB561" s="3">
        <f>N(U561)</f>
        <v/>
      </c>
      <c r="AC561" s="3">
        <f>SUM(W561:AB561)</f>
        <v/>
      </c>
      <c r="AD561" s="3">
        <f>N(AC561)*N(M561)/90</f>
        <v/>
      </c>
      <c r="AE561" s="3">
        <f>IFERROR(AD561-VLOOKUP($C561,Assumptions!$A$29:$C$32,3,FALSE),"")</f>
        <v/>
      </c>
      <c r="AF561" s="3">
        <f>IFERROR(AE561/F561,"")</f>
        <v/>
      </c>
      <c r="AG561">
        <f>IF(AND($E561=TRUE,$C561="GKP"),AD561,"")</f>
        <v/>
      </c>
      <c r="AH561">
        <f>IF(AND($E561=TRUE,$C561="DEF"),AD561,"")</f>
        <v/>
      </c>
      <c r="AI561">
        <f>IF(AND($E561=TRUE,$C561="MID"),AD561,"")</f>
        <v/>
      </c>
      <c r="AJ561">
        <f>IF(AND($E561=TRUE,$C561="FWD"),AD561,"")</f>
        <v/>
      </c>
    </row>
    <row r="562">
      <c r="A562" t="inlineStr">
        <is>
          <t>Jean-Ricner Bellegarde</t>
        </is>
      </c>
      <c r="D562" t="inlineStr">
        <is>
          <t>MID</t>
        </is>
      </c>
      <c r="E562" t="b">
        <v>0</v>
      </c>
      <c r="F562" s="2" t="n"/>
      <c r="I562" s="2" t="n">
        <v>1251</v>
      </c>
      <c r="K562" s="3" t="n"/>
      <c r="M562" s="4" t="n">
        <v>1251</v>
      </c>
      <c r="N562" s="4" t="n"/>
      <c r="O562" s="3" t="n">
        <v>0.07580000000000001</v>
      </c>
      <c r="P562" t="inlineStr">
        <is>
          <t>adjusted xGOT</t>
        </is>
      </c>
      <c r="Q562" s="3" t="n">
        <v>1.013</v>
      </c>
      <c r="R562" s="3" t="n">
        <v>3.8</v>
      </c>
      <c r="S562" s="3" t="n">
        <v>0.08749999999999999</v>
      </c>
      <c r="T562" s="3" t="n">
        <v>0</v>
      </c>
      <c r="U562" s="3" t="n">
        <v>0</v>
      </c>
      <c r="V562" s="3" t="n">
        <v>2.734</v>
      </c>
      <c r="W562" s="3">
        <f>IF(V562="",IFERROR(VLOOKUP($C562,Assumptions!$A$4:$F$7,6,FALSE),0),V562)</f>
        <v/>
      </c>
      <c r="X562" s="3">
        <f>N(O562)*IFERROR(VLOOKUP($C562,Assumptions!$A$4:$F$7,2,FALSE),0)</f>
        <v/>
      </c>
      <c r="Y562" s="3">
        <f>N(S562)*IFERROR(VLOOKUP($C562,Assumptions!$A$4:$F$7,3,FALSE),0)*Assumptions!$B$11</f>
        <v/>
      </c>
      <c r="Z562" s="3">
        <f>N(N562)*IFERROR(VLOOKUP($C562,Assumptions!$A$4:$F$7,4,FALSE),0)</f>
        <v/>
      </c>
      <c r="AA562" s="3">
        <f>N(T562)*IFERROR(VLOOKUP($C562,Assumptions!$A$4:$F$7,5,FALSE),0)</f>
        <v/>
      </c>
      <c r="AB562" s="3">
        <f>N(U562)</f>
        <v/>
      </c>
      <c r="AC562" s="3">
        <f>SUM(W562:AB562)</f>
        <v/>
      </c>
      <c r="AD562" s="3">
        <f>N(AC562)*N(M562)/90</f>
        <v/>
      </c>
      <c r="AE562" s="3">
        <f>IFERROR(AD562-VLOOKUP($C562,Assumptions!$A$29:$C$32,3,FALSE),"")</f>
        <v/>
      </c>
      <c r="AF562" s="3">
        <f>IFERROR(AE562/F562,"")</f>
        <v/>
      </c>
      <c r="AG562">
        <f>IF(AND($E562=TRUE,$C562="GKP"),AD562,"")</f>
        <v/>
      </c>
      <c r="AH562">
        <f>IF(AND($E562=TRUE,$C562="DEF"),AD562,"")</f>
        <v/>
      </c>
      <c r="AI562">
        <f>IF(AND($E562=TRUE,$C562="MID"),AD562,"")</f>
        <v/>
      </c>
      <c r="AJ562">
        <f>IF(AND($E562=TRUE,$C562="FWD"),AD562,"")</f>
        <v/>
      </c>
    </row>
    <row r="563">
      <c r="A563" t="inlineStr">
        <is>
          <t>Santiago Bueno</t>
        </is>
      </c>
      <c r="D563" t="inlineStr">
        <is>
          <t>DEF</t>
        </is>
      </c>
      <c r="E563" t="b">
        <v>0</v>
      </c>
      <c r="F563" s="2" t="n"/>
      <c r="I563" s="2" t="n">
        <v>2553</v>
      </c>
      <c r="K563" s="3" t="n"/>
      <c r="M563" s="4" t="n">
        <v>2553</v>
      </c>
      <c r="N563" s="4" t="n"/>
      <c r="O563" s="3" t="n">
        <v>0.0876</v>
      </c>
      <c r="P563" t="inlineStr">
        <is>
          <t>adjusted xGOT</t>
        </is>
      </c>
      <c r="Q563" s="3" t="n">
        <v>1.09</v>
      </c>
      <c r="R563" s="3" t="n">
        <v>2.7</v>
      </c>
      <c r="S563" s="3" t="n">
        <v>0.0318</v>
      </c>
      <c r="T563" s="3" t="n">
        <v>0.179</v>
      </c>
      <c r="U563" s="3" t="n">
        <v>0.141</v>
      </c>
      <c r="V563" s="3" t="n">
        <v>2.009</v>
      </c>
      <c r="W563" s="3">
        <f>IF(V563="",IFERROR(VLOOKUP($C563,Assumptions!$A$4:$F$7,6,FALSE),0),V563)</f>
        <v/>
      </c>
      <c r="X563" s="3">
        <f>N(O563)*IFERROR(VLOOKUP($C563,Assumptions!$A$4:$F$7,2,FALSE),0)</f>
        <v/>
      </c>
      <c r="Y563" s="3">
        <f>N(S563)*IFERROR(VLOOKUP($C563,Assumptions!$A$4:$F$7,3,FALSE),0)*Assumptions!$B$11</f>
        <v/>
      </c>
      <c r="Z563" s="3">
        <f>N(N563)*IFERROR(VLOOKUP($C563,Assumptions!$A$4:$F$7,4,FALSE),0)</f>
        <v/>
      </c>
      <c r="AA563" s="3">
        <f>N(T563)*IFERROR(VLOOKUP($C563,Assumptions!$A$4:$F$7,5,FALSE),0)</f>
        <v/>
      </c>
      <c r="AB563" s="3">
        <f>N(U563)</f>
        <v/>
      </c>
      <c r="AC563" s="3">
        <f>SUM(W563:AB563)</f>
        <v/>
      </c>
      <c r="AD563" s="3">
        <f>N(AC563)*N(M563)/90</f>
        <v/>
      </c>
      <c r="AE563" s="3">
        <f>IFERROR(AD563-VLOOKUP($C563,Assumptions!$A$29:$C$32,3,FALSE),"")</f>
        <v/>
      </c>
      <c r="AF563" s="3">
        <f>IFERROR(AE563/F563,"")</f>
        <v/>
      </c>
      <c r="AG563">
        <f>IF(AND($E563=TRUE,$C563="GKP"),AD563,"")</f>
        <v/>
      </c>
      <c r="AH563">
        <f>IF(AND($E563=TRUE,$C563="DEF"),AD563,"")</f>
        <v/>
      </c>
      <c r="AI563">
        <f>IF(AND($E563=TRUE,$C563="MID"),AD563,"")</f>
        <v/>
      </c>
      <c r="AJ563">
        <f>IF(AND($E563=TRUE,$C563="FWD"),AD563,"")</f>
        <v/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b">
        <v>1</v>
      </c>
      <c r="F564" s="2" t="n">
        <v>4.5</v>
      </c>
      <c r="G564" t="inlineStr">
        <is>
          <t>i</t>
        </is>
      </c>
      <c r="H564" t="inlineStr">
        <is>
          <t>Knee injury - Unknown return date</t>
        </is>
      </c>
      <c r="I564" s="2" t="n"/>
      <c r="K564" s="3" t="n">
        <v>1317</v>
      </c>
      <c r="L564" t="inlineStr">
        <is>
          <t>flat</t>
        </is>
      </c>
      <c r="M564" s="4" t="n"/>
      <c r="N564" s="4" t="n"/>
      <c r="O564" s="3" t="n"/>
      <c r="P564" t="inlineStr"/>
      <c r="Q564" s="3" t="n"/>
      <c r="R564" s="3" t="n"/>
      <c r="S564" s="3" t="n"/>
      <c r="T564" s="3" t="n"/>
      <c r="U564" s="3" t="n"/>
      <c r="V564" s="3" t="n"/>
      <c r="W564" s="3">
        <f>IF(V564="",IFERROR(VLOOKUP($C564,Assumptions!$A$4:$F$7,6,FALSE),0),V564)</f>
        <v/>
      </c>
      <c r="X564" s="3">
        <f>N(O564)*IFERROR(VLOOKUP($C564,Assumptions!$A$4:$F$7,2,FALSE),0)</f>
        <v/>
      </c>
      <c r="Y564" s="3">
        <f>N(S564)*IFERROR(VLOOKUP($C564,Assumptions!$A$4:$F$7,3,FALSE),0)*Assumptions!$B$11</f>
        <v/>
      </c>
      <c r="Z564" s="3">
        <f>N(N564)*IFERROR(VLOOKUP($C564,Assumptions!$A$4:$F$7,4,FALSE),0)</f>
        <v/>
      </c>
      <c r="AA564" s="3">
        <f>N(T564)*IFERROR(VLOOKUP($C564,Assumptions!$A$4:$F$7,5,FALSE),0)</f>
        <v/>
      </c>
      <c r="AB564" s="3">
        <f>N(U564)</f>
        <v/>
      </c>
      <c r="AC564" s="3">
        <f>SUM(W564:AB564)</f>
        <v/>
      </c>
      <c r="AD564" s="3">
        <f>N(AC564)*N(M564)/90</f>
        <v/>
      </c>
      <c r="AE564" s="3">
        <f>IFERROR(AD564-VLOOKUP($C564,Assumptions!$A$29:$C$32,3,FALSE),"")</f>
        <v/>
      </c>
      <c r="AF564" s="3">
        <f>IFERROR(AE564/F564,"")</f>
        <v/>
      </c>
      <c r="AG564">
        <f>IF(AND($E564=TRUE,$C564="GKP"),AD564,"")</f>
        <v/>
      </c>
      <c r="AH564">
        <f>IF(AND($E564=TRUE,$C564="DEF"),AD564,"")</f>
        <v/>
      </c>
      <c r="AI564">
        <f>IF(AND($E564=TRUE,$C564="MID"),AD564,"")</f>
        <v/>
      </c>
      <c r="AJ564">
        <f>IF(AND($E564=TRUE,$C564="FWD"),AD564,"")</f>
        <v/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b">
        <v>1</v>
      </c>
      <c r="F565" s="2" t="n">
        <v>4</v>
      </c>
      <c r="G565" t="inlineStr">
        <is>
          <t>a</t>
        </is>
      </c>
      <c r="I565" s="2" t="n"/>
      <c r="K565" s="3" t="n">
        <v>2787</v>
      </c>
      <c r="L565" t="inlineStr">
        <is>
          <t>flat</t>
        </is>
      </c>
      <c r="M565" s="4" t="n"/>
      <c r="N565" s="4" t="n"/>
      <c r="O565" s="3" t="n"/>
      <c r="P565" t="inlineStr"/>
      <c r="Q565" s="3" t="n"/>
      <c r="R565" s="3" t="n"/>
      <c r="S565" s="3" t="n"/>
      <c r="T565" s="3" t="n"/>
      <c r="U565" s="3" t="n"/>
      <c r="V565" s="3" t="n"/>
      <c r="W565" s="3">
        <f>IF(V565="",IFERROR(VLOOKUP($C565,Assumptions!$A$4:$F$7,6,FALSE),0),V565)</f>
        <v/>
      </c>
      <c r="X565" s="3">
        <f>N(O565)*IFERROR(VLOOKUP($C565,Assumptions!$A$4:$F$7,2,FALSE),0)</f>
        <v/>
      </c>
      <c r="Y565" s="3">
        <f>N(S565)*IFERROR(VLOOKUP($C565,Assumptions!$A$4:$F$7,3,FALSE),0)*Assumptions!$B$11</f>
        <v/>
      </c>
      <c r="Z565" s="3">
        <f>N(N565)*IFERROR(VLOOKUP($C565,Assumptions!$A$4:$F$7,4,FALSE),0)</f>
        <v/>
      </c>
      <c r="AA565" s="3">
        <f>N(T565)*IFERROR(VLOOKUP($C565,Assumptions!$A$4:$F$7,5,FALSE),0)</f>
        <v/>
      </c>
      <c r="AB565" s="3">
        <f>N(U565)</f>
        <v/>
      </c>
      <c r="AC565" s="3">
        <f>SUM(W565:AB565)</f>
        <v/>
      </c>
      <c r="AD565" s="3">
        <f>N(AC565)*N(M565)/90</f>
        <v/>
      </c>
      <c r="AE565" s="3">
        <f>IFERROR(AD565-VLOOKUP($C565,Assumptions!$A$29:$C$32,3,FALSE),"")</f>
        <v/>
      </c>
      <c r="AF565" s="3">
        <f>IFERROR(AE565/F565,"")</f>
        <v/>
      </c>
      <c r="AG565">
        <f>IF(AND($E565=TRUE,$C565="GKP"),AD565,"")</f>
        <v/>
      </c>
      <c r="AH565">
        <f>IF(AND($E565=TRUE,$C565="DEF"),AD565,"")</f>
        <v/>
      </c>
      <c r="AI565">
        <f>IF(AND($E565=TRUE,$C565="MID"),AD565,"")</f>
        <v/>
      </c>
      <c r="AJ565">
        <f>IF(AND($E565=TRUE,$C565="FWD"),AD565,"")</f>
        <v/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b">
        <v>1</v>
      </c>
      <c r="F566" s="2" t="n">
        <v>5</v>
      </c>
      <c r="G566" t="inlineStr">
        <is>
          <t>a</t>
        </is>
      </c>
      <c r="I566" s="2" t="n"/>
      <c r="K566" s="3" t="n">
        <v>1146</v>
      </c>
      <c r="L566" t="inlineStr">
        <is>
          <t>flat</t>
        </is>
      </c>
      <c r="M566" s="4" t="n"/>
      <c r="N566" s="4" t="n"/>
      <c r="O566" s="3" t="n"/>
      <c r="P566" t="inlineStr"/>
      <c r="Q566" s="3" t="n"/>
      <c r="R566" s="3" t="n"/>
      <c r="S566" s="3" t="n"/>
      <c r="T566" s="3" t="n"/>
      <c r="U566" s="3" t="n"/>
      <c r="V566" s="3" t="n"/>
      <c r="W566" s="3">
        <f>IF(V566="",IFERROR(VLOOKUP($C566,Assumptions!$A$4:$F$7,6,FALSE),0),V566)</f>
        <v/>
      </c>
      <c r="X566" s="3">
        <f>N(O566)*IFERROR(VLOOKUP($C566,Assumptions!$A$4:$F$7,2,FALSE),0)</f>
        <v/>
      </c>
      <c r="Y566" s="3">
        <f>N(S566)*IFERROR(VLOOKUP($C566,Assumptions!$A$4:$F$7,3,FALSE),0)*Assumptions!$B$11</f>
        <v/>
      </c>
      <c r="Z566" s="3">
        <f>N(N566)*IFERROR(VLOOKUP($C566,Assumptions!$A$4:$F$7,4,FALSE),0)</f>
        <v/>
      </c>
      <c r="AA566" s="3">
        <f>N(T566)*IFERROR(VLOOKUP($C566,Assumptions!$A$4:$F$7,5,FALSE),0)</f>
        <v/>
      </c>
      <c r="AB566" s="3">
        <f>N(U566)</f>
        <v/>
      </c>
      <c r="AC566" s="3">
        <f>SUM(W566:AB566)</f>
        <v/>
      </c>
      <c r="AD566" s="3">
        <f>N(AC566)*N(M566)/90</f>
        <v/>
      </c>
      <c r="AE566" s="3">
        <f>IFERROR(AD566-VLOOKUP($C566,Assumptions!$A$29:$C$32,3,FALSE),"")</f>
        <v/>
      </c>
      <c r="AF566" s="3">
        <f>IFERROR(AE566/F566,"")</f>
        <v/>
      </c>
      <c r="AG566">
        <f>IF(AND($E566=TRUE,$C566="GKP"),AD566,"")</f>
        <v/>
      </c>
      <c r="AH566">
        <f>IF(AND($E566=TRUE,$C566="DEF"),AD566,"")</f>
        <v/>
      </c>
      <c r="AI566">
        <f>IF(AND($E566=TRUE,$C566="MID"),AD566,"")</f>
        <v/>
      </c>
      <c r="AJ566">
        <f>IF(AND($E566=TRUE,$C566="FWD"),AD566,"")</f>
        <v/>
      </c>
    </row>
    <row r="567">
      <c r="A567" t="inlineStr">
        <is>
          <t>Anthony Gordon</t>
        </is>
      </c>
      <c r="D567" t="inlineStr">
        <is>
          <t>MID</t>
        </is>
      </c>
      <c r="E567" t="b">
        <v>0</v>
      </c>
      <c r="F567" s="2" t="n"/>
      <c r="I567" s="2" t="n">
        <v>1814</v>
      </c>
      <c r="K567" s="3" t="n"/>
      <c r="M567" s="4" t="n">
        <v>1814</v>
      </c>
      <c r="N567" s="4" t="n"/>
      <c r="O567" s="3" t="n">
        <v>0.3955</v>
      </c>
      <c r="P567" t="inlineStr">
        <is>
          <t>adjusted xGOT</t>
        </is>
      </c>
      <c r="Q567" s="3" t="n">
        <v>0.909</v>
      </c>
      <c r="R567" s="3" t="n">
        <v>31.7</v>
      </c>
      <c r="S567" s="3" t="n">
        <v>0.1843</v>
      </c>
      <c r="T567" s="3" t="n">
        <v>0</v>
      </c>
      <c r="U567" s="3" t="n">
        <v>0.4465</v>
      </c>
      <c r="V567" s="3" t="n">
        <v>2.332</v>
      </c>
      <c r="W567" s="3">
        <f>IF(V567="",IFERROR(VLOOKUP($C567,Assumptions!$A$4:$F$7,6,FALSE),0),V567)</f>
        <v/>
      </c>
      <c r="X567" s="3">
        <f>N(O567)*IFERROR(VLOOKUP($C567,Assumptions!$A$4:$F$7,2,FALSE),0)</f>
        <v/>
      </c>
      <c r="Y567" s="3">
        <f>N(S567)*IFERROR(VLOOKUP($C567,Assumptions!$A$4:$F$7,3,FALSE),0)*Assumptions!$B$11</f>
        <v/>
      </c>
      <c r="Z567" s="3">
        <f>N(N567)*IFERROR(VLOOKUP($C567,Assumptions!$A$4:$F$7,4,FALSE),0)</f>
        <v/>
      </c>
      <c r="AA567" s="3">
        <f>N(T567)*IFERROR(VLOOKUP($C567,Assumptions!$A$4:$F$7,5,FALSE),0)</f>
        <v/>
      </c>
      <c r="AB567" s="3">
        <f>N(U567)</f>
        <v/>
      </c>
      <c r="AC567" s="3">
        <f>SUM(W567:AB567)</f>
        <v/>
      </c>
      <c r="AD567" s="3">
        <f>N(AC567)*N(M567)/90</f>
        <v/>
      </c>
      <c r="AE567" s="3">
        <f>IFERROR(AD567-VLOOKUP($C567,Assumptions!$A$29:$C$32,3,FALSE),"")</f>
        <v/>
      </c>
      <c r="AF567" s="3">
        <f>IFERROR(AE567/F567,"")</f>
        <v/>
      </c>
      <c r="AG567">
        <f>IF(AND($E567=TRUE,$C567="GKP"),AD567,"")</f>
        <v/>
      </c>
      <c r="AH567">
        <f>IF(AND($E567=TRUE,$C567="DEF"),AD567,"")</f>
        <v/>
      </c>
      <c r="AI567">
        <f>IF(AND($E567=TRUE,$C567="MID"),AD567,"")</f>
        <v/>
      </c>
      <c r="AJ567">
        <f>IF(AND($E567=TRUE,$C567="FWD"),AD567,"")</f>
        <v/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b">
        <v>1</v>
      </c>
      <c r="F568" s="2" t="n">
        <v>5</v>
      </c>
      <c r="G568" t="inlineStr">
        <is>
          <t>a</t>
        </is>
      </c>
      <c r="I568" s="2" t="n"/>
      <c r="K568" s="3" t="n">
        <v>1978</v>
      </c>
      <c r="L568" t="inlineStr">
        <is>
          <t>flat</t>
        </is>
      </c>
      <c r="M568" s="4" t="n"/>
      <c r="N568" s="4" t="n"/>
      <c r="O568" s="3" t="n"/>
      <c r="P568" t="inlineStr"/>
      <c r="Q568" s="3" t="n"/>
      <c r="R568" s="3" t="n"/>
      <c r="S568" s="3" t="n"/>
      <c r="T568" s="3" t="n"/>
      <c r="U568" s="3" t="n"/>
      <c r="V568" s="3" t="n"/>
      <c r="W568" s="3">
        <f>IF(V568="",IFERROR(VLOOKUP($C568,Assumptions!$A$4:$F$7,6,FALSE),0),V568)</f>
        <v/>
      </c>
      <c r="X568" s="3">
        <f>N(O568)*IFERROR(VLOOKUP($C568,Assumptions!$A$4:$F$7,2,FALSE),0)</f>
        <v/>
      </c>
      <c r="Y568" s="3">
        <f>N(S568)*IFERROR(VLOOKUP($C568,Assumptions!$A$4:$F$7,3,FALSE),0)*Assumptions!$B$11</f>
        <v/>
      </c>
      <c r="Z568" s="3">
        <f>N(N568)*IFERROR(VLOOKUP($C568,Assumptions!$A$4:$F$7,4,FALSE),0)</f>
        <v/>
      </c>
      <c r="AA568" s="3">
        <f>N(T568)*IFERROR(VLOOKUP($C568,Assumptions!$A$4:$F$7,5,FALSE),0)</f>
        <v/>
      </c>
      <c r="AB568" s="3">
        <f>N(U568)</f>
        <v/>
      </c>
      <c r="AC568" s="3">
        <f>SUM(W568:AB568)</f>
        <v/>
      </c>
      <c r="AD568" s="3">
        <f>N(AC568)*N(M568)/90</f>
        <v/>
      </c>
      <c r="AE568" s="3">
        <f>IFERROR(AD568-VLOOKUP($C568,Assumptions!$A$29:$C$32,3,FALSE),"")</f>
        <v/>
      </c>
      <c r="AF568" s="3">
        <f>IFERROR(AE568/F568,"")</f>
        <v/>
      </c>
      <c r="AG568">
        <f>IF(AND($E568=TRUE,$C568="GKP"),AD568,"")</f>
        <v/>
      </c>
      <c r="AH568">
        <f>IF(AND($E568=TRUE,$C568="DEF"),AD568,"")</f>
        <v/>
      </c>
      <c r="AI568">
        <f>IF(AND($E568=TRUE,$C568="MID"),AD568,"")</f>
        <v/>
      </c>
      <c r="AJ568">
        <f>IF(AND($E568=TRUE,$C568="FWD"),AD568,"")</f>
        <v/>
      </c>
    </row>
    <row r="569">
      <c r="A569" t="inlineStr">
        <is>
          <t>Konstantinos Mavropanos</t>
        </is>
      </c>
      <c r="D569" t="inlineStr">
        <is>
          <t>DEF</t>
        </is>
      </c>
      <c r="E569" t="b">
        <v>0</v>
      </c>
      <c r="F569" s="2" t="n"/>
      <c r="I569" s="2" t="n">
        <v>2528</v>
      </c>
      <c r="K569" s="3" t="n"/>
      <c r="M569" s="4" t="n">
        <v>2528</v>
      </c>
      <c r="N569" s="4" t="n"/>
      <c r="O569" s="3" t="n">
        <v>0.09080000000000001</v>
      </c>
      <c r="P569" t="inlineStr">
        <is>
          <t>adjusted xGOT</t>
        </is>
      </c>
      <c r="Q569" s="3" t="n">
        <v>1.032</v>
      </c>
      <c r="R569" s="3" t="n">
        <v>5.3</v>
      </c>
      <c r="S569" s="3" t="n">
        <v>0.0174</v>
      </c>
      <c r="T569" s="3" t="n">
        <v>0.667</v>
      </c>
      <c r="U569" s="3" t="n">
        <v>0.178</v>
      </c>
      <c r="V569" s="3" t="n">
        <v>2.065</v>
      </c>
      <c r="W569" s="3">
        <f>IF(V569="",IFERROR(VLOOKUP($C569,Assumptions!$A$4:$F$7,6,FALSE),0),V569)</f>
        <v/>
      </c>
      <c r="X569" s="3">
        <f>N(O569)*IFERROR(VLOOKUP($C569,Assumptions!$A$4:$F$7,2,FALSE),0)</f>
        <v/>
      </c>
      <c r="Y569" s="3">
        <f>N(S569)*IFERROR(VLOOKUP($C569,Assumptions!$A$4:$F$7,3,FALSE),0)*Assumptions!$B$11</f>
        <v/>
      </c>
      <c r="Z569" s="3">
        <f>N(N569)*IFERROR(VLOOKUP($C569,Assumptions!$A$4:$F$7,4,FALSE),0)</f>
        <v/>
      </c>
      <c r="AA569" s="3">
        <f>N(T569)*IFERROR(VLOOKUP($C569,Assumptions!$A$4:$F$7,5,FALSE),0)</f>
        <v/>
      </c>
      <c r="AB569" s="3">
        <f>N(U569)</f>
        <v/>
      </c>
      <c r="AC569" s="3">
        <f>SUM(W569:AB569)</f>
        <v/>
      </c>
      <c r="AD569" s="3">
        <f>N(AC569)*N(M569)/90</f>
        <v/>
      </c>
      <c r="AE569" s="3">
        <f>IFERROR(AD569-VLOOKUP($C569,Assumptions!$A$29:$C$32,3,FALSE),"")</f>
        <v/>
      </c>
      <c r="AF569" s="3">
        <f>IFERROR(AE569/F569,"")</f>
        <v/>
      </c>
      <c r="AG569">
        <f>IF(AND($E569=TRUE,$C569="GKP"),AD569,"")</f>
        <v/>
      </c>
      <c r="AH569">
        <f>IF(AND($E569=TRUE,$C569="DEF"),AD569,"")</f>
        <v/>
      </c>
      <c r="AI569">
        <f>IF(AND($E569=TRUE,$C569="MID"),AD569,"")</f>
        <v/>
      </c>
      <c r="AJ569">
        <f>IF(AND($E569=TRUE,$C569="FWD"),AD569,"")</f>
        <v/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b">
        <v>1</v>
      </c>
      <c r="F570" s="2" t="n">
        <v>5</v>
      </c>
      <c r="G570" t="inlineStr">
        <is>
          <t>i</t>
        </is>
      </c>
      <c r="H570" t="inlineStr">
        <is>
          <t>Muscular injury - Unknown return date</t>
        </is>
      </c>
      <c r="I570" s="2" t="n"/>
      <c r="K570" s="3" t="n">
        <v>800</v>
      </c>
      <c r="L570" t="inlineStr">
        <is>
          <t>flat</t>
        </is>
      </c>
      <c r="M570" s="4" t="n"/>
      <c r="N570" s="4" t="n"/>
      <c r="O570" s="3" t="n"/>
      <c r="P570" t="inlineStr"/>
      <c r="Q570" s="3" t="n"/>
      <c r="R570" s="3" t="n"/>
      <c r="S570" s="3" t="n"/>
      <c r="T570" s="3" t="n"/>
      <c r="U570" s="3" t="n"/>
      <c r="V570" s="3" t="n"/>
      <c r="W570" s="3">
        <f>IF(V570="",IFERROR(VLOOKUP($C570,Assumptions!$A$4:$F$7,6,FALSE),0),V570)</f>
        <v/>
      </c>
      <c r="X570" s="3">
        <f>N(O570)*IFERROR(VLOOKUP($C570,Assumptions!$A$4:$F$7,2,FALSE),0)</f>
        <v/>
      </c>
      <c r="Y570" s="3">
        <f>N(S570)*IFERROR(VLOOKUP($C570,Assumptions!$A$4:$F$7,3,FALSE),0)*Assumptions!$B$11</f>
        <v/>
      </c>
      <c r="Z570" s="3">
        <f>N(N570)*IFERROR(VLOOKUP($C570,Assumptions!$A$4:$F$7,4,FALSE),0)</f>
        <v/>
      </c>
      <c r="AA570" s="3">
        <f>N(T570)*IFERROR(VLOOKUP($C570,Assumptions!$A$4:$F$7,5,FALSE),0)</f>
        <v/>
      </c>
      <c r="AB570" s="3">
        <f>N(U570)</f>
        <v/>
      </c>
      <c r="AC570" s="3">
        <f>SUM(W570:AB570)</f>
        <v/>
      </c>
      <c r="AD570" s="3">
        <f>N(AC570)*N(M570)/90</f>
        <v/>
      </c>
      <c r="AE570" s="3">
        <f>IFERROR(AD570-VLOOKUP($C570,Assumptions!$A$29:$C$32,3,FALSE),"")</f>
        <v/>
      </c>
      <c r="AF570" s="3">
        <f>IFERROR(AE570/F570,"")</f>
        <v/>
      </c>
      <c r="AG570">
        <f>IF(AND($E570=TRUE,$C570="GKP"),AD570,"")</f>
        <v/>
      </c>
      <c r="AH570">
        <f>IF(AND($E570=TRUE,$C570="DEF"),AD570,"")</f>
        <v/>
      </c>
      <c r="AI570">
        <f>IF(AND($E570=TRUE,$C570="MID"),AD570,"")</f>
        <v/>
      </c>
      <c r="AJ570">
        <f>IF(AND($E570=TRUE,$C570="FWD"),AD570,"")</f>
        <v/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b">
        <v>1</v>
      </c>
      <c r="F571" s="2" t="n">
        <v>5.5</v>
      </c>
      <c r="G571" t="inlineStr">
        <is>
          <t>a</t>
        </is>
      </c>
      <c r="I571" s="2" t="n"/>
      <c r="K571" s="3" t="n">
        <v>2440</v>
      </c>
      <c r="L571" t="inlineStr">
        <is>
          <t>flat</t>
        </is>
      </c>
      <c r="M571" s="4" t="n"/>
      <c r="N571" s="4" t="n"/>
      <c r="O571" s="3" t="n"/>
      <c r="P571" t="inlineStr"/>
      <c r="Q571" s="3" t="n"/>
      <c r="R571" s="3" t="n"/>
      <c r="S571" s="3" t="n"/>
      <c r="T571" s="3" t="n"/>
      <c r="U571" s="3" t="n"/>
      <c r="V571" s="3" t="n"/>
      <c r="W571" s="3">
        <f>IF(V571="",IFERROR(VLOOKUP($C571,Assumptions!$A$4:$F$7,6,FALSE),0),V571)</f>
        <v/>
      </c>
      <c r="X571" s="3">
        <f>N(O571)*IFERROR(VLOOKUP($C571,Assumptions!$A$4:$F$7,2,FALSE),0)</f>
        <v/>
      </c>
      <c r="Y571" s="3">
        <f>N(S571)*IFERROR(VLOOKUP($C571,Assumptions!$A$4:$F$7,3,FALSE),0)*Assumptions!$B$11</f>
        <v/>
      </c>
      <c r="Z571" s="3">
        <f>N(N571)*IFERROR(VLOOKUP($C571,Assumptions!$A$4:$F$7,4,FALSE),0)</f>
        <v/>
      </c>
      <c r="AA571" s="3">
        <f>N(T571)*IFERROR(VLOOKUP($C571,Assumptions!$A$4:$F$7,5,FALSE),0)</f>
        <v/>
      </c>
      <c r="AB571" s="3">
        <f>N(U571)</f>
        <v/>
      </c>
      <c r="AC571" s="3">
        <f>SUM(W571:AB571)</f>
        <v/>
      </c>
      <c r="AD571" s="3">
        <f>N(AC571)*N(M571)/90</f>
        <v/>
      </c>
      <c r="AE571" s="3">
        <f>IFERROR(AD571-VLOOKUP($C571,Assumptions!$A$29:$C$32,3,FALSE),"")</f>
        <v/>
      </c>
      <c r="AF571" s="3">
        <f>IFERROR(AE571/F571,"")</f>
        <v/>
      </c>
      <c r="AG571">
        <f>IF(AND($E571=TRUE,$C571="GKP"),AD571,"")</f>
        <v/>
      </c>
      <c r="AH571">
        <f>IF(AND($E571=TRUE,$C571="DEF"),AD571,"")</f>
        <v/>
      </c>
      <c r="AI571">
        <f>IF(AND($E571=TRUE,$C571="MID"),AD571,"")</f>
        <v/>
      </c>
      <c r="AJ571">
        <f>IF(AND($E571=TRUE,$C571="FWD"),AD571,"")</f>
        <v/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b">
        <v>1</v>
      </c>
      <c r="F572" s="2" t="n">
        <v>4.5</v>
      </c>
      <c r="G572" t="inlineStr">
        <is>
          <t>a</t>
        </is>
      </c>
      <c r="I572" s="2" t="n"/>
      <c r="K572" s="3" t="n">
        <v>1197</v>
      </c>
      <c r="L572" t="inlineStr">
        <is>
          <t>flat</t>
        </is>
      </c>
      <c r="M572" s="4" t="n"/>
      <c r="N572" s="4" t="n">
        <v>0.316</v>
      </c>
      <c r="O572" s="3" t="n"/>
      <c r="P572" t="inlineStr"/>
      <c r="Q572" s="3" t="n"/>
      <c r="R572" s="3" t="n"/>
      <c r="S572" s="3" t="n"/>
      <c r="T572" s="3" t="n"/>
      <c r="U572" s="3" t="n"/>
      <c r="V572" s="3" t="n"/>
      <c r="W572" s="3">
        <f>IF(V572="",IFERROR(VLOOKUP($C572,Assumptions!$A$4:$F$7,6,FALSE),0),V572)</f>
        <v/>
      </c>
      <c r="X572" s="3">
        <f>N(O572)*IFERROR(VLOOKUP($C572,Assumptions!$A$4:$F$7,2,FALSE),0)</f>
        <v/>
      </c>
      <c r="Y572" s="3">
        <f>N(S572)*IFERROR(VLOOKUP($C572,Assumptions!$A$4:$F$7,3,FALSE),0)*Assumptions!$B$11</f>
        <v/>
      </c>
      <c r="Z572" s="3">
        <f>N(N572)*IFERROR(VLOOKUP($C572,Assumptions!$A$4:$F$7,4,FALSE),0)</f>
        <v/>
      </c>
      <c r="AA572" s="3">
        <f>N(T572)*IFERROR(VLOOKUP($C572,Assumptions!$A$4:$F$7,5,FALSE),0)</f>
        <v/>
      </c>
      <c r="AB572" s="3">
        <f>N(U572)</f>
        <v/>
      </c>
      <c r="AC572" s="3">
        <f>SUM(W572:AB572)</f>
        <v/>
      </c>
      <c r="AD572" s="3">
        <f>N(AC572)*N(M572)/90</f>
        <v/>
      </c>
      <c r="AE572" s="3">
        <f>IFERROR(AD572-VLOOKUP($C572,Assumptions!$A$29:$C$32,3,FALSE),"")</f>
        <v/>
      </c>
      <c r="AF572" s="3">
        <f>IFERROR(AE572/F572,"")</f>
        <v/>
      </c>
      <c r="AG572">
        <f>IF(AND($E572=TRUE,$C572="GKP"),AD572,"")</f>
        <v/>
      </c>
      <c r="AH572">
        <f>IF(AND($E572=TRUE,$C572="DEF"),AD572,"")</f>
        <v/>
      </c>
      <c r="AI572">
        <f>IF(AND($E572=TRUE,$C572="MID"),AD572,"")</f>
        <v/>
      </c>
      <c r="AJ572">
        <f>IF(AND($E572=TRUE,$C572="FWD"),AD572,"")</f>
        <v/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b">
        <v>1</v>
      </c>
      <c r="F573" s="2" t="n">
        <v>4.5</v>
      </c>
      <c r="G573" t="inlineStr">
        <is>
          <t>a</t>
        </is>
      </c>
      <c r="I573" s="2" t="n"/>
      <c r="K573" s="3" t="n">
        <v>2770</v>
      </c>
      <c r="L573" t="inlineStr">
        <is>
          <t>flat</t>
        </is>
      </c>
      <c r="M573" s="4" t="n"/>
      <c r="N573" s="4" t="n"/>
      <c r="O573" s="3" t="n"/>
      <c r="P573" t="inlineStr"/>
      <c r="Q573" s="3" t="n"/>
      <c r="R573" s="3" t="n"/>
      <c r="S573" s="3" t="n"/>
      <c r="T573" s="3" t="n"/>
      <c r="U573" s="3" t="n"/>
      <c r="V573" s="3" t="n"/>
      <c r="W573" s="3">
        <f>IF(V573="",IFERROR(VLOOKUP($C573,Assumptions!$A$4:$F$7,6,FALSE),0),V573)</f>
        <v/>
      </c>
      <c r="X573" s="3">
        <f>N(O573)*IFERROR(VLOOKUP($C573,Assumptions!$A$4:$F$7,2,FALSE),0)</f>
        <v/>
      </c>
      <c r="Y573" s="3">
        <f>N(S573)*IFERROR(VLOOKUP($C573,Assumptions!$A$4:$F$7,3,FALSE),0)*Assumptions!$B$11</f>
        <v/>
      </c>
      <c r="Z573" s="3">
        <f>N(N573)*IFERROR(VLOOKUP($C573,Assumptions!$A$4:$F$7,4,FALSE),0)</f>
        <v/>
      </c>
      <c r="AA573" s="3">
        <f>N(T573)*IFERROR(VLOOKUP($C573,Assumptions!$A$4:$F$7,5,FALSE),0)</f>
        <v/>
      </c>
      <c r="AB573" s="3">
        <f>N(U573)</f>
        <v/>
      </c>
      <c r="AC573" s="3">
        <f>SUM(W573:AB573)</f>
        <v/>
      </c>
      <c r="AD573" s="3">
        <f>N(AC573)*N(M573)/90</f>
        <v/>
      </c>
      <c r="AE573" s="3">
        <f>IFERROR(AD573-VLOOKUP($C573,Assumptions!$A$29:$C$32,3,FALSE),"")</f>
        <v/>
      </c>
      <c r="AF573" s="3">
        <f>IFERROR(AE573/F573,"")</f>
        <v/>
      </c>
      <c r="AG573">
        <f>IF(AND($E573=TRUE,$C573="GKP"),AD573,"")</f>
        <v/>
      </c>
      <c r="AH573">
        <f>IF(AND($E573=TRUE,$C573="DEF"),AD573,"")</f>
        <v/>
      </c>
      <c r="AI573">
        <f>IF(AND($E573=TRUE,$C573="MID"),AD573,"")</f>
        <v/>
      </c>
      <c r="AJ573">
        <f>IF(AND($E573=TRUE,$C573="FWD"),AD573,"")</f>
        <v/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b">
        <v>1</v>
      </c>
      <c r="F574" s="2" t="n">
        <v>5.5</v>
      </c>
      <c r="G574" t="inlineStr">
        <is>
          <t>a</t>
        </is>
      </c>
      <c r="I574" s="2" t="n"/>
      <c r="K574" s="3" t="n">
        <v>1053</v>
      </c>
      <c r="L574" t="inlineStr">
        <is>
          <t>fade (losing his place)</t>
        </is>
      </c>
      <c r="M574" s="4" t="n"/>
      <c r="N574" s="4" t="n">
        <v>0.29</v>
      </c>
      <c r="O574" s="3" t="n"/>
      <c r="P574" t="inlineStr"/>
      <c r="Q574" s="3" t="n"/>
      <c r="R574" s="3" t="n"/>
      <c r="S574" s="3" t="n"/>
      <c r="T574" s="3" t="n"/>
      <c r="U574" s="3" t="n"/>
      <c r="V574" s="3" t="n"/>
      <c r="W574" s="3">
        <f>IF(V574="",IFERROR(VLOOKUP($C574,Assumptions!$A$4:$F$7,6,FALSE),0),V574)</f>
        <v/>
      </c>
      <c r="X574" s="3">
        <f>N(O574)*IFERROR(VLOOKUP($C574,Assumptions!$A$4:$F$7,2,FALSE),0)</f>
        <v/>
      </c>
      <c r="Y574" s="3">
        <f>N(S574)*IFERROR(VLOOKUP($C574,Assumptions!$A$4:$F$7,3,FALSE),0)*Assumptions!$B$11</f>
        <v/>
      </c>
      <c r="Z574" s="3">
        <f>N(N574)*IFERROR(VLOOKUP($C574,Assumptions!$A$4:$F$7,4,FALSE),0)</f>
        <v/>
      </c>
      <c r="AA574" s="3">
        <f>N(T574)*IFERROR(VLOOKUP($C574,Assumptions!$A$4:$F$7,5,FALSE),0)</f>
        <v/>
      </c>
      <c r="AB574" s="3">
        <f>N(U574)</f>
        <v/>
      </c>
      <c r="AC574" s="3">
        <f>SUM(W574:AB574)</f>
        <v/>
      </c>
      <c r="AD574" s="3">
        <f>N(AC574)*N(M574)/90</f>
        <v/>
      </c>
      <c r="AE574" s="3">
        <f>IFERROR(AD574-VLOOKUP($C574,Assumptions!$A$29:$C$32,3,FALSE),"")</f>
        <v/>
      </c>
      <c r="AF574" s="3">
        <f>IFERROR(AE574/F574,"")</f>
        <v/>
      </c>
      <c r="AG574">
        <f>IF(AND($E574=TRUE,$C574="GKP"),AD574,"")</f>
        <v/>
      </c>
      <c r="AH574">
        <f>IF(AND($E574=TRUE,$C574="DEF"),AD574,"")</f>
        <v/>
      </c>
      <c r="AI574">
        <f>IF(AND($E574=TRUE,$C574="MID"),AD574,"")</f>
        <v/>
      </c>
      <c r="AJ574">
        <f>IF(AND($E574=TRUE,$C574="FWD"),AD574,"")</f>
        <v/>
      </c>
    </row>
    <row r="575">
      <c r="A575" t="inlineStr">
        <is>
          <t>Valentín Castellanos</t>
        </is>
      </c>
      <c r="D575" t="inlineStr">
        <is>
          <t>FWD</t>
        </is>
      </c>
      <c r="E575" t="b">
        <v>0</v>
      </c>
      <c r="F575" s="2" t="n"/>
      <c r="I575" s="2" t="n">
        <v>1395</v>
      </c>
      <c r="K575" s="3" t="n"/>
      <c r="M575" s="4" t="n">
        <v>1395</v>
      </c>
      <c r="N575" s="4" t="n"/>
      <c r="O575" s="3" t="n">
        <v>0.3858</v>
      </c>
      <c r="P575" t="inlineStr">
        <is>
          <t>adjusted xGOT</t>
        </is>
      </c>
      <c r="Q575" s="3" t="n">
        <v>1.04</v>
      </c>
      <c r="R575" s="3" t="n">
        <v>5.8</v>
      </c>
      <c r="S575" s="3" t="n">
        <v>0.0482</v>
      </c>
      <c r="T575" s="3" t="n">
        <v>0</v>
      </c>
      <c r="U575" s="3" t="n">
        <v>0.3226</v>
      </c>
      <c r="V575" s="3" t="n">
        <v>2.258</v>
      </c>
      <c r="W575" s="3">
        <f>IF(V575="",IFERROR(VLOOKUP($C575,Assumptions!$A$4:$F$7,6,FALSE),0),V575)</f>
        <v/>
      </c>
      <c r="X575" s="3">
        <f>N(O575)*IFERROR(VLOOKUP($C575,Assumptions!$A$4:$F$7,2,FALSE),0)</f>
        <v/>
      </c>
      <c r="Y575" s="3">
        <f>N(S575)*IFERROR(VLOOKUP($C575,Assumptions!$A$4:$F$7,3,FALSE),0)*Assumptions!$B$11</f>
        <v/>
      </c>
      <c r="Z575" s="3">
        <f>N(N575)*IFERROR(VLOOKUP($C575,Assumptions!$A$4:$F$7,4,FALSE),0)</f>
        <v/>
      </c>
      <c r="AA575" s="3">
        <f>N(T575)*IFERROR(VLOOKUP($C575,Assumptions!$A$4:$F$7,5,FALSE),0)</f>
        <v/>
      </c>
      <c r="AB575" s="3">
        <f>N(U575)</f>
        <v/>
      </c>
      <c r="AC575" s="3">
        <f>SUM(W575:AB575)</f>
        <v/>
      </c>
      <c r="AD575" s="3">
        <f>N(AC575)*N(M575)/90</f>
        <v/>
      </c>
      <c r="AE575" s="3">
        <f>IFERROR(AD575-VLOOKUP($C575,Assumptions!$A$29:$C$32,3,FALSE),"")</f>
        <v/>
      </c>
      <c r="AF575" s="3">
        <f>IFERROR(AE575/F575,"")</f>
        <v/>
      </c>
      <c r="AG575">
        <f>IF(AND($E575=TRUE,$C575="GKP"),AD575,"")</f>
        <v/>
      </c>
      <c r="AH575">
        <f>IF(AND($E575=TRUE,$C575="DEF"),AD575,"")</f>
        <v/>
      </c>
      <c r="AI575">
        <f>IF(AND($E575=TRUE,$C575="MID"),AD575,"")</f>
        <v/>
      </c>
      <c r="AJ575">
        <f>IF(AND($E575=TRUE,$C575="FWD"),AD575,"")</f>
        <v/>
      </c>
    </row>
    <row r="576">
      <c r="A576" t="inlineStr">
        <is>
          <t>Randal Kolo Muani</t>
        </is>
      </c>
      <c r="D576" t="inlineStr">
        <is>
          <t>FWD</t>
        </is>
      </c>
      <c r="E576" t="b">
        <v>0</v>
      </c>
      <c r="F576" s="2" t="n"/>
      <c r="I576" s="2" t="n">
        <v>1670</v>
      </c>
      <c r="K576" s="3" t="n"/>
      <c r="M576" s="4" t="n">
        <v>1670</v>
      </c>
      <c r="N576" s="4" t="n"/>
      <c r="O576" s="3" t="n">
        <v>0.1097</v>
      </c>
      <c r="P576" t="inlineStr">
        <is>
          <t>adjusted xGOT</t>
        </is>
      </c>
      <c r="Q576" s="3" t="n">
        <v>0.983</v>
      </c>
      <c r="R576" s="3" t="n">
        <v>2.1</v>
      </c>
      <c r="S576" s="3" t="n">
        <v>0.09959999999999999</v>
      </c>
      <c r="T576" s="3" t="n">
        <v>0</v>
      </c>
      <c r="U576" s="3" t="n">
        <v>0.0539</v>
      </c>
      <c r="V576" s="3" t="n">
        <v>2.533</v>
      </c>
      <c r="W576" s="3">
        <f>IF(V576="",IFERROR(VLOOKUP($C576,Assumptions!$A$4:$F$7,6,FALSE),0),V576)</f>
        <v/>
      </c>
      <c r="X576" s="3">
        <f>N(O576)*IFERROR(VLOOKUP($C576,Assumptions!$A$4:$F$7,2,FALSE),0)</f>
        <v/>
      </c>
      <c r="Y576" s="3">
        <f>N(S576)*IFERROR(VLOOKUP($C576,Assumptions!$A$4:$F$7,3,FALSE),0)*Assumptions!$B$11</f>
        <v/>
      </c>
      <c r="Z576" s="3">
        <f>N(N576)*IFERROR(VLOOKUP($C576,Assumptions!$A$4:$F$7,4,FALSE),0)</f>
        <v/>
      </c>
      <c r="AA576" s="3">
        <f>N(T576)*IFERROR(VLOOKUP($C576,Assumptions!$A$4:$F$7,5,FALSE),0)</f>
        <v/>
      </c>
      <c r="AB576" s="3">
        <f>N(U576)</f>
        <v/>
      </c>
      <c r="AC576" s="3">
        <f>SUM(W576:AB576)</f>
        <v/>
      </c>
      <c r="AD576" s="3">
        <f>N(AC576)*N(M576)/90</f>
        <v/>
      </c>
      <c r="AE576" s="3">
        <f>IFERROR(AD576-VLOOKUP($C576,Assumptions!$A$29:$C$32,3,FALSE),"")</f>
        <v/>
      </c>
      <c r="AF576" s="3">
        <f>IFERROR(AE576/F576,"")</f>
        <v/>
      </c>
      <c r="AG576">
        <f>IF(AND($E576=TRUE,$C576="GKP"),AD576,"")</f>
        <v/>
      </c>
      <c r="AH576">
        <f>IF(AND($E576=TRUE,$C576="DEF"),AD576,"")</f>
        <v/>
      </c>
      <c r="AI576">
        <f>IF(AND($E576=TRUE,$C576="MID"),AD576,"")</f>
        <v/>
      </c>
      <c r="AJ576">
        <f>IF(AND($E576=TRUE,$C576="FWD"),AD576,"")</f>
        <v/>
      </c>
    </row>
    <row r="577">
      <c r="A577" t="inlineStr">
        <is>
          <t>Lutsharel Geertruida</t>
        </is>
      </c>
      <c r="D577" t="inlineStr">
        <is>
          <t>DEF</t>
        </is>
      </c>
      <c r="E577" t="b">
        <v>0</v>
      </c>
      <c r="F577" s="2" t="n"/>
      <c r="I577" s="2" t="n">
        <v>1685</v>
      </c>
      <c r="K577" s="3" t="n"/>
      <c r="M577" s="4" t="n">
        <v>1685</v>
      </c>
      <c r="N577" s="4" t="n"/>
      <c r="O577" s="3" t="n">
        <v>0.0422</v>
      </c>
      <c r="P577" t="inlineStr">
        <is>
          <t>adjusted xGOT</t>
        </is>
      </c>
      <c r="Q577" s="3" t="n">
        <v>1.001</v>
      </c>
      <c r="R577" s="3" t="n">
        <v>0.8</v>
      </c>
      <c r="S577" s="3" t="n">
        <v>0.0413</v>
      </c>
      <c r="T577" s="3" t="n">
        <v>0.118</v>
      </c>
      <c r="U577" s="3" t="n">
        <v>0</v>
      </c>
      <c r="V577" s="3" t="n">
        <v>2.404</v>
      </c>
      <c r="W577" s="3">
        <f>IF(V577="",IFERROR(VLOOKUP($C577,Assumptions!$A$4:$F$7,6,FALSE),0),V577)</f>
        <v/>
      </c>
      <c r="X577" s="3">
        <f>N(O577)*IFERROR(VLOOKUP($C577,Assumptions!$A$4:$F$7,2,FALSE),0)</f>
        <v/>
      </c>
      <c r="Y577" s="3">
        <f>N(S577)*IFERROR(VLOOKUP($C577,Assumptions!$A$4:$F$7,3,FALSE),0)*Assumptions!$B$11</f>
        <v/>
      </c>
      <c r="Z577" s="3">
        <f>N(N577)*IFERROR(VLOOKUP($C577,Assumptions!$A$4:$F$7,4,FALSE),0)</f>
        <v/>
      </c>
      <c r="AA577" s="3">
        <f>N(T577)*IFERROR(VLOOKUP($C577,Assumptions!$A$4:$F$7,5,FALSE),0)</f>
        <v/>
      </c>
      <c r="AB577" s="3">
        <f>N(U577)</f>
        <v/>
      </c>
      <c r="AC577" s="3">
        <f>SUM(W577:AB577)</f>
        <v/>
      </c>
      <c r="AD577" s="3">
        <f>N(AC577)*N(M577)/90</f>
        <v/>
      </c>
      <c r="AE577" s="3">
        <f>IFERROR(AD577-VLOOKUP($C577,Assumptions!$A$29:$C$32,3,FALSE),"")</f>
        <v/>
      </c>
      <c r="AF577" s="3">
        <f>IFERROR(AE577/F577,"")</f>
        <v/>
      </c>
      <c r="AG577">
        <f>IF(AND($E577=TRUE,$C577="GKP"),AD577,"")</f>
        <v/>
      </c>
      <c r="AH577">
        <f>IF(AND($E577=TRUE,$C577="DEF"),AD577,"")</f>
        <v/>
      </c>
      <c r="AI577">
        <f>IF(AND($E577=TRUE,$C577="MID"),AD577,"")</f>
        <v/>
      </c>
      <c r="AJ577">
        <f>IF(AND($E577=TRUE,$C577="FWD"),AD577,"")</f>
        <v/>
      </c>
    </row>
    <row r="578">
      <c r="A578" t="inlineStr">
        <is>
          <t>Hamed Traoré</t>
        </is>
      </c>
      <c r="D578" t="inlineStr">
        <is>
          <t>MID</t>
        </is>
      </c>
      <c r="E578" t="b">
        <v>0</v>
      </c>
      <c r="F578" s="2" t="n"/>
      <c r="I578" s="2" t="n">
        <v>16</v>
      </c>
      <c r="K578" s="3" t="n"/>
      <c r="M578" s="4" t="n">
        <v>16</v>
      </c>
      <c r="N578" s="4" t="n"/>
      <c r="O578" s="3" t="n">
        <v>0</v>
      </c>
      <c r="P578" t="inlineStr">
        <is>
          <t>adjusted xGOT</t>
        </is>
      </c>
      <c r="Q578" s="3" t="n">
        <v>0.869</v>
      </c>
      <c r="R578" s="3" t="n">
        <v>1.2</v>
      </c>
      <c r="S578" s="3" t="n">
        <v>0.5377</v>
      </c>
      <c r="T578" s="3" t="n"/>
      <c r="U578" s="3" t="n">
        <v>0</v>
      </c>
      <c r="V578" s="3" t="n">
        <v>5.625</v>
      </c>
      <c r="W578" s="3">
        <f>IF(V578="",IFERROR(VLOOKUP($C578,Assumptions!$A$4:$F$7,6,FALSE),0),V578)</f>
        <v/>
      </c>
      <c r="X578" s="3">
        <f>N(O578)*IFERROR(VLOOKUP($C578,Assumptions!$A$4:$F$7,2,FALSE),0)</f>
        <v/>
      </c>
      <c r="Y578" s="3">
        <f>N(S578)*IFERROR(VLOOKUP($C578,Assumptions!$A$4:$F$7,3,FALSE),0)*Assumptions!$B$11</f>
        <v/>
      </c>
      <c r="Z578" s="3">
        <f>N(N578)*IFERROR(VLOOKUP($C578,Assumptions!$A$4:$F$7,4,FALSE),0)</f>
        <v/>
      </c>
      <c r="AA578" s="3">
        <f>N(T578)*IFERROR(VLOOKUP($C578,Assumptions!$A$4:$F$7,5,FALSE),0)</f>
        <v/>
      </c>
      <c r="AB578" s="3">
        <f>N(U578)</f>
        <v/>
      </c>
      <c r="AC578" s="3">
        <f>SUM(W578:AB578)</f>
        <v/>
      </c>
      <c r="AD578" s="3">
        <f>N(AC578)*N(M578)/90</f>
        <v/>
      </c>
      <c r="AE578" s="3">
        <f>IFERROR(AD578-VLOOKUP($C578,Assumptions!$A$29:$C$32,3,FALSE),"")</f>
        <v/>
      </c>
      <c r="AF578" s="3">
        <f>IFERROR(AE578/F578,"")</f>
        <v/>
      </c>
      <c r="AG578">
        <f>IF(AND($E578=TRUE,$C578="GKP"),AD578,"")</f>
        <v/>
      </c>
      <c r="AH578">
        <f>IF(AND($E578=TRUE,$C578="DEF"),AD578,"")</f>
        <v/>
      </c>
      <c r="AI578">
        <f>IF(AND($E578=TRUE,$C578="MID"),AD578,"")</f>
        <v/>
      </c>
      <c r="AJ578">
        <f>IF(AND($E578=TRUE,$C578="FWD"),AD578,"")</f>
        <v/>
      </c>
    </row>
    <row r="579">
      <c r="A579" t="inlineStr">
        <is>
          <t>Sasa Kalajdzic</t>
        </is>
      </c>
      <c r="D579" t="inlineStr">
        <is>
          <t>FWD</t>
        </is>
      </c>
      <c r="E579" t="b">
        <v>0</v>
      </c>
      <c r="F579" s="2" t="n"/>
      <c r="I579" s="2" t="n">
        <v>14</v>
      </c>
      <c r="K579" s="3" t="n"/>
      <c r="M579" s="4" t="n">
        <v>14</v>
      </c>
      <c r="N579" s="4" t="n"/>
      <c r="O579" s="3" t="n">
        <v>0</v>
      </c>
      <c r="P579" t="inlineStr">
        <is>
          <t>adjusted xGOT</t>
        </is>
      </c>
      <c r="Q579" s="3" t="n">
        <v>1.034</v>
      </c>
      <c r="R579" s="3" t="n">
        <v>1.3</v>
      </c>
      <c r="S579" s="3" t="n">
        <v>0</v>
      </c>
      <c r="T579" s="3" t="n"/>
      <c r="U579" s="3" t="n">
        <v>0</v>
      </c>
      <c r="V579" s="3" t="n">
        <v>6.429</v>
      </c>
      <c r="W579" s="3">
        <f>IF(V579="",IFERROR(VLOOKUP($C579,Assumptions!$A$4:$F$7,6,FALSE),0),V579)</f>
        <v/>
      </c>
      <c r="X579" s="3">
        <f>N(O579)*IFERROR(VLOOKUP($C579,Assumptions!$A$4:$F$7,2,FALSE),0)</f>
        <v/>
      </c>
      <c r="Y579" s="3">
        <f>N(S579)*IFERROR(VLOOKUP($C579,Assumptions!$A$4:$F$7,3,FALSE),0)*Assumptions!$B$11</f>
        <v/>
      </c>
      <c r="Z579" s="3">
        <f>N(N579)*IFERROR(VLOOKUP($C579,Assumptions!$A$4:$F$7,4,FALSE),0)</f>
        <v/>
      </c>
      <c r="AA579" s="3">
        <f>N(T579)*IFERROR(VLOOKUP($C579,Assumptions!$A$4:$F$7,5,FALSE),0)</f>
        <v/>
      </c>
      <c r="AB579" s="3">
        <f>N(U579)</f>
        <v/>
      </c>
      <c r="AC579" s="3">
        <f>SUM(W579:AB579)</f>
        <v/>
      </c>
      <c r="AD579" s="3">
        <f>N(AC579)*N(M579)/90</f>
        <v/>
      </c>
      <c r="AE579" s="3">
        <f>IFERROR(AD579-VLOOKUP($C579,Assumptions!$A$29:$C$32,3,FALSE),"")</f>
        <v/>
      </c>
      <c r="AF579" s="3">
        <f>IFERROR(AE579/F579,"")</f>
        <v/>
      </c>
      <c r="AG579">
        <f>IF(AND($E579=TRUE,$C579="GKP"),AD579,"")</f>
        <v/>
      </c>
      <c r="AH579">
        <f>IF(AND($E579=TRUE,$C579="DEF"),AD579,"")</f>
        <v/>
      </c>
      <c r="AI579">
        <f>IF(AND($E579=TRUE,$C579="MID"),AD579,"")</f>
        <v/>
      </c>
      <c r="AJ579">
        <f>IF(AND($E579=TRUE,$C579="FWD"),AD579,"")</f>
        <v/>
      </c>
    </row>
    <row r="580">
      <c r="A580" t="inlineStr">
        <is>
          <t>Ladislav Krejcí</t>
        </is>
      </c>
      <c r="D580" t="inlineStr">
        <is>
          <t>DEF</t>
        </is>
      </c>
      <c r="E580" t="b">
        <v>0</v>
      </c>
      <c r="F580" s="2" t="n"/>
      <c r="I580" s="2" t="n">
        <v>2361</v>
      </c>
      <c r="K580" s="3" t="n"/>
      <c r="M580" s="4" t="n">
        <v>2361</v>
      </c>
      <c r="N580" s="4" t="n"/>
      <c r="O580" s="3" t="n">
        <v>0.0897</v>
      </c>
      <c r="P580" t="inlineStr">
        <is>
          <t>adjusted xGOT</t>
        </is>
      </c>
      <c r="Q580" s="3" t="n">
        <v>1.056</v>
      </c>
      <c r="R580" s="3" t="n">
        <v>2.2</v>
      </c>
      <c r="S580" s="3" t="n">
        <v>0.0568</v>
      </c>
      <c r="T580" s="3" t="n">
        <v>0.111</v>
      </c>
      <c r="U580" s="3" t="n">
        <v>0</v>
      </c>
      <c r="V580" s="3" t="n">
        <v>2.097</v>
      </c>
      <c r="W580" s="3">
        <f>IF(V580="",IFERROR(VLOOKUP($C580,Assumptions!$A$4:$F$7,6,FALSE),0),V580)</f>
        <v/>
      </c>
      <c r="X580" s="3">
        <f>N(O580)*IFERROR(VLOOKUP($C580,Assumptions!$A$4:$F$7,2,FALSE),0)</f>
        <v/>
      </c>
      <c r="Y580" s="3">
        <f>N(S580)*IFERROR(VLOOKUP($C580,Assumptions!$A$4:$F$7,3,FALSE),0)*Assumptions!$B$11</f>
        <v/>
      </c>
      <c r="Z580" s="3">
        <f>N(N580)*IFERROR(VLOOKUP($C580,Assumptions!$A$4:$F$7,4,FALSE),0)</f>
        <v/>
      </c>
      <c r="AA580" s="3">
        <f>N(T580)*IFERROR(VLOOKUP($C580,Assumptions!$A$4:$F$7,5,FALSE),0)</f>
        <v/>
      </c>
      <c r="AB580" s="3">
        <f>N(U580)</f>
        <v/>
      </c>
      <c r="AC580" s="3">
        <f>SUM(W580:AB580)</f>
        <v/>
      </c>
      <c r="AD580" s="3">
        <f>N(AC580)*N(M580)/90</f>
        <v/>
      </c>
      <c r="AE580" s="3">
        <f>IFERROR(AD580-VLOOKUP($C580,Assumptions!$A$29:$C$32,3,FALSE),"")</f>
        <v/>
      </c>
      <c r="AF580" s="3">
        <f>IFERROR(AE580/F580,"")</f>
        <v/>
      </c>
      <c r="AG580">
        <f>IF(AND($E580=TRUE,$C580="GKP"),AD580,"")</f>
        <v/>
      </c>
      <c r="AH580">
        <f>IF(AND($E580=TRUE,$C580="DEF"),AD580,"")</f>
        <v/>
      </c>
      <c r="AI580">
        <f>IF(AND($E580=TRUE,$C580="MID"),AD580,"")</f>
        <v/>
      </c>
      <c r="AJ580">
        <f>IF(AND($E580=TRUE,$C580="FWD"),AD580,"")</f>
        <v/>
      </c>
    </row>
    <row r="581">
      <c r="A581" t="inlineStr">
        <is>
          <t>Zian Flemming</t>
        </is>
      </c>
      <c r="D581" t="inlineStr">
        <is>
          <t>FWD</t>
        </is>
      </c>
      <c r="E581" t="b">
        <v>0</v>
      </c>
      <c r="F581" s="2" t="n"/>
      <c r="I581" s="2" t="n">
        <v>1776</v>
      </c>
      <c r="K581" s="3" t="n"/>
      <c r="M581" s="4" t="n">
        <v>1776</v>
      </c>
      <c r="N581" s="4" t="n"/>
      <c r="O581" s="3" t="n">
        <v>0.3963</v>
      </c>
      <c r="P581" t="inlineStr">
        <is>
          <t>adjusted xGOT</t>
        </is>
      </c>
      <c r="Q581" s="3" t="n">
        <v>0.985</v>
      </c>
      <c r="R581" s="3" t="n">
        <v>7.9</v>
      </c>
      <c r="S581" s="3" t="n">
        <v>0.0347</v>
      </c>
      <c r="T581" s="3" t="n">
        <v>0</v>
      </c>
      <c r="U581" s="3" t="n">
        <v>0.5574</v>
      </c>
      <c r="V581" s="3" t="n">
        <v>2.483</v>
      </c>
      <c r="W581" s="3">
        <f>IF(V581="",IFERROR(VLOOKUP($C581,Assumptions!$A$4:$F$7,6,FALSE),0),V581)</f>
        <v/>
      </c>
      <c r="X581" s="3">
        <f>N(O581)*IFERROR(VLOOKUP($C581,Assumptions!$A$4:$F$7,2,FALSE),0)</f>
        <v/>
      </c>
      <c r="Y581" s="3">
        <f>N(S581)*IFERROR(VLOOKUP($C581,Assumptions!$A$4:$F$7,3,FALSE),0)*Assumptions!$B$11</f>
        <v/>
      </c>
      <c r="Z581" s="3">
        <f>N(N581)*IFERROR(VLOOKUP($C581,Assumptions!$A$4:$F$7,4,FALSE),0)</f>
        <v/>
      </c>
      <c r="AA581" s="3">
        <f>N(T581)*IFERROR(VLOOKUP($C581,Assumptions!$A$4:$F$7,5,FALSE),0)</f>
        <v/>
      </c>
      <c r="AB581" s="3">
        <f>N(U581)</f>
        <v/>
      </c>
      <c r="AC581" s="3">
        <f>SUM(W581:AB581)</f>
        <v/>
      </c>
      <c r="AD581" s="3">
        <f>N(AC581)*N(M581)/90</f>
        <v/>
      </c>
      <c r="AE581" s="3">
        <f>IFERROR(AD581-VLOOKUP($C581,Assumptions!$A$29:$C$32,3,FALSE),"")</f>
        <v/>
      </c>
      <c r="AF581" s="3">
        <f>IFERROR(AE581/F581,"")</f>
        <v/>
      </c>
      <c r="AG581">
        <f>IF(AND($E581=TRUE,$C581="GKP"),AD581,"")</f>
        <v/>
      </c>
      <c r="AH581">
        <f>IF(AND($E581=TRUE,$C581="DEF"),AD581,"")</f>
        <v/>
      </c>
      <c r="AI581">
        <f>IF(AND($E581=TRUE,$C581="MID"),AD581,"")</f>
        <v/>
      </c>
      <c r="AJ581">
        <f>IF(AND($E581=TRUE,$C581="FWD"),AD581,"")</f>
        <v/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b">
        <v>1</v>
      </c>
      <c r="F582" s="2" t="n">
        <v>4</v>
      </c>
      <c r="G582" t="inlineStr">
        <is>
          <t>i</t>
        </is>
      </c>
      <c r="H582" t="inlineStr">
        <is>
          <t>Knee injury - Unknown return date</t>
        </is>
      </c>
      <c r="I582" s="2" t="n"/>
      <c r="K582" s="3" t="n">
        <v>0</v>
      </c>
      <c r="L582" t="inlineStr">
        <is>
          <t>flat</t>
        </is>
      </c>
      <c r="M582" s="4" t="n"/>
      <c r="N582" s="4" t="n">
        <v>0.263</v>
      </c>
      <c r="O582" s="3" t="n"/>
      <c r="P582" t="inlineStr"/>
      <c r="Q582" s="3" t="n"/>
      <c r="R582" s="3" t="n"/>
      <c r="S582" s="3" t="n"/>
      <c r="T582" s="3" t="n">
        <v>0</v>
      </c>
      <c r="U582" s="3" t="n"/>
      <c r="V582" s="3" t="n"/>
      <c r="W582" s="3">
        <f>IF(V582="",IFERROR(VLOOKUP($C582,Assumptions!$A$4:$F$7,6,FALSE),0),V582)</f>
        <v/>
      </c>
      <c r="X582" s="3">
        <f>N(O582)*IFERROR(VLOOKUP($C582,Assumptions!$A$4:$F$7,2,FALSE),0)</f>
        <v/>
      </c>
      <c r="Y582" s="3">
        <f>N(S582)*IFERROR(VLOOKUP($C582,Assumptions!$A$4:$F$7,3,FALSE),0)*Assumptions!$B$11</f>
        <v/>
      </c>
      <c r="Z582" s="3">
        <f>N(N582)*IFERROR(VLOOKUP($C582,Assumptions!$A$4:$F$7,4,FALSE),0)</f>
        <v/>
      </c>
      <c r="AA582" s="3">
        <f>N(T582)*IFERROR(VLOOKUP($C582,Assumptions!$A$4:$F$7,5,FALSE),0)</f>
        <v/>
      </c>
      <c r="AB582" s="3">
        <f>N(U582)</f>
        <v/>
      </c>
      <c r="AC582" s="3">
        <f>SUM(W582:AB582)</f>
        <v/>
      </c>
      <c r="AD582" s="3">
        <f>N(AC582)*N(M582)/90</f>
        <v/>
      </c>
      <c r="AE582" s="3">
        <f>IFERROR(AD582-VLOOKUP($C582,Assumptions!$A$29:$C$32,3,FALSE),"")</f>
        <v/>
      </c>
      <c r="AF582" s="3">
        <f>IFERROR(AE582/F582,"")</f>
        <v/>
      </c>
      <c r="AG582">
        <f>IF(AND($E582=TRUE,$C582="GKP"),AD582,"")</f>
        <v/>
      </c>
      <c r="AH582">
        <f>IF(AND($E582=TRUE,$C582="DEF"),AD582,"")</f>
        <v/>
      </c>
      <c r="AI582">
        <f>IF(AND($E582=TRUE,$C582="MID"),AD582,"")</f>
        <v/>
      </c>
      <c r="AJ582">
        <f>IF(AND($E582=TRUE,$C582="FWD"),AD582,"")</f>
        <v/>
      </c>
    </row>
    <row r="583">
      <c r="A583" t="inlineStr">
        <is>
          <t>Marshall Munetsi</t>
        </is>
      </c>
      <c r="D583" t="inlineStr">
        <is>
          <t>MID</t>
        </is>
      </c>
      <c r="E583" t="b">
        <v>0</v>
      </c>
      <c r="F583" s="2" t="n"/>
      <c r="I583" s="2" t="n">
        <v>873</v>
      </c>
      <c r="K583" s="3" t="n"/>
      <c r="M583" s="4" t="n">
        <v>873</v>
      </c>
      <c r="N583" s="4" t="n"/>
      <c r="O583" s="3" t="n">
        <v>0.1618</v>
      </c>
      <c r="P583" t="inlineStr">
        <is>
          <t>adjusted xGOT</t>
        </is>
      </c>
      <c r="Q583" s="3" t="n">
        <v>0.957</v>
      </c>
      <c r="R583" s="3" t="n">
        <v>5</v>
      </c>
      <c r="S583" s="3" t="n">
        <v>0.0393</v>
      </c>
      <c r="T583" s="3" t="n">
        <v>0.333</v>
      </c>
      <c r="U583" s="3" t="n">
        <v>0.1031</v>
      </c>
      <c r="V583" s="3" t="n">
        <v>2.268</v>
      </c>
      <c r="W583" s="3">
        <f>IF(V583="",IFERROR(VLOOKUP($C583,Assumptions!$A$4:$F$7,6,FALSE),0),V583)</f>
        <v/>
      </c>
      <c r="X583" s="3">
        <f>N(O583)*IFERROR(VLOOKUP($C583,Assumptions!$A$4:$F$7,2,FALSE),0)</f>
        <v/>
      </c>
      <c r="Y583" s="3">
        <f>N(S583)*IFERROR(VLOOKUP($C583,Assumptions!$A$4:$F$7,3,FALSE),0)*Assumptions!$B$11</f>
        <v/>
      </c>
      <c r="Z583" s="3">
        <f>N(N583)*IFERROR(VLOOKUP($C583,Assumptions!$A$4:$F$7,4,FALSE),0)</f>
        <v/>
      </c>
      <c r="AA583" s="3">
        <f>N(T583)*IFERROR(VLOOKUP($C583,Assumptions!$A$4:$F$7,5,FALSE),0)</f>
        <v/>
      </c>
      <c r="AB583" s="3">
        <f>N(U583)</f>
        <v/>
      </c>
      <c r="AC583" s="3">
        <f>SUM(W583:AB583)</f>
        <v/>
      </c>
      <c r="AD583" s="3">
        <f>N(AC583)*N(M583)/90</f>
        <v/>
      </c>
      <c r="AE583" s="3">
        <f>IFERROR(AD583-VLOOKUP($C583,Assumptions!$A$29:$C$32,3,FALSE),"")</f>
        <v/>
      </c>
      <c r="AF583" s="3">
        <f>IFERROR(AE583/F583,"")</f>
        <v/>
      </c>
      <c r="AG583">
        <f>IF(AND($E583=TRUE,$C583="GKP"),AD583,"")</f>
        <v/>
      </c>
      <c r="AH583">
        <f>IF(AND($E583=TRUE,$C583="DEF"),AD583,"")</f>
        <v/>
      </c>
      <c r="AI583">
        <f>IF(AND($E583=TRUE,$C583="MID"),AD583,"")</f>
        <v/>
      </c>
      <c r="AJ583">
        <f>IF(AND($E583=TRUE,$C583="FWD"),AD583,"")</f>
        <v/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b">
        <v>1</v>
      </c>
      <c r="F584" s="2" t="n">
        <v>4</v>
      </c>
      <c r="G584" t="inlineStr">
        <is>
          <t>i</t>
        </is>
      </c>
      <c r="H584" t="inlineStr">
        <is>
          <t>Hamstring injury - Expected back 29 Aug</t>
        </is>
      </c>
      <c r="I584" s="2" t="n"/>
      <c r="K584" s="3" t="n">
        <v>619</v>
      </c>
      <c r="L584" t="inlineStr">
        <is>
          <t>flat</t>
        </is>
      </c>
      <c r="M584" s="4" t="n"/>
      <c r="N584" s="4" t="n"/>
      <c r="O584" s="3" t="n"/>
      <c r="P584" t="inlineStr"/>
      <c r="Q584" s="3" t="n"/>
      <c r="R584" s="3" t="n"/>
      <c r="S584" s="3" t="n"/>
      <c r="T584" s="3" t="n"/>
      <c r="U584" s="3" t="n"/>
      <c r="V584" s="3" t="n"/>
      <c r="W584" s="3">
        <f>IF(V584="",IFERROR(VLOOKUP($C584,Assumptions!$A$4:$F$7,6,FALSE),0),V584)</f>
        <v/>
      </c>
      <c r="X584" s="3">
        <f>N(O584)*IFERROR(VLOOKUP($C584,Assumptions!$A$4:$F$7,2,FALSE),0)</f>
        <v/>
      </c>
      <c r="Y584" s="3">
        <f>N(S584)*IFERROR(VLOOKUP($C584,Assumptions!$A$4:$F$7,3,FALSE),0)*Assumptions!$B$11</f>
        <v/>
      </c>
      <c r="Z584" s="3">
        <f>N(N584)*IFERROR(VLOOKUP($C584,Assumptions!$A$4:$F$7,4,FALSE),0)</f>
        <v/>
      </c>
      <c r="AA584" s="3">
        <f>N(T584)*IFERROR(VLOOKUP($C584,Assumptions!$A$4:$F$7,5,FALSE),0)</f>
        <v/>
      </c>
      <c r="AB584" s="3">
        <f>N(U584)</f>
        <v/>
      </c>
      <c r="AC584" s="3">
        <f>SUM(W584:AB584)</f>
        <v/>
      </c>
      <c r="AD584" s="3">
        <f>N(AC584)*N(M584)/90</f>
        <v/>
      </c>
      <c r="AE584" s="3">
        <f>IFERROR(AD584-VLOOKUP($C584,Assumptions!$A$29:$C$32,3,FALSE),"")</f>
        <v/>
      </c>
      <c r="AF584" s="3">
        <f>IFERROR(AE584/F584,"")</f>
        <v/>
      </c>
      <c r="AG584">
        <f>IF(AND($E584=TRUE,$C584="GKP"),AD584,"")</f>
        <v/>
      </c>
      <c r="AH584">
        <f>IF(AND($E584=TRUE,$C584="DEF"),AD584,"")</f>
        <v/>
      </c>
      <c r="AI584">
        <f>IF(AND($E584=TRUE,$C584="MID"),AD584,"")</f>
        <v/>
      </c>
      <c r="AJ584">
        <f>IF(AND($E584=TRUE,$C584="FWD"),AD584,"")</f>
        <v/>
      </c>
    </row>
    <row r="585">
      <c r="A585" t="inlineStr">
        <is>
          <t>Lyle Foster</t>
        </is>
      </c>
      <c r="D585" t="inlineStr">
        <is>
          <t>FWD</t>
        </is>
      </c>
      <c r="E585" t="b">
        <v>0</v>
      </c>
      <c r="F585" s="2" t="n"/>
      <c r="I585" s="2" t="n">
        <v>1372</v>
      </c>
      <c r="K585" s="3" t="n"/>
      <c r="M585" s="4" t="n">
        <v>1372</v>
      </c>
      <c r="N585" s="4" t="n"/>
      <c r="O585" s="3" t="n">
        <v>0.2373</v>
      </c>
      <c r="P585" t="inlineStr">
        <is>
          <t>adjusted xGOT</t>
        </is>
      </c>
      <c r="Q585" s="3" t="n">
        <v>1.123</v>
      </c>
      <c r="R585" s="3" t="n">
        <v>7.6</v>
      </c>
      <c r="S585" s="3" t="n">
        <v>0.0752</v>
      </c>
      <c r="T585" s="3" t="n">
        <v>0</v>
      </c>
      <c r="U585" s="3" t="n">
        <v>0.2624</v>
      </c>
      <c r="V585" s="3" t="n">
        <v>2.624</v>
      </c>
      <c r="W585" s="3">
        <f>IF(V585="",IFERROR(VLOOKUP($C585,Assumptions!$A$4:$F$7,6,FALSE),0),V585)</f>
        <v/>
      </c>
      <c r="X585" s="3">
        <f>N(O585)*IFERROR(VLOOKUP($C585,Assumptions!$A$4:$F$7,2,FALSE),0)</f>
        <v/>
      </c>
      <c r="Y585" s="3">
        <f>N(S585)*IFERROR(VLOOKUP($C585,Assumptions!$A$4:$F$7,3,FALSE),0)*Assumptions!$B$11</f>
        <v/>
      </c>
      <c r="Z585" s="3">
        <f>N(N585)*IFERROR(VLOOKUP($C585,Assumptions!$A$4:$F$7,4,FALSE),0)</f>
        <v/>
      </c>
      <c r="AA585" s="3">
        <f>N(T585)*IFERROR(VLOOKUP($C585,Assumptions!$A$4:$F$7,5,FALSE),0)</f>
        <v/>
      </c>
      <c r="AB585" s="3">
        <f>N(U585)</f>
        <v/>
      </c>
      <c r="AC585" s="3">
        <f>SUM(W585:AB585)</f>
        <v/>
      </c>
      <c r="AD585" s="3">
        <f>N(AC585)*N(M585)/90</f>
        <v/>
      </c>
      <c r="AE585" s="3">
        <f>IFERROR(AD585-VLOOKUP($C585,Assumptions!$A$29:$C$32,3,FALSE),"")</f>
        <v/>
      </c>
      <c r="AF585" s="3">
        <f>IFERROR(AE585/F585,"")</f>
        <v/>
      </c>
      <c r="AG585">
        <f>IF(AND($E585=TRUE,$C585="GKP"),AD585,"")</f>
        <v/>
      </c>
      <c r="AH585">
        <f>IF(AND($E585=TRUE,$C585="DEF"),AD585,"")</f>
        <v/>
      </c>
      <c r="AI585">
        <f>IF(AND($E585=TRUE,$C585="MID"),AD585,"")</f>
        <v/>
      </c>
      <c r="AJ585">
        <f>IF(AND($E585=TRUE,$C585="FWD"),AD585,"")</f>
        <v/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b">
        <v>1</v>
      </c>
      <c r="F586" s="2" t="n">
        <v>4</v>
      </c>
      <c r="G586" t="inlineStr">
        <is>
          <t>a</t>
        </is>
      </c>
      <c r="I586" s="2" t="n"/>
      <c r="K586" s="3" t="n">
        <v>847</v>
      </c>
      <c r="L586" t="inlineStr">
        <is>
          <t>flat</t>
        </is>
      </c>
      <c r="M586" s="4" t="n"/>
      <c r="N586" s="4" t="n"/>
      <c r="O586" s="3" t="n"/>
      <c r="P586" t="inlineStr"/>
      <c r="Q586" s="3" t="n"/>
      <c r="R586" s="3" t="n"/>
      <c r="S586" s="3" t="n"/>
      <c r="T586" s="3" t="n"/>
      <c r="U586" s="3" t="n"/>
      <c r="V586" s="3" t="n"/>
      <c r="W586" s="3">
        <f>IF(V586="",IFERROR(VLOOKUP($C586,Assumptions!$A$4:$F$7,6,FALSE),0),V586)</f>
        <v/>
      </c>
      <c r="X586" s="3">
        <f>N(O586)*IFERROR(VLOOKUP($C586,Assumptions!$A$4:$F$7,2,FALSE),0)</f>
        <v/>
      </c>
      <c r="Y586" s="3">
        <f>N(S586)*IFERROR(VLOOKUP($C586,Assumptions!$A$4:$F$7,3,FALSE),0)*Assumptions!$B$11</f>
        <v/>
      </c>
      <c r="Z586" s="3">
        <f>N(N586)*IFERROR(VLOOKUP($C586,Assumptions!$A$4:$F$7,4,FALSE),0)</f>
        <v/>
      </c>
      <c r="AA586" s="3">
        <f>N(T586)*IFERROR(VLOOKUP($C586,Assumptions!$A$4:$F$7,5,FALSE),0)</f>
        <v/>
      </c>
      <c r="AB586" s="3">
        <f>N(U586)</f>
        <v/>
      </c>
      <c r="AC586" s="3">
        <f>SUM(W586:AB586)</f>
        <v/>
      </c>
      <c r="AD586" s="3">
        <f>N(AC586)*N(M586)/90</f>
        <v/>
      </c>
      <c r="AE586" s="3">
        <f>IFERROR(AD586-VLOOKUP($C586,Assumptions!$A$29:$C$32,3,FALSE),"")</f>
        <v/>
      </c>
      <c r="AF586" s="3">
        <f>IFERROR(AE586/F586,"")</f>
        <v/>
      </c>
      <c r="AG586">
        <f>IF(AND($E586=TRUE,$C586="GKP"),AD586,"")</f>
        <v/>
      </c>
      <c r="AH586">
        <f>IF(AND($E586=TRUE,$C586="DEF"),AD586,"")</f>
        <v/>
      </c>
      <c r="AI586">
        <f>IF(AND($E586=TRUE,$C586="MID"),AD586,"")</f>
        <v/>
      </c>
      <c r="AJ586">
        <f>IF(AND($E586=TRUE,$C586="FWD"),AD586,"")</f>
        <v/>
      </c>
    </row>
    <row r="587">
      <c r="A587" t="inlineStr">
        <is>
          <t>Mike Trésor</t>
        </is>
      </c>
      <c r="D587" t="inlineStr">
        <is>
          <t>MID</t>
        </is>
      </c>
      <c r="E587" t="b">
        <v>0</v>
      </c>
      <c r="F587" s="2" t="n"/>
      <c r="I587" s="2" t="n">
        <v>37</v>
      </c>
      <c r="K587" s="3" t="n"/>
      <c r="M587" s="4" t="n">
        <v>37</v>
      </c>
      <c r="N587" s="4" t="n"/>
      <c r="O587" s="3" t="n">
        <v>0</v>
      </c>
      <c r="P587" t="inlineStr">
        <is>
          <t>adjusted xGOT</t>
        </is>
      </c>
      <c r="Q587" s="3" t="n">
        <v>0.956</v>
      </c>
      <c r="R587" s="3" t="n">
        <v>0.4</v>
      </c>
      <c r="S587" s="3" t="n">
        <v>0</v>
      </c>
      <c r="T587" s="3" t="n"/>
      <c r="U587" s="3" t="n">
        <v>0</v>
      </c>
      <c r="V587" s="3" t="n">
        <v>14.595</v>
      </c>
      <c r="W587" s="3">
        <f>IF(V587="",IFERROR(VLOOKUP($C587,Assumptions!$A$4:$F$7,6,FALSE),0),V587)</f>
        <v/>
      </c>
      <c r="X587" s="3">
        <f>N(O587)*IFERROR(VLOOKUP($C587,Assumptions!$A$4:$F$7,2,FALSE),0)</f>
        <v/>
      </c>
      <c r="Y587" s="3">
        <f>N(S587)*IFERROR(VLOOKUP($C587,Assumptions!$A$4:$F$7,3,FALSE),0)*Assumptions!$B$11</f>
        <v/>
      </c>
      <c r="Z587" s="3">
        <f>N(N587)*IFERROR(VLOOKUP($C587,Assumptions!$A$4:$F$7,4,FALSE),0)</f>
        <v/>
      </c>
      <c r="AA587" s="3">
        <f>N(T587)*IFERROR(VLOOKUP($C587,Assumptions!$A$4:$F$7,5,FALSE),0)</f>
        <v/>
      </c>
      <c r="AB587" s="3">
        <f>N(U587)</f>
        <v/>
      </c>
      <c r="AC587" s="3">
        <f>SUM(W587:AB587)</f>
        <v/>
      </c>
      <c r="AD587" s="3">
        <f>N(AC587)*N(M587)/90</f>
        <v/>
      </c>
      <c r="AE587" s="3">
        <f>IFERROR(AD587-VLOOKUP($C587,Assumptions!$A$29:$C$32,3,FALSE),"")</f>
        <v/>
      </c>
      <c r="AF587" s="3">
        <f>IFERROR(AE587/F587,"")</f>
        <v/>
      </c>
      <c r="AG587">
        <f>IF(AND($E587=TRUE,$C587="GKP"),AD587,"")</f>
        <v/>
      </c>
      <c r="AH587">
        <f>IF(AND($E587=TRUE,$C587="DEF"),AD587,"")</f>
        <v/>
      </c>
      <c r="AI587">
        <f>IF(AND($E587=TRUE,$C587="MID"),AD587,"")</f>
        <v/>
      </c>
      <c r="AJ587">
        <f>IF(AND($E587=TRUE,$C587="FWD"),AD587,"")</f>
        <v/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b">
        <v>1</v>
      </c>
      <c r="F588" s="2" t="n">
        <v>6.5</v>
      </c>
      <c r="G588" t="inlineStr">
        <is>
          <t>a</t>
        </is>
      </c>
      <c r="I588" s="2" t="n"/>
      <c r="K588" s="3" t="n">
        <v>2155</v>
      </c>
      <c r="L588" t="inlineStr">
        <is>
          <t>flat</t>
        </is>
      </c>
      <c r="M588" s="4" t="n"/>
      <c r="N588" s="4" t="n">
        <v>0.5</v>
      </c>
      <c r="O588" s="3" t="n"/>
      <c r="P588" t="inlineStr"/>
      <c r="Q588" s="3" t="n"/>
      <c r="R588" s="3" t="n"/>
      <c r="S588" s="3" t="n"/>
      <c r="T588" s="3" t="n"/>
      <c r="U588" s="3" t="n"/>
      <c r="V588" s="3" t="n"/>
      <c r="W588" s="3">
        <f>IF(V588="",IFERROR(VLOOKUP($C588,Assumptions!$A$4:$F$7,6,FALSE),0),V588)</f>
        <v/>
      </c>
      <c r="X588" s="3">
        <f>N(O588)*IFERROR(VLOOKUP($C588,Assumptions!$A$4:$F$7,2,FALSE),0)</f>
        <v/>
      </c>
      <c r="Y588" s="3">
        <f>N(S588)*IFERROR(VLOOKUP($C588,Assumptions!$A$4:$F$7,3,FALSE),0)*Assumptions!$B$11</f>
        <v/>
      </c>
      <c r="Z588" s="3">
        <f>N(N588)*IFERROR(VLOOKUP($C588,Assumptions!$A$4:$F$7,4,FALSE),0)</f>
        <v/>
      </c>
      <c r="AA588" s="3">
        <f>N(T588)*IFERROR(VLOOKUP($C588,Assumptions!$A$4:$F$7,5,FALSE),0)</f>
        <v/>
      </c>
      <c r="AB588" s="3">
        <f>N(U588)</f>
        <v/>
      </c>
      <c r="AC588" s="3">
        <f>SUM(W588:AB588)</f>
        <v/>
      </c>
      <c r="AD588" s="3">
        <f>N(AC588)*N(M588)/90</f>
        <v/>
      </c>
      <c r="AE588" s="3">
        <f>IFERROR(AD588-VLOOKUP($C588,Assumptions!$A$29:$C$32,3,FALSE),"")</f>
        <v/>
      </c>
      <c r="AF588" s="3">
        <f>IFERROR(AE588/F588,"")</f>
        <v/>
      </c>
      <c r="AG588">
        <f>IF(AND($E588=TRUE,$C588="GKP"),AD588,"")</f>
        <v/>
      </c>
      <c r="AH588">
        <f>IF(AND($E588=TRUE,$C588="DEF"),AD588,"")</f>
        <v/>
      </c>
      <c r="AI588">
        <f>IF(AND($E588=TRUE,$C588="MID"),AD588,"")</f>
        <v/>
      </c>
      <c r="AJ588">
        <f>IF(AND($E588=TRUE,$C588="FWD"),AD588,"")</f>
        <v/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b">
        <v>1</v>
      </c>
      <c r="F589" s="2" t="n">
        <v>5</v>
      </c>
      <c r="G589" t="inlineStr">
        <is>
          <t>a</t>
        </is>
      </c>
      <c r="I589" s="2" t="n"/>
      <c r="K589" s="3" t="n">
        <v>192</v>
      </c>
      <c r="L589" t="inlineStr">
        <is>
          <t>flat</t>
        </is>
      </c>
      <c r="M589" s="4" t="n"/>
      <c r="N589" s="4" t="n"/>
      <c r="O589" s="3" t="n"/>
      <c r="P589" t="inlineStr"/>
      <c r="Q589" s="3" t="n"/>
      <c r="R589" s="3" t="n"/>
      <c r="S589" s="3" t="n"/>
      <c r="T589" s="3" t="n"/>
      <c r="U589" s="3" t="n"/>
      <c r="V589" s="3" t="n"/>
      <c r="W589" s="3">
        <f>IF(V589="",IFERROR(VLOOKUP($C589,Assumptions!$A$4:$F$7,6,FALSE),0),V589)</f>
        <v/>
      </c>
      <c r="X589" s="3">
        <f>N(O589)*IFERROR(VLOOKUP($C589,Assumptions!$A$4:$F$7,2,FALSE),0)</f>
        <v/>
      </c>
      <c r="Y589" s="3">
        <f>N(S589)*IFERROR(VLOOKUP($C589,Assumptions!$A$4:$F$7,3,FALSE),0)*Assumptions!$B$11</f>
        <v/>
      </c>
      <c r="Z589" s="3">
        <f>N(N589)*IFERROR(VLOOKUP($C589,Assumptions!$A$4:$F$7,4,FALSE),0)</f>
        <v/>
      </c>
      <c r="AA589" s="3">
        <f>N(T589)*IFERROR(VLOOKUP($C589,Assumptions!$A$4:$F$7,5,FALSE),0)</f>
        <v/>
      </c>
      <c r="AB589" s="3">
        <f>N(U589)</f>
        <v/>
      </c>
      <c r="AC589" s="3">
        <f>SUM(W589:AB589)</f>
        <v/>
      </c>
      <c r="AD589" s="3">
        <f>N(AC589)*N(M589)/90</f>
        <v/>
      </c>
      <c r="AE589" s="3">
        <f>IFERROR(AD589-VLOOKUP($C589,Assumptions!$A$29:$C$32,3,FALSE),"")</f>
        <v/>
      </c>
      <c r="AF589" s="3">
        <f>IFERROR(AE589/F589,"")</f>
        <v/>
      </c>
      <c r="AG589">
        <f>IF(AND($E589=TRUE,$C589="GKP"),AD589,"")</f>
        <v/>
      </c>
      <c r="AH589">
        <f>IF(AND($E589=TRUE,$C589="DEF"),AD589,"")</f>
        <v/>
      </c>
      <c r="AI589">
        <f>IF(AND($E589=TRUE,$C589="MID"),AD589,"")</f>
        <v/>
      </c>
      <c r="AJ589">
        <f>IF(AND($E589=TRUE,$C589="FWD"),AD589,"")</f>
        <v/>
      </c>
    </row>
    <row r="590">
      <c r="A590" t="inlineStr">
        <is>
          <t>Armando Broja</t>
        </is>
      </c>
      <c r="D590" t="inlineStr">
        <is>
          <t>FWD</t>
        </is>
      </c>
      <c r="E590" t="b">
        <v>0</v>
      </c>
      <c r="F590" s="2" t="n"/>
      <c r="I590" s="2" t="n">
        <v>849</v>
      </c>
      <c r="K590" s="3" t="n"/>
      <c r="M590" s="4" t="n">
        <v>849</v>
      </c>
      <c r="N590" s="4" t="n"/>
      <c r="O590" s="3" t="n">
        <v>0.228</v>
      </c>
      <c r="P590" t="inlineStr">
        <is>
          <t>adjusted xGOT</t>
        </is>
      </c>
      <c r="Q590" s="3" t="n">
        <v>1.005</v>
      </c>
      <c r="R590" s="3" t="n">
        <v>5.3</v>
      </c>
      <c r="S590" s="3" t="n">
        <v>0.0646</v>
      </c>
      <c r="T590" s="3" t="n">
        <v>0.125</v>
      </c>
      <c r="U590" s="3" t="n">
        <v>0.212</v>
      </c>
      <c r="V590" s="3" t="n">
        <v>3.392</v>
      </c>
      <c r="W590" s="3">
        <f>IF(V590="",IFERROR(VLOOKUP($C590,Assumptions!$A$4:$F$7,6,FALSE),0),V590)</f>
        <v/>
      </c>
      <c r="X590" s="3">
        <f>N(O590)*IFERROR(VLOOKUP($C590,Assumptions!$A$4:$F$7,2,FALSE),0)</f>
        <v/>
      </c>
      <c r="Y590" s="3">
        <f>N(S590)*IFERROR(VLOOKUP($C590,Assumptions!$A$4:$F$7,3,FALSE),0)*Assumptions!$B$11</f>
        <v/>
      </c>
      <c r="Z590" s="3">
        <f>N(N590)*IFERROR(VLOOKUP($C590,Assumptions!$A$4:$F$7,4,FALSE),0)</f>
        <v/>
      </c>
      <c r="AA590" s="3">
        <f>N(T590)*IFERROR(VLOOKUP($C590,Assumptions!$A$4:$F$7,5,FALSE),0)</f>
        <v/>
      </c>
      <c r="AB590" s="3">
        <f>N(U590)</f>
        <v/>
      </c>
      <c r="AC590" s="3">
        <f>SUM(W590:AB590)</f>
        <v/>
      </c>
      <c r="AD590" s="3">
        <f>N(AC590)*N(M590)/90</f>
        <v/>
      </c>
      <c r="AE590" s="3">
        <f>IFERROR(AD590-VLOOKUP($C590,Assumptions!$A$29:$C$32,3,FALSE),"")</f>
        <v/>
      </c>
      <c r="AF590" s="3">
        <f>IFERROR(AE590/F590,"")</f>
        <v/>
      </c>
      <c r="AG590">
        <f>IF(AND($E590=TRUE,$C590="GKP"),AD590,"")</f>
        <v/>
      </c>
      <c r="AH590">
        <f>IF(AND($E590=TRUE,$C590="DEF"),AD590,"")</f>
        <v/>
      </c>
      <c r="AI590">
        <f>IF(AND($E590=TRUE,$C590="MID"),AD590,"")</f>
        <v/>
      </c>
      <c r="AJ590">
        <f>IF(AND($E590=TRUE,$C590="FWD"),AD590,"")</f>
        <v/>
      </c>
    </row>
    <row r="591">
      <c r="A591" t="inlineStr">
        <is>
          <t>Ki-Jana Hoever</t>
        </is>
      </c>
      <c r="D591" t="inlineStr">
        <is>
          <t>DEF</t>
        </is>
      </c>
      <c r="E591" t="b">
        <v>0</v>
      </c>
      <c r="F591" s="2" t="n"/>
      <c r="I591" s="2" t="n">
        <v>428</v>
      </c>
      <c r="K591" s="3" t="n"/>
      <c r="M591" s="4" t="n">
        <v>428</v>
      </c>
      <c r="N591" s="4" t="n"/>
      <c r="O591" s="3" t="n">
        <v>0.0042</v>
      </c>
      <c r="P591" t="inlineStr">
        <is>
          <t>adjusted xGOT</t>
        </is>
      </c>
      <c r="Q591" s="3" t="n">
        <v>0.998</v>
      </c>
      <c r="R591" s="3" t="n">
        <v>0</v>
      </c>
      <c r="S591" s="3" t="n">
        <v>0.0712</v>
      </c>
      <c r="T591" s="3" t="n">
        <v>0.167</v>
      </c>
      <c r="U591" s="3" t="n">
        <v>0</v>
      </c>
      <c r="V591" s="3" t="n">
        <v>2.523</v>
      </c>
      <c r="W591" s="3">
        <f>IF(V591="",IFERROR(VLOOKUP($C591,Assumptions!$A$4:$F$7,6,FALSE),0),V591)</f>
        <v/>
      </c>
      <c r="X591" s="3">
        <f>N(O591)*IFERROR(VLOOKUP($C591,Assumptions!$A$4:$F$7,2,FALSE),0)</f>
        <v/>
      </c>
      <c r="Y591" s="3">
        <f>N(S591)*IFERROR(VLOOKUP($C591,Assumptions!$A$4:$F$7,3,FALSE),0)*Assumptions!$B$11</f>
        <v/>
      </c>
      <c r="Z591" s="3">
        <f>N(N591)*IFERROR(VLOOKUP($C591,Assumptions!$A$4:$F$7,4,FALSE),0)</f>
        <v/>
      </c>
      <c r="AA591" s="3">
        <f>N(T591)*IFERROR(VLOOKUP($C591,Assumptions!$A$4:$F$7,5,FALSE),0)</f>
        <v/>
      </c>
      <c r="AB591" s="3">
        <f>N(U591)</f>
        <v/>
      </c>
      <c r="AC591" s="3">
        <f>SUM(W591:AB591)</f>
        <v/>
      </c>
      <c r="AD591" s="3">
        <f>N(AC591)*N(M591)/90</f>
        <v/>
      </c>
      <c r="AE591" s="3">
        <f>IFERROR(AD591-VLOOKUP($C591,Assumptions!$A$29:$C$32,3,FALSE),"")</f>
        <v/>
      </c>
      <c r="AF591" s="3">
        <f>IFERROR(AE591/F591,"")</f>
        <v/>
      </c>
      <c r="AG591">
        <f>IF(AND($E591=TRUE,$C591="GKP"),AD591,"")</f>
        <v/>
      </c>
      <c r="AH591">
        <f>IF(AND($E591=TRUE,$C591="DEF"),AD591,"")</f>
        <v/>
      </c>
      <c r="AI591">
        <f>IF(AND($E591=TRUE,$C591="MID"),AD591,"")</f>
        <v/>
      </c>
      <c r="AJ591">
        <f>IF(AND($E591=TRUE,$C591="FWD"),AD591,"")</f>
        <v/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b">
        <v>1</v>
      </c>
      <c r="F592" s="2" t="n">
        <v>5.5</v>
      </c>
      <c r="G592" t="inlineStr">
        <is>
          <t>a</t>
        </is>
      </c>
      <c r="I592" s="2" t="n"/>
      <c r="K592" s="3" t="n">
        <v>2502</v>
      </c>
      <c r="L592" t="inlineStr">
        <is>
          <t>flat</t>
        </is>
      </c>
      <c r="M592" s="4" t="n"/>
      <c r="N592" s="4" t="n"/>
      <c r="O592" s="3" t="n"/>
      <c r="P592" t="inlineStr"/>
      <c r="Q592" s="3" t="n"/>
      <c r="R592" s="3" t="n"/>
      <c r="S592" s="3" t="n"/>
      <c r="T592" s="3" t="n"/>
      <c r="U592" s="3" t="n"/>
      <c r="V592" s="3" t="n"/>
      <c r="W592" s="3">
        <f>IF(V592="",IFERROR(VLOOKUP($C592,Assumptions!$A$4:$F$7,6,FALSE),0),V592)</f>
        <v/>
      </c>
      <c r="X592" s="3">
        <f>N(O592)*IFERROR(VLOOKUP($C592,Assumptions!$A$4:$F$7,2,FALSE),0)</f>
        <v/>
      </c>
      <c r="Y592" s="3">
        <f>N(S592)*IFERROR(VLOOKUP($C592,Assumptions!$A$4:$F$7,3,FALSE),0)*Assumptions!$B$11</f>
        <v/>
      </c>
      <c r="Z592" s="3">
        <f>N(N592)*IFERROR(VLOOKUP($C592,Assumptions!$A$4:$F$7,4,FALSE),0)</f>
        <v/>
      </c>
      <c r="AA592" s="3">
        <f>N(T592)*IFERROR(VLOOKUP($C592,Assumptions!$A$4:$F$7,5,FALSE),0)</f>
        <v/>
      </c>
      <c r="AB592" s="3">
        <f>N(U592)</f>
        <v/>
      </c>
      <c r="AC592" s="3">
        <f>SUM(W592:AB592)</f>
        <v/>
      </c>
      <c r="AD592" s="3">
        <f>N(AC592)*N(M592)/90</f>
        <v/>
      </c>
      <c r="AE592" s="3">
        <f>IFERROR(AD592-VLOOKUP($C592,Assumptions!$A$29:$C$32,3,FALSE),"")</f>
        <v/>
      </c>
      <c r="AF592" s="3">
        <f>IFERROR(AE592/F592,"")</f>
        <v/>
      </c>
      <c r="AG592">
        <f>IF(AND($E592=TRUE,$C592="GKP"),AD592,"")</f>
        <v/>
      </c>
      <c r="AH592">
        <f>IF(AND($E592=TRUE,$C592="DEF"),AD592,"")</f>
        <v/>
      </c>
      <c r="AI592">
        <f>IF(AND($E592=TRUE,$C592="MID"),AD592,"")</f>
        <v/>
      </c>
      <c r="AJ592">
        <f>IF(AND($E592=TRUE,$C592="FWD"),AD592,"")</f>
        <v/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b">
        <v>1</v>
      </c>
      <c r="F593" s="2" t="n">
        <v>5.5</v>
      </c>
      <c r="G593" t="inlineStr">
        <is>
          <t>a</t>
        </is>
      </c>
      <c r="I593" s="2" t="n"/>
      <c r="K593" s="3" t="n">
        <v>1060</v>
      </c>
      <c r="L593" t="inlineStr">
        <is>
          <t>flat</t>
        </is>
      </c>
      <c r="M593" s="4" t="n"/>
      <c r="N593" s="4" t="n"/>
      <c r="O593" s="3" t="n"/>
      <c r="P593" t="inlineStr"/>
      <c r="Q593" s="3" t="n"/>
      <c r="R593" s="3" t="n"/>
      <c r="S593" s="3" t="n"/>
      <c r="T593" s="3" t="n"/>
      <c r="U593" s="3" t="n"/>
      <c r="V593" s="3" t="n"/>
      <c r="W593" s="3">
        <f>IF(V593="",IFERROR(VLOOKUP($C593,Assumptions!$A$4:$F$7,6,FALSE),0),V593)</f>
        <v/>
      </c>
      <c r="X593" s="3">
        <f>N(O593)*IFERROR(VLOOKUP($C593,Assumptions!$A$4:$F$7,2,FALSE),0)</f>
        <v/>
      </c>
      <c r="Y593" s="3">
        <f>N(S593)*IFERROR(VLOOKUP($C593,Assumptions!$A$4:$F$7,3,FALSE),0)*Assumptions!$B$11</f>
        <v/>
      </c>
      <c r="Z593" s="3">
        <f>N(N593)*IFERROR(VLOOKUP($C593,Assumptions!$A$4:$F$7,4,FALSE),0)</f>
        <v/>
      </c>
      <c r="AA593" s="3">
        <f>N(T593)*IFERROR(VLOOKUP($C593,Assumptions!$A$4:$F$7,5,FALSE),0)</f>
        <v/>
      </c>
      <c r="AB593" s="3">
        <f>N(U593)</f>
        <v/>
      </c>
      <c r="AC593" s="3">
        <f>SUM(W593:AB593)</f>
        <v/>
      </c>
      <c r="AD593" s="3">
        <f>N(AC593)*N(M593)/90</f>
        <v/>
      </c>
      <c r="AE593" s="3">
        <f>IFERROR(AD593-VLOOKUP($C593,Assumptions!$A$29:$C$32,3,FALSE),"")</f>
        <v/>
      </c>
      <c r="AF593" s="3">
        <f>IFERROR(AE593/F593,"")</f>
        <v/>
      </c>
      <c r="AG593">
        <f>IF(AND($E593=TRUE,$C593="GKP"),AD593,"")</f>
        <v/>
      </c>
      <c r="AH593">
        <f>IF(AND($E593=TRUE,$C593="DEF"),AD593,"")</f>
        <v/>
      </c>
      <c r="AI593">
        <f>IF(AND($E593=TRUE,$C593="MID"),AD593,"")</f>
        <v/>
      </c>
      <c r="AJ593">
        <f>IF(AND($E593=TRUE,$C593="FWD"),AD593,"")</f>
        <v/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b">
        <v>1</v>
      </c>
      <c r="F594" s="2" t="n">
        <v>4</v>
      </c>
      <c r="G594" t="inlineStr">
        <is>
          <t>a</t>
        </is>
      </c>
      <c r="I594" s="2" t="n"/>
      <c r="K594" s="3" t="n">
        <v>0</v>
      </c>
      <c r="L594" t="inlineStr">
        <is>
          <t>flat</t>
        </is>
      </c>
      <c r="M594" s="4" t="n"/>
      <c r="N594" s="4" t="n"/>
      <c r="O594" s="3" t="n"/>
      <c r="P594" t="inlineStr"/>
      <c r="Q594" s="3" t="n"/>
      <c r="R594" s="3" t="n"/>
      <c r="S594" s="3" t="n"/>
      <c r="T594" s="3" t="n">
        <v>0</v>
      </c>
      <c r="U594" s="3" t="n"/>
      <c r="V594" s="3" t="n"/>
      <c r="W594" s="3">
        <f>IF(V594="",IFERROR(VLOOKUP($C594,Assumptions!$A$4:$F$7,6,FALSE),0),V594)</f>
        <v/>
      </c>
      <c r="X594" s="3">
        <f>N(O594)*IFERROR(VLOOKUP($C594,Assumptions!$A$4:$F$7,2,FALSE),0)</f>
        <v/>
      </c>
      <c r="Y594" s="3">
        <f>N(S594)*IFERROR(VLOOKUP($C594,Assumptions!$A$4:$F$7,3,FALSE),0)*Assumptions!$B$11</f>
        <v/>
      </c>
      <c r="Z594" s="3">
        <f>N(N594)*IFERROR(VLOOKUP($C594,Assumptions!$A$4:$F$7,4,FALSE),0)</f>
        <v/>
      </c>
      <c r="AA594" s="3">
        <f>N(T594)*IFERROR(VLOOKUP($C594,Assumptions!$A$4:$F$7,5,FALSE),0)</f>
        <v/>
      </c>
      <c r="AB594" s="3">
        <f>N(U594)</f>
        <v/>
      </c>
      <c r="AC594" s="3">
        <f>SUM(W594:AB594)</f>
        <v/>
      </c>
      <c r="AD594" s="3">
        <f>N(AC594)*N(M594)/90</f>
        <v/>
      </c>
      <c r="AE594" s="3">
        <f>IFERROR(AD594-VLOOKUP($C594,Assumptions!$A$29:$C$32,3,FALSE),"")</f>
        <v/>
      </c>
      <c r="AF594" s="3">
        <f>IFERROR(AE594/F594,"")</f>
        <v/>
      </c>
      <c r="AG594">
        <f>IF(AND($E594=TRUE,$C594="GKP"),AD594,"")</f>
        <v/>
      </c>
      <c r="AH594">
        <f>IF(AND($E594=TRUE,$C594="DEF"),AD594,"")</f>
        <v/>
      </c>
      <c r="AI594">
        <f>IF(AND($E594=TRUE,$C594="MID"),AD594,"")</f>
        <v/>
      </c>
      <c r="AJ594">
        <f>IF(AND($E594=TRUE,$C594="FWD"),AD594,"")</f>
        <v/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b">
        <v>1</v>
      </c>
      <c r="F595" s="2" t="n">
        <v>5</v>
      </c>
      <c r="G595" t="inlineStr">
        <is>
          <t>a</t>
        </is>
      </c>
      <c r="I595" s="2" t="n"/>
      <c r="K595" s="3" t="n">
        <v>2525</v>
      </c>
      <c r="L595" t="inlineStr">
        <is>
          <t>flat</t>
        </is>
      </c>
      <c r="M595" s="4" t="n"/>
      <c r="N595" s="4" t="n"/>
      <c r="O595" s="3" t="n"/>
      <c r="P595" t="inlineStr"/>
      <c r="Q595" s="3" t="n"/>
      <c r="R595" s="3" t="n"/>
      <c r="S595" s="3" t="n"/>
      <c r="T595" s="3" t="n"/>
      <c r="U595" s="3" t="n"/>
      <c r="V595" s="3" t="n"/>
      <c r="W595" s="3">
        <f>IF(V595="",IFERROR(VLOOKUP($C595,Assumptions!$A$4:$F$7,6,FALSE),0),V595)</f>
        <v/>
      </c>
      <c r="X595" s="3">
        <f>N(O595)*IFERROR(VLOOKUP($C595,Assumptions!$A$4:$F$7,2,FALSE),0)</f>
        <v/>
      </c>
      <c r="Y595" s="3">
        <f>N(S595)*IFERROR(VLOOKUP($C595,Assumptions!$A$4:$F$7,3,FALSE),0)*Assumptions!$B$11</f>
        <v/>
      </c>
      <c r="Z595" s="3">
        <f>N(N595)*IFERROR(VLOOKUP($C595,Assumptions!$A$4:$F$7,4,FALSE),0)</f>
        <v/>
      </c>
      <c r="AA595" s="3">
        <f>N(T595)*IFERROR(VLOOKUP($C595,Assumptions!$A$4:$F$7,5,FALSE),0)</f>
        <v/>
      </c>
      <c r="AB595" s="3">
        <f>N(U595)</f>
        <v/>
      </c>
      <c r="AC595" s="3">
        <f>SUM(W595:AB595)</f>
        <v/>
      </c>
      <c r="AD595" s="3">
        <f>N(AC595)*N(M595)/90</f>
        <v/>
      </c>
      <c r="AE595" s="3">
        <f>IFERROR(AD595-VLOOKUP($C595,Assumptions!$A$29:$C$32,3,FALSE),"")</f>
        <v/>
      </c>
      <c r="AF595" s="3">
        <f>IFERROR(AE595/F595,"")</f>
        <v/>
      </c>
      <c r="AG595">
        <f>IF(AND($E595=TRUE,$C595="GKP"),AD595,"")</f>
        <v/>
      </c>
      <c r="AH595">
        <f>IF(AND($E595=TRUE,$C595="DEF"),AD595,"")</f>
        <v/>
      </c>
      <c r="AI595">
        <f>IF(AND($E595=TRUE,$C595="MID"),AD595,"")</f>
        <v/>
      </c>
      <c r="AJ595">
        <f>IF(AND($E595=TRUE,$C595="FWD"),AD595,"")</f>
        <v/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b">
        <v>1</v>
      </c>
      <c r="F596" s="2" t="n">
        <v>5.5</v>
      </c>
      <c r="G596" t="inlineStr">
        <is>
          <t>a</t>
        </is>
      </c>
      <c r="I596" s="2" t="n"/>
      <c r="K596" s="3" t="n">
        <v>1984</v>
      </c>
      <c r="L596" t="inlineStr">
        <is>
          <t>flat</t>
        </is>
      </c>
      <c r="M596" s="4" t="n"/>
      <c r="N596" s="4" t="n">
        <v>0.263</v>
      </c>
      <c r="O596" s="3" t="n"/>
      <c r="P596" t="inlineStr"/>
      <c r="Q596" s="3" t="n"/>
      <c r="R596" s="3" t="n"/>
      <c r="S596" s="3" t="n"/>
      <c r="T596" s="3" t="n"/>
      <c r="U596" s="3" t="n"/>
      <c r="V596" s="3" t="n"/>
      <c r="W596" s="3">
        <f>IF(V596="",IFERROR(VLOOKUP($C596,Assumptions!$A$4:$F$7,6,FALSE),0),V596)</f>
        <v/>
      </c>
      <c r="X596" s="3">
        <f>N(O596)*IFERROR(VLOOKUP($C596,Assumptions!$A$4:$F$7,2,FALSE),0)</f>
        <v/>
      </c>
      <c r="Y596" s="3">
        <f>N(S596)*IFERROR(VLOOKUP($C596,Assumptions!$A$4:$F$7,3,FALSE),0)*Assumptions!$B$11</f>
        <v/>
      </c>
      <c r="Z596" s="3">
        <f>N(N596)*IFERROR(VLOOKUP($C596,Assumptions!$A$4:$F$7,4,FALSE),0)</f>
        <v/>
      </c>
      <c r="AA596" s="3">
        <f>N(T596)*IFERROR(VLOOKUP($C596,Assumptions!$A$4:$F$7,5,FALSE),0)</f>
        <v/>
      </c>
      <c r="AB596" s="3">
        <f>N(U596)</f>
        <v/>
      </c>
      <c r="AC596" s="3">
        <f>SUM(W596:AB596)</f>
        <v/>
      </c>
      <c r="AD596" s="3">
        <f>N(AC596)*N(M596)/90</f>
        <v/>
      </c>
      <c r="AE596" s="3">
        <f>IFERROR(AD596-VLOOKUP($C596,Assumptions!$A$29:$C$32,3,FALSE),"")</f>
        <v/>
      </c>
      <c r="AF596" s="3">
        <f>IFERROR(AE596/F596,"")</f>
        <v/>
      </c>
      <c r="AG596">
        <f>IF(AND($E596=TRUE,$C596="GKP"),AD596,"")</f>
        <v/>
      </c>
      <c r="AH596">
        <f>IF(AND($E596=TRUE,$C596="DEF"),AD596,"")</f>
        <v/>
      </c>
      <c r="AI596">
        <f>IF(AND($E596=TRUE,$C596="MID"),AD596,"")</f>
        <v/>
      </c>
      <c r="AJ596">
        <f>IF(AND($E596=TRUE,$C596="FWD"),AD596,"")</f>
        <v/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b">
        <v>1</v>
      </c>
      <c r="F597" s="2" t="n">
        <v>4</v>
      </c>
      <c r="G597" t="inlineStr">
        <is>
          <t>d</t>
        </is>
      </c>
      <c r="H597" t="inlineStr">
        <is>
          <t>Hip injury - 75% chance of playing</t>
        </is>
      </c>
      <c r="I597" s="2" t="n"/>
      <c r="K597" s="3" t="n">
        <v>38</v>
      </c>
      <c r="L597" t="inlineStr">
        <is>
          <t>flat</t>
        </is>
      </c>
      <c r="M597" s="4" t="n"/>
      <c r="N597" s="4" t="n"/>
      <c r="O597" s="3" t="n"/>
      <c r="P597" t="inlineStr"/>
      <c r="Q597" s="3" t="n"/>
      <c r="R597" s="3" t="n"/>
      <c r="S597" s="3" t="n"/>
      <c r="T597" s="3" t="n"/>
      <c r="U597" s="3" t="n"/>
      <c r="V597" s="3" t="n"/>
      <c r="W597" s="3">
        <f>IF(V597="",IFERROR(VLOOKUP($C597,Assumptions!$A$4:$F$7,6,FALSE),0),V597)</f>
        <v/>
      </c>
      <c r="X597" s="3">
        <f>N(O597)*IFERROR(VLOOKUP($C597,Assumptions!$A$4:$F$7,2,FALSE),0)</f>
        <v/>
      </c>
      <c r="Y597" s="3">
        <f>N(S597)*IFERROR(VLOOKUP($C597,Assumptions!$A$4:$F$7,3,FALSE),0)*Assumptions!$B$11</f>
        <v/>
      </c>
      <c r="Z597" s="3">
        <f>N(N597)*IFERROR(VLOOKUP($C597,Assumptions!$A$4:$F$7,4,FALSE),0)</f>
        <v/>
      </c>
      <c r="AA597" s="3">
        <f>N(T597)*IFERROR(VLOOKUP($C597,Assumptions!$A$4:$F$7,5,FALSE),0)</f>
        <v/>
      </c>
      <c r="AB597" s="3">
        <f>N(U597)</f>
        <v/>
      </c>
      <c r="AC597" s="3">
        <f>SUM(W597:AB597)</f>
        <v/>
      </c>
      <c r="AD597" s="3">
        <f>N(AC597)*N(M597)/90</f>
        <v/>
      </c>
      <c r="AE597" s="3">
        <f>IFERROR(AD597-VLOOKUP($C597,Assumptions!$A$29:$C$32,3,FALSE),"")</f>
        <v/>
      </c>
      <c r="AF597" s="3">
        <f>IFERROR(AE597/F597,"")</f>
        <v/>
      </c>
      <c r="AG597">
        <f>IF(AND($E597=TRUE,$C597="GKP"),AD597,"")</f>
        <v/>
      </c>
      <c r="AH597">
        <f>IF(AND($E597=TRUE,$C597="DEF"),AD597,"")</f>
        <v/>
      </c>
      <c r="AI597">
        <f>IF(AND($E597=TRUE,$C597="MID"),AD597,"")</f>
        <v/>
      </c>
      <c r="AJ597">
        <f>IF(AND($E597=TRUE,$C597="FWD"),AD597,"")</f>
        <v/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b">
        <v>1</v>
      </c>
      <c r="F598" s="2" t="n">
        <v>4</v>
      </c>
      <c r="G598" t="inlineStr">
        <is>
          <t>a</t>
        </is>
      </c>
      <c r="I598" s="2" t="n"/>
      <c r="K598" s="3" t="n">
        <v>1533</v>
      </c>
      <c r="L598" t="inlineStr">
        <is>
          <t>flat</t>
        </is>
      </c>
      <c r="M598" s="4" t="n"/>
      <c r="N598" s="4" t="n"/>
      <c r="O598" s="3" t="n"/>
      <c r="P598" t="inlineStr"/>
      <c r="Q598" s="3" t="n"/>
      <c r="R598" s="3" t="n"/>
      <c r="S598" s="3" t="n"/>
      <c r="T598" s="3" t="n"/>
      <c r="U598" s="3" t="n"/>
      <c r="V598" s="3" t="n"/>
      <c r="W598" s="3">
        <f>IF(V598="",IFERROR(VLOOKUP($C598,Assumptions!$A$4:$F$7,6,FALSE),0),V598)</f>
        <v/>
      </c>
      <c r="X598" s="3">
        <f>N(O598)*IFERROR(VLOOKUP($C598,Assumptions!$A$4:$F$7,2,FALSE),0)</f>
        <v/>
      </c>
      <c r="Y598" s="3">
        <f>N(S598)*IFERROR(VLOOKUP($C598,Assumptions!$A$4:$F$7,3,FALSE),0)*Assumptions!$B$11</f>
        <v/>
      </c>
      <c r="Z598" s="3">
        <f>N(N598)*IFERROR(VLOOKUP($C598,Assumptions!$A$4:$F$7,4,FALSE),0)</f>
        <v/>
      </c>
      <c r="AA598" s="3">
        <f>N(T598)*IFERROR(VLOOKUP($C598,Assumptions!$A$4:$F$7,5,FALSE),0)</f>
        <v/>
      </c>
      <c r="AB598" s="3">
        <f>N(U598)</f>
        <v/>
      </c>
      <c r="AC598" s="3">
        <f>SUM(W598:AB598)</f>
        <v/>
      </c>
      <c r="AD598" s="3">
        <f>N(AC598)*N(M598)/90</f>
        <v/>
      </c>
      <c r="AE598" s="3">
        <f>IFERROR(AD598-VLOOKUP($C598,Assumptions!$A$29:$C$32,3,FALSE),"")</f>
        <v/>
      </c>
      <c r="AF598" s="3">
        <f>IFERROR(AE598/F598,"")</f>
        <v/>
      </c>
      <c r="AG598">
        <f>IF(AND($E598=TRUE,$C598="GKP"),AD598,"")</f>
        <v/>
      </c>
      <c r="AH598">
        <f>IF(AND($E598=TRUE,$C598="DEF"),AD598,"")</f>
        <v/>
      </c>
      <c r="AI598">
        <f>IF(AND($E598=TRUE,$C598="MID"),AD598,"")</f>
        <v/>
      </c>
      <c r="AJ598">
        <f>IF(AND($E598=TRUE,$C598="FWD"),AD598,"")</f>
        <v/>
      </c>
    </row>
    <row r="599">
      <c r="A599" t="inlineStr">
        <is>
          <t>Crysencio Summerville</t>
        </is>
      </c>
      <c r="D599" t="inlineStr">
        <is>
          <t>MID</t>
        </is>
      </c>
      <c r="E599" t="b">
        <v>0</v>
      </c>
      <c r="F599" s="2" t="n"/>
      <c r="I599" s="2" t="n">
        <v>2480</v>
      </c>
      <c r="K599" s="3" t="n"/>
      <c r="M599" s="4" t="n">
        <v>2480</v>
      </c>
      <c r="N599" s="4" t="n"/>
      <c r="O599" s="3" t="n">
        <v>0.2029</v>
      </c>
      <c r="P599" t="inlineStr">
        <is>
          <t>adjusted xGOT</t>
        </is>
      </c>
      <c r="Q599" s="3" t="n">
        <v>1.03</v>
      </c>
      <c r="R599" s="3" t="n">
        <v>9.9</v>
      </c>
      <c r="S599" s="3" t="n">
        <v>0.1174</v>
      </c>
      <c r="T599" s="3" t="n">
        <v>0.207</v>
      </c>
      <c r="U599" s="3" t="n">
        <v>0.3266</v>
      </c>
      <c r="V599" s="3" t="n">
        <v>2.141</v>
      </c>
      <c r="W599" s="3">
        <f>IF(V599="",IFERROR(VLOOKUP($C599,Assumptions!$A$4:$F$7,6,FALSE),0),V599)</f>
        <v/>
      </c>
      <c r="X599" s="3">
        <f>N(O599)*IFERROR(VLOOKUP($C599,Assumptions!$A$4:$F$7,2,FALSE),0)</f>
        <v/>
      </c>
      <c r="Y599" s="3">
        <f>N(S599)*IFERROR(VLOOKUP($C599,Assumptions!$A$4:$F$7,3,FALSE),0)*Assumptions!$B$11</f>
        <v/>
      </c>
      <c r="Z599" s="3">
        <f>N(N599)*IFERROR(VLOOKUP($C599,Assumptions!$A$4:$F$7,4,FALSE),0)</f>
        <v/>
      </c>
      <c r="AA599" s="3">
        <f>N(T599)*IFERROR(VLOOKUP($C599,Assumptions!$A$4:$F$7,5,FALSE),0)</f>
        <v/>
      </c>
      <c r="AB599" s="3">
        <f>N(U599)</f>
        <v/>
      </c>
      <c r="AC599" s="3">
        <f>SUM(W599:AB599)</f>
        <v/>
      </c>
      <c r="AD599" s="3">
        <f>N(AC599)*N(M599)/90</f>
        <v/>
      </c>
      <c r="AE599" s="3">
        <f>IFERROR(AD599-VLOOKUP($C599,Assumptions!$A$29:$C$32,3,FALSE),"")</f>
        <v/>
      </c>
      <c r="AF599" s="3">
        <f>IFERROR(AE599/F599,"")</f>
        <v/>
      </c>
      <c r="AG599">
        <f>IF(AND($E599=TRUE,$C599="GKP"),AD599,"")</f>
        <v/>
      </c>
      <c r="AH599">
        <f>IF(AND($E599=TRUE,$C599="DEF"),AD599,"")</f>
        <v/>
      </c>
      <c r="AI599">
        <f>IF(AND($E599=TRUE,$C599="MID"),AD599,"")</f>
        <v/>
      </c>
      <c r="AJ599">
        <f>IF(AND($E599=TRUE,$C599="FWD"),AD599,"")</f>
        <v/>
      </c>
    </row>
    <row r="600">
      <c r="A600" t="inlineStr">
        <is>
          <t>Myles Peart-Harris</t>
        </is>
      </c>
      <c r="D600" t="inlineStr">
        <is>
          <t>MID</t>
        </is>
      </c>
      <c r="E600" t="b">
        <v>0</v>
      </c>
      <c r="F600" s="2" t="n"/>
      <c r="I600" s="2" t="n">
        <v>1</v>
      </c>
      <c r="K600" s="3" t="n"/>
      <c r="M600" s="4" t="n">
        <v>1</v>
      </c>
      <c r="N600" s="4" t="n"/>
      <c r="O600" s="3" t="n">
        <v>0</v>
      </c>
      <c r="P600" t="inlineStr">
        <is>
          <t>blended xG</t>
        </is>
      </c>
      <c r="Q600" s="3" t="n">
        <v>1</v>
      </c>
      <c r="R600" s="3" t="n">
        <v>0</v>
      </c>
      <c r="S600" s="3" t="n">
        <v>0</v>
      </c>
      <c r="T600" s="3" t="n"/>
      <c r="U600" s="3" t="n">
        <v>0</v>
      </c>
      <c r="V600" s="3" t="n">
        <v>90</v>
      </c>
      <c r="W600" s="3">
        <f>IF(V600="",IFERROR(VLOOKUP($C600,Assumptions!$A$4:$F$7,6,FALSE),0),V600)</f>
        <v/>
      </c>
      <c r="X600" s="3">
        <f>N(O600)*IFERROR(VLOOKUP($C600,Assumptions!$A$4:$F$7,2,FALSE),0)</f>
        <v/>
      </c>
      <c r="Y600" s="3">
        <f>N(S600)*IFERROR(VLOOKUP($C600,Assumptions!$A$4:$F$7,3,FALSE),0)*Assumptions!$B$11</f>
        <v/>
      </c>
      <c r="Z600" s="3">
        <f>N(N600)*IFERROR(VLOOKUP($C600,Assumptions!$A$4:$F$7,4,FALSE),0)</f>
        <v/>
      </c>
      <c r="AA600" s="3">
        <f>N(T600)*IFERROR(VLOOKUP($C600,Assumptions!$A$4:$F$7,5,FALSE),0)</f>
        <v/>
      </c>
      <c r="AB600" s="3">
        <f>N(U600)</f>
        <v/>
      </c>
      <c r="AC600" s="3">
        <f>SUM(W600:AB600)</f>
        <v/>
      </c>
      <c r="AD600" s="3">
        <f>N(AC600)*N(M600)/90</f>
        <v/>
      </c>
      <c r="AE600" s="3">
        <f>IFERROR(AD600-VLOOKUP($C600,Assumptions!$A$29:$C$32,3,FALSE),"")</f>
        <v/>
      </c>
      <c r="AF600" s="3">
        <f>IFERROR(AE600/F600,"")</f>
        <v/>
      </c>
      <c r="AG600">
        <f>IF(AND($E600=TRUE,$C600="GKP"),AD600,"")</f>
        <v/>
      </c>
      <c r="AH600">
        <f>IF(AND($E600=TRUE,$C600="DEF"),AD600,"")</f>
        <v/>
      </c>
      <c r="AI600">
        <f>IF(AND($E600=TRUE,$C600="MID"),AD600,"")</f>
        <v/>
      </c>
      <c r="AJ600">
        <f>IF(AND($E600=TRUE,$C600="FWD"),AD600,"")</f>
        <v/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b">
        <v>1</v>
      </c>
      <c r="F601" s="2" t="n">
        <v>4</v>
      </c>
      <c r="G601" t="inlineStr">
        <is>
          <t>a</t>
        </is>
      </c>
      <c r="I601" s="2" t="n"/>
      <c r="K601" s="3" t="n">
        <v>3342</v>
      </c>
      <c r="L601" t="inlineStr">
        <is>
          <t>flat</t>
        </is>
      </c>
      <c r="M601" s="4" t="n"/>
      <c r="N601" s="4" t="n"/>
      <c r="O601" s="3" t="n"/>
      <c r="P601" t="inlineStr"/>
      <c r="Q601" s="3" t="n"/>
      <c r="R601" s="3" t="n"/>
      <c r="S601" s="3" t="n"/>
      <c r="T601" s="3" t="n"/>
      <c r="U601" s="3" t="n"/>
      <c r="V601" s="3" t="n"/>
      <c r="W601" s="3">
        <f>IF(V601="",IFERROR(VLOOKUP($C601,Assumptions!$A$4:$F$7,6,FALSE),0),V601)</f>
        <v/>
      </c>
      <c r="X601" s="3">
        <f>N(O601)*IFERROR(VLOOKUP($C601,Assumptions!$A$4:$F$7,2,FALSE),0)</f>
        <v/>
      </c>
      <c r="Y601" s="3">
        <f>N(S601)*IFERROR(VLOOKUP($C601,Assumptions!$A$4:$F$7,3,FALSE),0)*Assumptions!$B$11</f>
        <v/>
      </c>
      <c r="Z601" s="3">
        <f>N(N601)*IFERROR(VLOOKUP($C601,Assumptions!$A$4:$F$7,4,FALSE),0)</f>
        <v/>
      </c>
      <c r="AA601" s="3">
        <f>N(T601)*IFERROR(VLOOKUP($C601,Assumptions!$A$4:$F$7,5,FALSE),0)</f>
        <v/>
      </c>
      <c r="AB601" s="3">
        <f>N(U601)</f>
        <v/>
      </c>
      <c r="AC601" s="3">
        <f>SUM(W601:AB601)</f>
        <v/>
      </c>
      <c r="AD601" s="3">
        <f>N(AC601)*N(M601)/90</f>
        <v/>
      </c>
      <c r="AE601" s="3">
        <f>IFERROR(AD601-VLOOKUP($C601,Assumptions!$A$29:$C$32,3,FALSE),"")</f>
        <v/>
      </c>
      <c r="AF601" s="3">
        <f>IFERROR(AE601/F601,"")</f>
        <v/>
      </c>
      <c r="AG601">
        <f>IF(AND($E601=TRUE,$C601="GKP"),AD601,"")</f>
        <v/>
      </c>
      <c r="AH601">
        <f>IF(AND($E601=TRUE,$C601="DEF"),AD601,"")</f>
        <v/>
      </c>
      <c r="AI601">
        <f>IF(AND($E601=TRUE,$C601="MID"),AD601,"")</f>
        <v/>
      </c>
      <c r="AJ601">
        <f>IF(AND($E601=TRUE,$C601="FWD"),AD601,"")</f>
        <v/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b">
        <v>1</v>
      </c>
      <c r="F602" s="2" t="n">
        <v>4.5</v>
      </c>
      <c r="G602" t="inlineStr">
        <is>
          <t>a</t>
        </is>
      </c>
      <c r="I602" s="2" t="n"/>
      <c r="K602" s="3" t="n">
        <v>346</v>
      </c>
      <c r="L602" t="inlineStr">
        <is>
          <t>flat</t>
        </is>
      </c>
      <c r="M602" s="4" t="n"/>
      <c r="N602" s="4" t="n">
        <v>0.263</v>
      </c>
      <c r="O602" s="3" t="n"/>
      <c r="P602" t="inlineStr"/>
      <c r="Q602" s="3" t="n"/>
      <c r="R602" s="3" t="n"/>
      <c r="S602" s="3" t="n"/>
      <c r="T602" s="3" t="n"/>
      <c r="U602" s="3" t="n"/>
      <c r="V602" s="3" t="n"/>
      <c r="W602" s="3">
        <f>IF(V602="",IFERROR(VLOOKUP($C602,Assumptions!$A$4:$F$7,6,FALSE),0),V602)</f>
        <v/>
      </c>
      <c r="X602" s="3">
        <f>N(O602)*IFERROR(VLOOKUP($C602,Assumptions!$A$4:$F$7,2,FALSE),0)</f>
        <v/>
      </c>
      <c r="Y602" s="3">
        <f>N(S602)*IFERROR(VLOOKUP($C602,Assumptions!$A$4:$F$7,3,FALSE),0)*Assumptions!$B$11</f>
        <v/>
      </c>
      <c r="Z602" s="3">
        <f>N(N602)*IFERROR(VLOOKUP($C602,Assumptions!$A$4:$F$7,4,FALSE),0)</f>
        <v/>
      </c>
      <c r="AA602" s="3">
        <f>N(T602)*IFERROR(VLOOKUP($C602,Assumptions!$A$4:$F$7,5,FALSE),0)</f>
        <v/>
      </c>
      <c r="AB602" s="3">
        <f>N(U602)</f>
        <v/>
      </c>
      <c r="AC602" s="3">
        <f>SUM(W602:AB602)</f>
        <v/>
      </c>
      <c r="AD602" s="3">
        <f>N(AC602)*N(M602)/90</f>
        <v/>
      </c>
      <c r="AE602" s="3">
        <f>IFERROR(AD602-VLOOKUP($C602,Assumptions!$A$29:$C$32,3,FALSE),"")</f>
        <v/>
      </c>
      <c r="AF602" s="3">
        <f>IFERROR(AE602/F602,"")</f>
        <v/>
      </c>
      <c r="AG602">
        <f>IF(AND($E602=TRUE,$C602="GKP"),AD602,"")</f>
        <v/>
      </c>
      <c r="AH602">
        <f>IF(AND($E602=TRUE,$C602="DEF"),AD602,"")</f>
        <v/>
      </c>
      <c r="AI602">
        <f>IF(AND($E602=TRUE,$C602="MID"),AD602,"")</f>
        <v/>
      </c>
      <c r="AJ602">
        <f>IF(AND($E602=TRUE,$C602="FWD"),AD602,"")</f>
        <v/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b">
        <v>1</v>
      </c>
      <c r="F603" s="2" t="n">
        <v>5</v>
      </c>
      <c r="G603" t="inlineStr">
        <is>
          <t>a</t>
        </is>
      </c>
      <c r="I603" s="2" t="n"/>
      <c r="K603" s="3" t="n">
        <v>148</v>
      </c>
      <c r="L603" t="inlineStr">
        <is>
          <t>flat</t>
        </is>
      </c>
      <c r="M603" s="4" t="n"/>
      <c r="N603" s="4" t="n">
        <v>0.263</v>
      </c>
      <c r="O603" s="3" t="n"/>
      <c r="P603" t="inlineStr"/>
      <c r="Q603" s="3" t="n"/>
      <c r="R603" s="3" t="n"/>
      <c r="S603" s="3" t="n"/>
      <c r="T603" s="3" t="n"/>
      <c r="U603" s="3" t="n"/>
      <c r="V603" s="3" t="n"/>
      <c r="W603" s="3">
        <f>IF(V603="",IFERROR(VLOOKUP($C603,Assumptions!$A$4:$F$7,6,FALSE),0),V603)</f>
        <v/>
      </c>
      <c r="X603" s="3">
        <f>N(O603)*IFERROR(VLOOKUP($C603,Assumptions!$A$4:$F$7,2,FALSE),0)</f>
        <v/>
      </c>
      <c r="Y603" s="3">
        <f>N(S603)*IFERROR(VLOOKUP($C603,Assumptions!$A$4:$F$7,3,FALSE),0)*Assumptions!$B$11</f>
        <v/>
      </c>
      <c r="Z603" s="3">
        <f>N(N603)*IFERROR(VLOOKUP($C603,Assumptions!$A$4:$F$7,4,FALSE),0)</f>
        <v/>
      </c>
      <c r="AA603" s="3">
        <f>N(T603)*IFERROR(VLOOKUP($C603,Assumptions!$A$4:$F$7,5,FALSE),0)</f>
        <v/>
      </c>
      <c r="AB603" s="3">
        <f>N(U603)</f>
        <v/>
      </c>
      <c r="AC603" s="3">
        <f>SUM(W603:AB603)</f>
        <v/>
      </c>
      <c r="AD603" s="3">
        <f>N(AC603)*N(M603)/90</f>
        <v/>
      </c>
      <c r="AE603" s="3">
        <f>IFERROR(AD603-VLOOKUP($C603,Assumptions!$A$29:$C$32,3,FALSE),"")</f>
        <v/>
      </c>
      <c r="AF603" s="3">
        <f>IFERROR(AE603/F603,"")</f>
        <v/>
      </c>
      <c r="AG603">
        <f>IF(AND($E603=TRUE,$C603="GKP"),AD603,"")</f>
        <v/>
      </c>
      <c r="AH603">
        <f>IF(AND($E603=TRUE,$C603="DEF"),AD603,"")</f>
        <v/>
      </c>
      <c r="AI603">
        <f>IF(AND($E603=TRUE,$C603="MID"),AD603,"")</f>
        <v/>
      </c>
      <c r="AJ603">
        <f>IF(AND($E603=TRUE,$C603="FWD"),AD603,"")</f>
        <v/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b">
        <v>1</v>
      </c>
      <c r="F604" s="2" t="n">
        <v>4</v>
      </c>
      <c r="G604" t="inlineStr">
        <is>
          <t>a</t>
        </is>
      </c>
      <c r="I604" s="2" t="n"/>
      <c r="K604" s="3" t="n">
        <v>3186</v>
      </c>
      <c r="L604" t="inlineStr">
        <is>
          <t>flat</t>
        </is>
      </c>
      <c r="M604" s="4" t="n"/>
      <c r="N604" s="4" t="n"/>
      <c r="O604" s="3" t="n"/>
      <c r="P604" t="inlineStr"/>
      <c r="Q604" s="3" t="n"/>
      <c r="R604" s="3" t="n"/>
      <c r="S604" s="3" t="n"/>
      <c r="T604" s="3" t="n"/>
      <c r="U604" s="3" t="n"/>
      <c r="V604" s="3" t="n"/>
      <c r="W604" s="3">
        <f>IF(V604="",IFERROR(VLOOKUP($C604,Assumptions!$A$4:$F$7,6,FALSE),0),V604)</f>
        <v/>
      </c>
      <c r="X604" s="3">
        <f>N(O604)*IFERROR(VLOOKUP($C604,Assumptions!$A$4:$F$7,2,FALSE),0)</f>
        <v/>
      </c>
      <c r="Y604" s="3">
        <f>N(S604)*IFERROR(VLOOKUP($C604,Assumptions!$A$4:$F$7,3,FALSE),0)*Assumptions!$B$11</f>
        <v/>
      </c>
      <c r="Z604" s="3">
        <f>N(N604)*IFERROR(VLOOKUP($C604,Assumptions!$A$4:$F$7,4,FALSE),0)</f>
        <v/>
      </c>
      <c r="AA604" s="3">
        <f>N(T604)*IFERROR(VLOOKUP($C604,Assumptions!$A$4:$F$7,5,FALSE),0)</f>
        <v/>
      </c>
      <c r="AB604" s="3">
        <f>N(U604)</f>
        <v/>
      </c>
      <c r="AC604" s="3">
        <f>SUM(W604:AB604)</f>
        <v/>
      </c>
      <c r="AD604" s="3">
        <f>N(AC604)*N(M604)/90</f>
        <v/>
      </c>
      <c r="AE604" s="3">
        <f>IFERROR(AD604-VLOOKUP($C604,Assumptions!$A$29:$C$32,3,FALSE),"")</f>
        <v/>
      </c>
      <c r="AF604" s="3">
        <f>IFERROR(AE604/F604,"")</f>
        <v/>
      </c>
      <c r="AG604">
        <f>IF(AND($E604=TRUE,$C604="GKP"),AD604,"")</f>
        <v/>
      </c>
      <c r="AH604">
        <f>IF(AND($E604=TRUE,$C604="DEF"),AD604,"")</f>
        <v/>
      </c>
      <c r="AI604">
        <f>IF(AND($E604=TRUE,$C604="MID"),AD604,"")</f>
        <v/>
      </c>
      <c r="AJ604">
        <f>IF(AND($E604=TRUE,$C604="FWD"),AD604,"")</f>
        <v/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b">
        <v>1</v>
      </c>
      <c r="F605" s="2" t="n">
        <v>4</v>
      </c>
      <c r="G605" t="inlineStr">
        <is>
          <t>a</t>
        </is>
      </c>
      <c r="I605" s="2" t="n"/>
      <c r="K605" s="3" t="n">
        <v>3135</v>
      </c>
      <c r="L605" t="inlineStr">
        <is>
          <t>flat</t>
        </is>
      </c>
      <c r="M605" s="4" t="n"/>
      <c r="N605" s="4" t="n"/>
      <c r="O605" s="3" t="n"/>
      <c r="P605" t="inlineStr"/>
      <c r="Q605" s="3" t="n"/>
      <c r="R605" s="3" t="n"/>
      <c r="S605" s="3" t="n"/>
      <c r="T605" s="3" t="n"/>
      <c r="U605" s="3" t="n"/>
      <c r="V605" s="3" t="n"/>
      <c r="W605" s="3">
        <f>IF(V605="",IFERROR(VLOOKUP($C605,Assumptions!$A$4:$F$7,6,FALSE),0),V605)</f>
        <v/>
      </c>
      <c r="X605" s="3">
        <f>N(O605)*IFERROR(VLOOKUP($C605,Assumptions!$A$4:$F$7,2,FALSE),0)</f>
        <v/>
      </c>
      <c r="Y605" s="3">
        <f>N(S605)*IFERROR(VLOOKUP($C605,Assumptions!$A$4:$F$7,3,FALSE),0)*Assumptions!$B$11</f>
        <v/>
      </c>
      <c r="Z605" s="3">
        <f>N(N605)*IFERROR(VLOOKUP($C605,Assumptions!$A$4:$F$7,4,FALSE),0)</f>
        <v/>
      </c>
      <c r="AA605" s="3">
        <f>N(T605)*IFERROR(VLOOKUP($C605,Assumptions!$A$4:$F$7,5,FALSE),0)</f>
        <v/>
      </c>
      <c r="AB605" s="3">
        <f>N(U605)</f>
        <v/>
      </c>
      <c r="AC605" s="3">
        <f>SUM(W605:AB605)</f>
        <v/>
      </c>
      <c r="AD605" s="3">
        <f>N(AC605)*N(M605)/90</f>
        <v/>
      </c>
      <c r="AE605" s="3">
        <f>IFERROR(AD605-VLOOKUP($C605,Assumptions!$A$29:$C$32,3,FALSE),"")</f>
        <v/>
      </c>
      <c r="AF605" s="3">
        <f>IFERROR(AE605/F605,"")</f>
        <v/>
      </c>
      <c r="AG605">
        <f>IF(AND($E605=TRUE,$C605="GKP"),AD605,"")</f>
        <v/>
      </c>
      <c r="AH605">
        <f>IF(AND($E605=TRUE,$C605="DEF"),AD605,"")</f>
        <v/>
      </c>
      <c r="AI605">
        <f>IF(AND($E605=TRUE,$C605="MID"),AD605,"")</f>
        <v/>
      </c>
      <c r="AJ605">
        <f>IF(AND($E605=TRUE,$C605="FWD"),AD605,"")</f>
        <v/>
      </c>
    </row>
    <row r="606">
      <c r="A606" t="inlineStr">
        <is>
          <t>Bashir Humphreys</t>
        </is>
      </c>
      <c r="D606" t="inlineStr">
        <is>
          <t>DEF</t>
        </is>
      </c>
      <c r="E606" t="b">
        <v>0</v>
      </c>
      <c r="F606" s="2" t="n"/>
      <c r="I606" s="2" t="n">
        <v>1578</v>
      </c>
      <c r="K606" s="3" t="n"/>
      <c r="M606" s="4" t="n">
        <v>1578</v>
      </c>
      <c r="N606" s="4" t="n"/>
      <c r="O606" s="3" t="n">
        <v>0.0245</v>
      </c>
      <c r="P606" t="inlineStr">
        <is>
          <t>adjusted xGOT</t>
        </is>
      </c>
      <c r="Q606" s="3" t="n">
        <v>1.021</v>
      </c>
      <c r="R606" s="3" t="n">
        <v>0.4</v>
      </c>
      <c r="S606" s="3" t="n">
        <v>0.0493</v>
      </c>
      <c r="T606" s="3" t="n">
        <v>0.353</v>
      </c>
      <c r="U606" s="3" t="n">
        <v>0</v>
      </c>
      <c r="V606" s="3" t="n">
        <v>2.167</v>
      </c>
      <c r="W606" s="3">
        <f>IF(V606="",IFERROR(VLOOKUP($C606,Assumptions!$A$4:$F$7,6,FALSE),0),V606)</f>
        <v/>
      </c>
      <c r="X606" s="3">
        <f>N(O606)*IFERROR(VLOOKUP($C606,Assumptions!$A$4:$F$7,2,FALSE),0)</f>
        <v/>
      </c>
      <c r="Y606" s="3">
        <f>N(S606)*IFERROR(VLOOKUP($C606,Assumptions!$A$4:$F$7,3,FALSE),0)*Assumptions!$B$11</f>
        <v/>
      </c>
      <c r="Z606" s="3">
        <f>N(N606)*IFERROR(VLOOKUP($C606,Assumptions!$A$4:$F$7,4,FALSE),0)</f>
        <v/>
      </c>
      <c r="AA606" s="3">
        <f>N(T606)*IFERROR(VLOOKUP($C606,Assumptions!$A$4:$F$7,5,FALSE),0)</f>
        <v/>
      </c>
      <c r="AB606" s="3">
        <f>N(U606)</f>
        <v/>
      </c>
      <c r="AC606" s="3">
        <f>SUM(W606:AB606)</f>
        <v/>
      </c>
      <c r="AD606" s="3">
        <f>N(AC606)*N(M606)/90</f>
        <v/>
      </c>
      <c r="AE606" s="3">
        <f>IFERROR(AD606-VLOOKUP($C606,Assumptions!$A$29:$C$32,3,FALSE),"")</f>
        <v/>
      </c>
      <c r="AF606" s="3">
        <f>IFERROR(AE606/F606,"")</f>
        <v/>
      </c>
      <c r="AG606">
        <f>IF(AND($E606=TRUE,$C606="GKP"),AD606,"")</f>
        <v/>
      </c>
      <c r="AH606">
        <f>IF(AND($E606=TRUE,$C606="DEF"),AD606,"")</f>
        <v/>
      </c>
      <c r="AI606">
        <f>IF(AND($E606=TRUE,$C606="MID"),AD606,"")</f>
        <v/>
      </c>
      <c r="AJ606">
        <f>IF(AND($E606=TRUE,$C606="FWD"),AD606,"")</f>
        <v/>
      </c>
    </row>
    <row r="607">
      <c r="A607" t="inlineStr">
        <is>
          <t>Dennis Cirkin</t>
        </is>
      </c>
      <c r="D607" t="inlineStr">
        <is>
          <t>DEF</t>
        </is>
      </c>
      <c r="E607" t="b">
        <v>0</v>
      </c>
      <c r="F607" s="2" t="n"/>
      <c r="I607" s="2" t="n">
        <v>320</v>
      </c>
      <c r="K607" s="3" t="n"/>
      <c r="M607" s="4" t="n">
        <v>320</v>
      </c>
      <c r="N607" s="4" t="n"/>
      <c r="O607" s="3" t="n">
        <v>0.0222</v>
      </c>
      <c r="P607" t="inlineStr">
        <is>
          <t>adjusted xGOT</t>
        </is>
      </c>
      <c r="Q607" s="3" t="n">
        <v>0.99</v>
      </c>
      <c r="R607" s="3" t="n">
        <v>0.1</v>
      </c>
      <c r="S607" s="3" t="n">
        <v>0</v>
      </c>
      <c r="T607" s="3" t="n">
        <v>0.333</v>
      </c>
      <c r="U607" s="3" t="n">
        <v>0</v>
      </c>
      <c r="V607" s="3" t="n">
        <v>2.812</v>
      </c>
      <c r="W607" s="3">
        <f>IF(V607="",IFERROR(VLOOKUP($C607,Assumptions!$A$4:$F$7,6,FALSE),0),V607)</f>
        <v/>
      </c>
      <c r="X607" s="3">
        <f>N(O607)*IFERROR(VLOOKUP($C607,Assumptions!$A$4:$F$7,2,FALSE),0)</f>
        <v/>
      </c>
      <c r="Y607" s="3">
        <f>N(S607)*IFERROR(VLOOKUP($C607,Assumptions!$A$4:$F$7,3,FALSE),0)*Assumptions!$B$11</f>
        <v/>
      </c>
      <c r="Z607" s="3">
        <f>N(N607)*IFERROR(VLOOKUP($C607,Assumptions!$A$4:$F$7,4,FALSE),0)</f>
        <v/>
      </c>
      <c r="AA607" s="3">
        <f>N(T607)*IFERROR(VLOOKUP($C607,Assumptions!$A$4:$F$7,5,FALSE),0)</f>
        <v/>
      </c>
      <c r="AB607" s="3">
        <f>N(U607)</f>
        <v/>
      </c>
      <c r="AC607" s="3">
        <f>SUM(W607:AB607)</f>
        <v/>
      </c>
      <c r="AD607" s="3">
        <f>N(AC607)*N(M607)/90</f>
        <v/>
      </c>
      <c r="AE607" s="3">
        <f>IFERROR(AD607-VLOOKUP($C607,Assumptions!$A$29:$C$32,3,FALSE),"")</f>
        <v/>
      </c>
      <c r="AF607" s="3">
        <f>IFERROR(AE607/F607,"")</f>
        <v/>
      </c>
      <c r="AG607">
        <f>IF(AND($E607=TRUE,$C607="GKP"),AD607,"")</f>
        <v/>
      </c>
      <c r="AH607">
        <f>IF(AND($E607=TRUE,$C607="DEF"),AD607,"")</f>
        <v/>
      </c>
      <c r="AI607">
        <f>IF(AND($E607=TRUE,$C607="MID"),AD607,"")</f>
        <v/>
      </c>
      <c r="AJ607">
        <f>IF(AND($E607=TRUE,$C607="FWD"),AD607,"")</f>
        <v/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b">
        <v>1</v>
      </c>
      <c r="F608" s="2" t="n">
        <v>4.5</v>
      </c>
      <c r="G608" t="inlineStr">
        <is>
          <t>a</t>
        </is>
      </c>
      <c r="I608" s="2" t="n"/>
      <c r="K608" s="3" t="n">
        <v>0</v>
      </c>
      <c r="L608" t="inlineStr">
        <is>
          <t>flat</t>
        </is>
      </c>
      <c r="M608" s="4" t="n"/>
      <c r="N608" s="4" t="n"/>
      <c r="O608" s="3" t="n"/>
      <c r="P608" t="inlineStr"/>
      <c r="Q608" s="3" t="n"/>
      <c r="R608" s="3" t="n"/>
      <c r="S608" s="3" t="n"/>
      <c r="T608" s="3" t="n"/>
      <c r="U608" s="3" t="n"/>
      <c r="V608" s="3" t="n"/>
      <c r="W608" s="3">
        <f>IF(V608="",IFERROR(VLOOKUP($C608,Assumptions!$A$4:$F$7,6,FALSE),0),V608)</f>
        <v/>
      </c>
      <c r="X608" s="3">
        <f>N(O608)*IFERROR(VLOOKUP($C608,Assumptions!$A$4:$F$7,2,FALSE),0)</f>
        <v/>
      </c>
      <c r="Y608" s="3">
        <f>N(S608)*IFERROR(VLOOKUP($C608,Assumptions!$A$4:$F$7,3,FALSE),0)*Assumptions!$B$11</f>
        <v/>
      </c>
      <c r="Z608" s="3">
        <f>N(N608)*IFERROR(VLOOKUP($C608,Assumptions!$A$4:$F$7,4,FALSE),0)</f>
        <v/>
      </c>
      <c r="AA608" s="3">
        <f>N(T608)*IFERROR(VLOOKUP($C608,Assumptions!$A$4:$F$7,5,FALSE),0)</f>
        <v/>
      </c>
      <c r="AB608" s="3">
        <f>N(U608)</f>
        <v/>
      </c>
      <c r="AC608" s="3">
        <f>SUM(W608:AB608)</f>
        <v/>
      </c>
      <c r="AD608" s="3">
        <f>N(AC608)*N(M608)/90</f>
        <v/>
      </c>
      <c r="AE608" s="3">
        <f>IFERROR(AD608-VLOOKUP($C608,Assumptions!$A$29:$C$32,3,FALSE),"")</f>
        <v/>
      </c>
      <c r="AF608" s="3">
        <f>IFERROR(AE608/F608,"")</f>
        <v/>
      </c>
      <c r="AG608">
        <f>IF(AND($E608=TRUE,$C608="GKP"),AD608,"")</f>
        <v/>
      </c>
      <c r="AH608">
        <f>IF(AND($E608=TRUE,$C608="DEF"),AD608,"")</f>
        <v/>
      </c>
      <c r="AI608">
        <f>IF(AND($E608=TRUE,$C608="MID"),AD608,"")</f>
        <v/>
      </c>
      <c r="AJ608">
        <f>IF(AND($E608=TRUE,$C608="FWD"),AD608,"")</f>
        <v/>
      </c>
    </row>
    <row r="609">
      <c r="A609" t="inlineStr">
        <is>
          <t>Jean-Clair Todibo</t>
        </is>
      </c>
      <c r="D609" t="inlineStr">
        <is>
          <t>DEF</t>
        </is>
      </c>
      <c r="E609" t="b">
        <v>0</v>
      </c>
      <c r="F609" s="2" t="n"/>
      <c r="I609" s="2" t="n">
        <v>1817</v>
      </c>
      <c r="K609" s="3" t="n"/>
      <c r="M609" s="4" t="n">
        <v>1817</v>
      </c>
      <c r="N609" s="4" t="n"/>
      <c r="O609" s="3" t="n">
        <v>0.0115</v>
      </c>
      <c r="P609" t="inlineStr">
        <is>
          <t>adjusted xGOT</t>
        </is>
      </c>
      <c r="Q609" s="3" t="n">
        <v>0.929</v>
      </c>
      <c r="R609" s="3" t="n">
        <v>0.6</v>
      </c>
      <c r="S609" s="3" t="n">
        <v>0.0188</v>
      </c>
      <c r="T609" s="3" t="n">
        <v>0.364</v>
      </c>
      <c r="U609" s="3" t="n">
        <v>0.0495</v>
      </c>
      <c r="V609" s="3" t="n">
        <v>2.08</v>
      </c>
      <c r="W609" s="3">
        <f>IF(V609="",IFERROR(VLOOKUP($C609,Assumptions!$A$4:$F$7,6,FALSE),0),V609)</f>
        <v/>
      </c>
      <c r="X609" s="3">
        <f>N(O609)*IFERROR(VLOOKUP($C609,Assumptions!$A$4:$F$7,2,FALSE),0)</f>
        <v/>
      </c>
      <c r="Y609" s="3">
        <f>N(S609)*IFERROR(VLOOKUP($C609,Assumptions!$A$4:$F$7,3,FALSE),0)*Assumptions!$B$11</f>
        <v/>
      </c>
      <c r="Z609" s="3">
        <f>N(N609)*IFERROR(VLOOKUP($C609,Assumptions!$A$4:$F$7,4,FALSE),0)</f>
        <v/>
      </c>
      <c r="AA609" s="3">
        <f>N(T609)*IFERROR(VLOOKUP($C609,Assumptions!$A$4:$F$7,5,FALSE),0)</f>
        <v/>
      </c>
      <c r="AB609" s="3">
        <f>N(U609)</f>
        <v/>
      </c>
      <c r="AC609" s="3">
        <f>SUM(W609:AB609)</f>
        <v/>
      </c>
      <c r="AD609" s="3">
        <f>N(AC609)*N(M609)/90</f>
        <v/>
      </c>
      <c r="AE609" s="3">
        <f>IFERROR(AD609-VLOOKUP($C609,Assumptions!$A$29:$C$32,3,FALSE),"")</f>
        <v/>
      </c>
      <c r="AF609" s="3">
        <f>IFERROR(AE609/F609,"")</f>
        <v/>
      </c>
      <c r="AG609">
        <f>IF(AND($E609=TRUE,$C609="GKP"),AD609,"")</f>
        <v/>
      </c>
      <c r="AH609">
        <f>IF(AND($E609=TRUE,$C609="DEF"),AD609,"")</f>
        <v/>
      </c>
      <c r="AI609">
        <f>IF(AND($E609=TRUE,$C609="MID"),AD609,"")</f>
        <v/>
      </c>
      <c r="AJ609">
        <f>IF(AND($E609=TRUE,$C609="FWD"),AD609,"")</f>
        <v/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b">
        <v>1</v>
      </c>
      <c r="F610" s="2" t="n">
        <v>5</v>
      </c>
      <c r="G610" t="inlineStr">
        <is>
          <t>a</t>
        </is>
      </c>
      <c r="I610" s="2" t="n"/>
      <c r="K610" s="3" t="n">
        <v>38</v>
      </c>
      <c r="L610" t="inlineStr">
        <is>
          <t>flat</t>
        </is>
      </c>
      <c r="M610" s="4" t="n"/>
      <c r="N610" s="4" t="n"/>
      <c r="O610" s="3" t="n"/>
      <c r="P610" t="inlineStr"/>
      <c r="Q610" s="3" t="n"/>
      <c r="R610" s="3" t="n"/>
      <c r="S610" s="3" t="n"/>
      <c r="T610" s="3" t="n"/>
      <c r="U610" s="3" t="n"/>
      <c r="V610" s="3" t="n"/>
      <c r="W610" s="3">
        <f>IF(V610="",IFERROR(VLOOKUP($C610,Assumptions!$A$4:$F$7,6,FALSE),0),V610)</f>
        <v/>
      </c>
      <c r="X610" s="3">
        <f>N(O610)*IFERROR(VLOOKUP($C610,Assumptions!$A$4:$F$7,2,FALSE),0)</f>
        <v/>
      </c>
      <c r="Y610" s="3">
        <f>N(S610)*IFERROR(VLOOKUP($C610,Assumptions!$A$4:$F$7,3,FALSE),0)*Assumptions!$B$11</f>
        <v/>
      </c>
      <c r="Z610" s="3">
        <f>N(N610)*IFERROR(VLOOKUP($C610,Assumptions!$A$4:$F$7,4,FALSE),0)</f>
        <v/>
      </c>
      <c r="AA610" s="3">
        <f>N(T610)*IFERROR(VLOOKUP($C610,Assumptions!$A$4:$F$7,5,FALSE),0)</f>
        <v/>
      </c>
      <c r="AB610" s="3">
        <f>N(U610)</f>
        <v/>
      </c>
      <c r="AC610" s="3">
        <f>SUM(W610:AB610)</f>
        <v/>
      </c>
      <c r="AD610" s="3">
        <f>N(AC610)*N(M610)/90</f>
        <v/>
      </c>
      <c r="AE610" s="3">
        <f>IFERROR(AD610-VLOOKUP($C610,Assumptions!$A$29:$C$32,3,FALSE),"")</f>
        <v/>
      </c>
      <c r="AF610" s="3">
        <f>IFERROR(AE610/F610,"")</f>
        <v/>
      </c>
      <c r="AG610">
        <f>IF(AND($E610=TRUE,$C610="GKP"),AD610,"")</f>
        <v/>
      </c>
      <c r="AH610">
        <f>IF(AND($E610=TRUE,$C610="DEF"),AD610,"")</f>
        <v/>
      </c>
      <c r="AI610">
        <f>IF(AND($E610=TRUE,$C610="MID"),AD610,"")</f>
        <v/>
      </c>
      <c r="AJ610">
        <f>IF(AND($E610=TRUE,$C610="FWD"),AD610,"")</f>
        <v/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b">
        <v>1</v>
      </c>
      <c r="F611" s="2" t="n">
        <v>5</v>
      </c>
      <c r="G611" t="inlineStr">
        <is>
          <t>a</t>
        </is>
      </c>
      <c r="I611" s="2" t="n"/>
      <c r="K611" s="3" t="n">
        <v>1305</v>
      </c>
      <c r="L611" t="inlineStr">
        <is>
          <t>flat</t>
        </is>
      </c>
      <c r="M611" s="4" t="n"/>
      <c r="N611" s="4" t="n">
        <v>0.237</v>
      </c>
      <c r="O611" s="3" t="n"/>
      <c r="P611" t="inlineStr"/>
      <c r="Q611" s="3" t="n"/>
      <c r="R611" s="3" t="n"/>
      <c r="S611" s="3" t="n"/>
      <c r="T611" s="3" t="n"/>
      <c r="U611" s="3" t="n"/>
      <c r="V611" s="3" t="n"/>
      <c r="W611" s="3">
        <f>IF(V611="",IFERROR(VLOOKUP($C611,Assumptions!$A$4:$F$7,6,FALSE),0),V611)</f>
        <v/>
      </c>
      <c r="X611" s="3">
        <f>N(O611)*IFERROR(VLOOKUP($C611,Assumptions!$A$4:$F$7,2,FALSE),0)</f>
        <v/>
      </c>
      <c r="Y611" s="3">
        <f>N(S611)*IFERROR(VLOOKUP($C611,Assumptions!$A$4:$F$7,3,FALSE),0)*Assumptions!$B$11</f>
        <v/>
      </c>
      <c r="Z611" s="3">
        <f>N(N611)*IFERROR(VLOOKUP($C611,Assumptions!$A$4:$F$7,4,FALSE),0)</f>
        <v/>
      </c>
      <c r="AA611" s="3">
        <f>N(T611)*IFERROR(VLOOKUP($C611,Assumptions!$A$4:$F$7,5,FALSE),0)</f>
        <v/>
      </c>
      <c r="AB611" s="3">
        <f>N(U611)</f>
        <v/>
      </c>
      <c r="AC611" s="3">
        <f>SUM(W611:AB611)</f>
        <v/>
      </c>
      <c r="AD611" s="3">
        <f>N(AC611)*N(M611)/90</f>
        <v/>
      </c>
      <c r="AE611" s="3">
        <f>IFERROR(AD611-VLOOKUP($C611,Assumptions!$A$29:$C$32,3,FALSE),"")</f>
        <v/>
      </c>
      <c r="AF611" s="3">
        <f>IFERROR(AE611/F611,"")</f>
        <v/>
      </c>
      <c r="AG611">
        <f>IF(AND($E611=TRUE,$C611="GKP"),AD611,"")</f>
        <v/>
      </c>
      <c r="AH611">
        <f>IF(AND($E611=TRUE,$C611="DEF"),AD611,"")</f>
        <v/>
      </c>
      <c r="AI611">
        <f>IF(AND($E611=TRUE,$C611="MID"),AD611,"")</f>
        <v/>
      </c>
      <c r="AJ611">
        <f>IF(AND($E611=TRUE,$C611="FWD"),AD611,"")</f>
        <v/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b">
        <v>1</v>
      </c>
      <c r="F612" s="2" t="n">
        <v>4</v>
      </c>
      <c r="G612" t="inlineStr">
        <is>
          <t>a</t>
        </is>
      </c>
      <c r="I612" s="2" t="n"/>
      <c r="K612" s="3" t="n">
        <v>0</v>
      </c>
      <c r="L612" t="inlineStr">
        <is>
          <t>flat</t>
        </is>
      </c>
      <c r="M612" s="4" t="n"/>
      <c r="N612" s="4" t="n">
        <v>0.263</v>
      </c>
      <c r="O612" s="3" t="n"/>
      <c r="P612" t="inlineStr"/>
      <c r="Q612" s="3" t="n"/>
      <c r="R612" s="3" t="n"/>
      <c r="S612" s="3" t="n"/>
      <c r="T612" s="3" t="n">
        <v>0</v>
      </c>
      <c r="U612" s="3" t="n"/>
      <c r="V612" s="3" t="n"/>
      <c r="W612" s="3">
        <f>IF(V612="",IFERROR(VLOOKUP($C612,Assumptions!$A$4:$F$7,6,FALSE),0),V612)</f>
        <v/>
      </c>
      <c r="X612" s="3">
        <f>N(O612)*IFERROR(VLOOKUP($C612,Assumptions!$A$4:$F$7,2,FALSE),0)</f>
        <v/>
      </c>
      <c r="Y612" s="3">
        <f>N(S612)*IFERROR(VLOOKUP($C612,Assumptions!$A$4:$F$7,3,FALSE),0)*Assumptions!$B$11</f>
        <v/>
      </c>
      <c r="Z612" s="3">
        <f>N(N612)*IFERROR(VLOOKUP($C612,Assumptions!$A$4:$F$7,4,FALSE),0)</f>
        <v/>
      </c>
      <c r="AA612" s="3">
        <f>N(T612)*IFERROR(VLOOKUP($C612,Assumptions!$A$4:$F$7,5,FALSE),0)</f>
        <v/>
      </c>
      <c r="AB612" s="3">
        <f>N(U612)</f>
        <v/>
      </c>
      <c r="AC612" s="3">
        <f>SUM(W612:AB612)</f>
        <v/>
      </c>
      <c r="AD612" s="3">
        <f>N(AC612)*N(M612)/90</f>
        <v/>
      </c>
      <c r="AE612" s="3">
        <f>IFERROR(AD612-VLOOKUP($C612,Assumptions!$A$29:$C$32,3,FALSE),"")</f>
        <v/>
      </c>
      <c r="AF612" s="3">
        <f>IFERROR(AE612/F612,"")</f>
        <v/>
      </c>
      <c r="AG612">
        <f>IF(AND($E612=TRUE,$C612="GKP"),AD612,"")</f>
        <v/>
      </c>
      <c r="AH612">
        <f>IF(AND($E612=TRUE,$C612="DEF"),AD612,"")</f>
        <v/>
      </c>
      <c r="AI612">
        <f>IF(AND($E612=TRUE,$C612="MID"),AD612,"")</f>
        <v/>
      </c>
      <c r="AJ612">
        <f>IF(AND($E612=TRUE,$C612="FWD"),AD612,"")</f>
        <v/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b">
        <v>1</v>
      </c>
      <c r="F613" s="2" t="n">
        <v>4</v>
      </c>
      <c r="G613" t="inlineStr">
        <is>
          <t>a</t>
        </is>
      </c>
      <c r="I613" s="2" t="n"/>
      <c r="K613" s="3" t="n">
        <v>253</v>
      </c>
      <c r="L613" t="inlineStr">
        <is>
          <t>flat</t>
        </is>
      </c>
      <c r="M613" s="4" t="n"/>
      <c r="N613" s="4" t="n"/>
      <c r="O613" s="3" t="n"/>
      <c r="P613" t="inlineStr"/>
      <c r="Q613" s="3" t="n"/>
      <c r="R613" s="3" t="n"/>
      <c r="S613" s="3" t="n"/>
      <c r="T613" s="3" t="n"/>
      <c r="U613" s="3" t="n"/>
      <c r="V613" s="3" t="n"/>
      <c r="W613" s="3">
        <f>IF(V613="",IFERROR(VLOOKUP($C613,Assumptions!$A$4:$F$7,6,FALSE),0),V613)</f>
        <v/>
      </c>
      <c r="X613" s="3">
        <f>N(O613)*IFERROR(VLOOKUP($C613,Assumptions!$A$4:$F$7,2,FALSE),0)</f>
        <v/>
      </c>
      <c r="Y613" s="3">
        <f>N(S613)*IFERROR(VLOOKUP($C613,Assumptions!$A$4:$F$7,3,FALSE),0)*Assumptions!$B$11</f>
        <v/>
      </c>
      <c r="Z613" s="3">
        <f>N(N613)*IFERROR(VLOOKUP($C613,Assumptions!$A$4:$F$7,4,FALSE),0)</f>
        <v/>
      </c>
      <c r="AA613" s="3">
        <f>N(T613)*IFERROR(VLOOKUP($C613,Assumptions!$A$4:$F$7,5,FALSE),0)</f>
        <v/>
      </c>
      <c r="AB613" s="3">
        <f>N(U613)</f>
        <v/>
      </c>
      <c r="AC613" s="3">
        <f>SUM(W613:AB613)</f>
        <v/>
      </c>
      <c r="AD613" s="3">
        <f>N(AC613)*N(M613)/90</f>
        <v/>
      </c>
      <c r="AE613" s="3">
        <f>IFERROR(AD613-VLOOKUP($C613,Assumptions!$A$29:$C$32,3,FALSE),"")</f>
        <v/>
      </c>
      <c r="AF613" s="3">
        <f>IFERROR(AE613/F613,"")</f>
        <v/>
      </c>
      <c r="AG613">
        <f>IF(AND($E613=TRUE,$C613="GKP"),AD613,"")</f>
        <v/>
      </c>
      <c r="AH613">
        <f>IF(AND($E613=TRUE,$C613="DEF"),AD613,"")</f>
        <v/>
      </c>
      <c r="AI613">
        <f>IF(AND($E613=TRUE,$C613="MID"),AD613,"")</f>
        <v/>
      </c>
      <c r="AJ613">
        <f>IF(AND($E613=TRUE,$C613="FWD"),AD613,"")</f>
        <v/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b">
        <v>1</v>
      </c>
      <c r="F614" s="2" t="n">
        <v>4.5</v>
      </c>
      <c r="G614" t="inlineStr">
        <is>
          <t>i</t>
        </is>
      </c>
      <c r="H614" t="inlineStr">
        <is>
          <t>Knee injury - Unknown return date</t>
        </is>
      </c>
      <c r="I614" s="2" t="n"/>
      <c r="K614" s="3" t="n">
        <v>0</v>
      </c>
      <c r="L614" t="inlineStr">
        <is>
          <t>flat</t>
        </is>
      </c>
      <c r="M614" s="4" t="n"/>
      <c r="N614" s="4" t="n"/>
      <c r="O614" s="3" t="n"/>
      <c r="P614" t="inlineStr"/>
      <c r="Q614" s="3" t="n"/>
      <c r="R614" s="3" t="n"/>
      <c r="S614" s="3" t="n"/>
      <c r="T614" s="3" t="n"/>
      <c r="U614" s="3" t="n"/>
      <c r="V614" s="3" t="n"/>
      <c r="W614" s="3">
        <f>IF(V614="",IFERROR(VLOOKUP($C614,Assumptions!$A$4:$F$7,6,FALSE),0),V614)</f>
        <v/>
      </c>
      <c r="X614" s="3">
        <f>N(O614)*IFERROR(VLOOKUP($C614,Assumptions!$A$4:$F$7,2,FALSE),0)</f>
        <v/>
      </c>
      <c r="Y614" s="3">
        <f>N(S614)*IFERROR(VLOOKUP($C614,Assumptions!$A$4:$F$7,3,FALSE),0)*Assumptions!$B$11</f>
        <v/>
      </c>
      <c r="Z614" s="3">
        <f>N(N614)*IFERROR(VLOOKUP($C614,Assumptions!$A$4:$F$7,4,FALSE),0)</f>
        <v/>
      </c>
      <c r="AA614" s="3">
        <f>N(T614)*IFERROR(VLOOKUP($C614,Assumptions!$A$4:$F$7,5,FALSE),0)</f>
        <v/>
      </c>
      <c r="AB614" s="3">
        <f>N(U614)</f>
        <v/>
      </c>
      <c r="AC614" s="3">
        <f>SUM(W614:AB614)</f>
        <v/>
      </c>
      <c r="AD614" s="3">
        <f>N(AC614)*N(M614)/90</f>
        <v/>
      </c>
      <c r="AE614" s="3">
        <f>IFERROR(AD614-VLOOKUP($C614,Assumptions!$A$29:$C$32,3,FALSE),"")</f>
        <v/>
      </c>
      <c r="AF614" s="3">
        <f>IFERROR(AE614/F614,"")</f>
        <v/>
      </c>
      <c r="AG614">
        <f>IF(AND($E614=TRUE,$C614="GKP"),AD614,"")</f>
        <v/>
      </c>
      <c r="AH614">
        <f>IF(AND($E614=TRUE,$C614="DEF"),AD614,"")</f>
        <v/>
      </c>
      <c r="AI614">
        <f>IF(AND($E614=TRUE,$C614="MID"),AD614,"")</f>
        <v/>
      </c>
      <c r="AJ614">
        <f>IF(AND($E614=TRUE,$C614="FWD"),AD614,"")</f>
        <v/>
      </c>
    </row>
    <row r="615">
      <c r="A615" t="inlineStr">
        <is>
          <t>Hannibal Mejbri</t>
        </is>
      </c>
      <c r="D615" t="inlineStr">
        <is>
          <t>MID</t>
        </is>
      </c>
      <c r="E615" t="b">
        <v>0</v>
      </c>
      <c r="F615" s="2" t="n"/>
      <c r="I615" s="2" t="n">
        <v>1231</v>
      </c>
      <c r="K615" s="3" t="n"/>
      <c r="M615" s="4" t="n">
        <v>1231</v>
      </c>
      <c r="N615" s="4" t="n"/>
      <c r="O615" s="3" t="n">
        <v>0.06619999999999999</v>
      </c>
      <c r="P615" t="inlineStr">
        <is>
          <t>adjusted xGOT</t>
        </is>
      </c>
      <c r="Q615" s="3" t="n">
        <v>0.996</v>
      </c>
      <c r="R615" s="3" t="n">
        <v>0.9</v>
      </c>
      <c r="S615" s="3" t="n">
        <v>0.2075</v>
      </c>
      <c r="T615" s="3" t="n">
        <v>0.2</v>
      </c>
      <c r="U615" s="3" t="n">
        <v>0.2924</v>
      </c>
      <c r="V615" s="3" t="n">
        <v>2.851</v>
      </c>
      <c r="W615" s="3">
        <f>IF(V615="",IFERROR(VLOOKUP($C615,Assumptions!$A$4:$F$7,6,FALSE),0),V615)</f>
        <v/>
      </c>
      <c r="X615" s="3">
        <f>N(O615)*IFERROR(VLOOKUP($C615,Assumptions!$A$4:$F$7,2,FALSE),0)</f>
        <v/>
      </c>
      <c r="Y615" s="3">
        <f>N(S615)*IFERROR(VLOOKUP($C615,Assumptions!$A$4:$F$7,3,FALSE),0)*Assumptions!$B$11</f>
        <v/>
      </c>
      <c r="Z615" s="3">
        <f>N(N615)*IFERROR(VLOOKUP($C615,Assumptions!$A$4:$F$7,4,FALSE),0)</f>
        <v/>
      </c>
      <c r="AA615" s="3">
        <f>N(T615)*IFERROR(VLOOKUP($C615,Assumptions!$A$4:$F$7,5,FALSE),0)</f>
        <v/>
      </c>
      <c r="AB615" s="3">
        <f>N(U615)</f>
        <v/>
      </c>
      <c r="AC615" s="3">
        <f>SUM(W615:AB615)</f>
        <v/>
      </c>
      <c r="AD615" s="3">
        <f>N(AC615)*N(M615)/90</f>
        <v/>
      </c>
      <c r="AE615" s="3">
        <f>IFERROR(AD615-VLOOKUP($C615,Assumptions!$A$29:$C$32,3,FALSE),"")</f>
        <v/>
      </c>
      <c r="AF615" s="3">
        <f>IFERROR(AE615/F615,"")</f>
        <v/>
      </c>
      <c r="AG615">
        <f>IF(AND($E615=TRUE,$C615="GKP"),AD615,"")</f>
        <v/>
      </c>
      <c r="AH615">
        <f>IF(AND($E615=TRUE,$C615="DEF"),AD615,"")</f>
        <v/>
      </c>
      <c r="AI615">
        <f>IF(AND($E615=TRUE,$C615="MID"),AD615,"")</f>
        <v/>
      </c>
      <c r="AJ615">
        <f>IF(AND($E615=TRUE,$C615="FWD"),AD615,"")</f>
        <v/>
      </c>
    </row>
    <row r="616">
      <c r="A616" t="inlineStr">
        <is>
          <t>Mads Hermansen</t>
        </is>
      </c>
      <c r="D616" t="inlineStr">
        <is>
          <t>GKP</t>
        </is>
      </c>
      <c r="E616" t="b">
        <v>0</v>
      </c>
      <c r="F616" s="2" t="n"/>
      <c r="I616" s="2" t="n">
        <v>1620</v>
      </c>
      <c r="K616" s="3" t="n"/>
      <c r="M616" s="4" t="n">
        <v>1620</v>
      </c>
      <c r="N616" s="4" t="n"/>
      <c r="O616" s="3" t="n">
        <v>0</v>
      </c>
      <c r="P616" t="inlineStr">
        <is>
          <t>blended xG</t>
        </is>
      </c>
      <c r="Q616" s="3" t="n">
        <v>1</v>
      </c>
      <c r="R616" s="3" t="n">
        <v>0</v>
      </c>
      <c r="S616" s="3" t="n">
        <v>0.0021</v>
      </c>
      <c r="T616" s="3" t="n">
        <v>0</v>
      </c>
      <c r="U616" s="3" t="n">
        <v>0.4444</v>
      </c>
      <c r="V616" s="3" t="n">
        <v>2</v>
      </c>
      <c r="W616" s="3">
        <f>IF(V616="",IFERROR(VLOOKUP($C616,Assumptions!$A$4:$F$7,6,FALSE),0),V616)</f>
        <v/>
      </c>
      <c r="X616" s="3">
        <f>N(O616)*IFERROR(VLOOKUP($C616,Assumptions!$A$4:$F$7,2,FALSE),0)</f>
        <v/>
      </c>
      <c r="Y616" s="3">
        <f>N(S616)*IFERROR(VLOOKUP($C616,Assumptions!$A$4:$F$7,3,FALSE),0)*Assumptions!$B$11</f>
        <v/>
      </c>
      <c r="Z616" s="3">
        <f>N(N616)*IFERROR(VLOOKUP($C616,Assumptions!$A$4:$F$7,4,FALSE),0)</f>
        <v/>
      </c>
      <c r="AA616" s="3">
        <f>N(T616)*IFERROR(VLOOKUP($C616,Assumptions!$A$4:$F$7,5,FALSE),0)</f>
        <v/>
      </c>
      <c r="AB616" s="3">
        <f>N(U616)</f>
        <v/>
      </c>
      <c r="AC616" s="3">
        <f>SUM(W616:AB616)</f>
        <v/>
      </c>
      <c r="AD616" s="3">
        <f>N(AC616)*N(M616)/90</f>
        <v/>
      </c>
      <c r="AE616" s="3">
        <f>IFERROR(AD616-VLOOKUP($C616,Assumptions!$A$29:$C$32,3,FALSE),"")</f>
        <v/>
      </c>
      <c r="AF616" s="3">
        <f>IFERROR(AE616/F616,"")</f>
        <v/>
      </c>
      <c r="AG616">
        <f>IF(AND($E616=TRUE,$C616="GKP"),AD616,"")</f>
        <v/>
      </c>
      <c r="AH616">
        <f>IF(AND($E616=TRUE,$C616="DEF"),AD616,"")</f>
        <v/>
      </c>
      <c r="AI616">
        <f>IF(AND($E616=TRUE,$C616="MID"),AD616,"")</f>
        <v/>
      </c>
      <c r="AJ616">
        <f>IF(AND($E616=TRUE,$C616="FWD"),AD616,"")</f>
        <v/>
      </c>
    </row>
    <row r="617">
      <c r="A617" t="inlineStr">
        <is>
          <t>Lorenzo Lucca</t>
        </is>
      </c>
      <c r="D617" t="inlineStr">
        <is>
          <t>FWD</t>
        </is>
      </c>
      <c r="E617" t="b">
        <v>0</v>
      </c>
      <c r="F617" s="2" t="n"/>
      <c r="I617" s="2" t="n">
        <v>127</v>
      </c>
      <c r="K617" s="3" t="n"/>
      <c r="M617" s="4" t="n">
        <v>127</v>
      </c>
      <c r="N617" s="4" t="n"/>
      <c r="O617" s="3" t="n">
        <v>0.5223</v>
      </c>
      <c r="P617" t="inlineStr">
        <is>
          <t>adjusted xGOT</t>
        </is>
      </c>
      <c r="Q617" s="3" t="n">
        <v>0.9330000000000001</v>
      </c>
      <c r="R617" s="3" t="n">
        <v>0.8</v>
      </c>
      <c r="S617" s="3" t="n">
        <v>0.026</v>
      </c>
      <c r="T617" s="3" t="n">
        <v>0</v>
      </c>
      <c r="U617" s="3" t="n">
        <v>0</v>
      </c>
      <c r="V617" s="3" t="n">
        <v>3.543</v>
      </c>
      <c r="W617" s="3">
        <f>IF(V617="",IFERROR(VLOOKUP($C617,Assumptions!$A$4:$F$7,6,FALSE),0),V617)</f>
        <v/>
      </c>
      <c r="X617" s="3">
        <f>N(O617)*IFERROR(VLOOKUP($C617,Assumptions!$A$4:$F$7,2,FALSE),0)</f>
        <v/>
      </c>
      <c r="Y617" s="3">
        <f>N(S617)*IFERROR(VLOOKUP($C617,Assumptions!$A$4:$F$7,3,FALSE),0)*Assumptions!$B$11</f>
        <v/>
      </c>
      <c r="Z617" s="3">
        <f>N(N617)*IFERROR(VLOOKUP($C617,Assumptions!$A$4:$F$7,4,FALSE),0)</f>
        <v/>
      </c>
      <c r="AA617" s="3">
        <f>N(T617)*IFERROR(VLOOKUP($C617,Assumptions!$A$4:$F$7,5,FALSE),0)</f>
        <v/>
      </c>
      <c r="AB617" s="3">
        <f>N(U617)</f>
        <v/>
      </c>
      <c r="AC617" s="3">
        <f>SUM(W617:AB617)</f>
        <v/>
      </c>
      <c r="AD617" s="3">
        <f>N(AC617)*N(M617)/90</f>
        <v/>
      </c>
      <c r="AE617" s="3">
        <f>IFERROR(AD617-VLOOKUP($C617,Assumptions!$A$29:$C$32,3,FALSE),"")</f>
        <v/>
      </c>
      <c r="AF617" s="3">
        <f>IFERROR(AE617/F617,"")</f>
        <v/>
      </c>
      <c r="AG617">
        <f>IF(AND($E617=TRUE,$C617="GKP"),AD617,"")</f>
        <v/>
      </c>
      <c r="AH617">
        <f>IF(AND($E617=TRUE,$C617="DEF"),AD617,"")</f>
        <v/>
      </c>
      <c r="AI617">
        <f>IF(AND($E617=TRUE,$C617="MID"),AD617,"")</f>
        <v/>
      </c>
      <c r="AJ617">
        <f>IF(AND($E617=TRUE,$C617="FWD"),AD617,"")</f>
        <v/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b">
        <v>1</v>
      </c>
      <c r="F618" s="2" t="n">
        <v>5</v>
      </c>
      <c r="G618" t="inlineStr">
        <is>
          <t>a</t>
        </is>
      </c>
      <c r="I618" s="2" t="n"/>
      <c r="K618" s="3" t="n">
        <v>3374</v>
      </c>
      <c r="L618" t="inlineStr">
        <is>
          <t>flat</t>
        </is>
      </c>
      <c r="M618" s="4" t="n"/>
      <c r="N618" s="4" t="n">
        <v>0.21</v>
      </c>
      <c r="O618" s="3" t="n"/>
      <c r="P618" t="inlineStr"/>
      <c r="Q618" s="3" t="n"/>
      <c r="R618" s="3" t="n"/>
      <c r="S618" s="3" t="n"/>
      <c r="T618" s="3" t="n">
        <v>0</v>
      </c>
      <c r="U618" s="3" t="n"/>
      <c r="V618" s="3" t="n"/>
      <c r="W618" s="3">
        <f>IF(V618="",IFERROR(VLOOKUP($C618,Assumptions!$A$4:$F$7,6,FALSE),0),V618)</f>
        <v/>
      </c>
      <c r="X618" s="3">
        <f>N(O618)*IFERROR(VLOOKUP($C618,Assumptions!$A$4:$F$7,2,FALSE),0)</f>
        <v/>
      </c>
      <c r="Y618" s="3">
        <f>N(S618)*IFERROR(VLOOKUP($C618,Assumptions!$A$4:$F$7,3,FALSE),0)*Assumptions!$B$11</f>
        <v/>
      </c>
      <c r="Z618" s="3">
        <f>N(N618)*IFERROR(VLOOKUP($C618,Assumptions!$A$4:$F$7,4,FALSE),0)</f>
        <v/>
      </c>
      <c r="AA618" s="3">
        <f>N(T618)*IFERROR(VLOOKUP($C618,Assumptions!$A$4:$F$7,5,FALSE),0)</f>
        <v/>
      </c>
      <c r="AB618" s="3">
        <f>N(U618)</f>
        <v/>
      </c>
      <c r="AC618" s="3">
        <f>SUM(W618:AB618)</f>
        <v/>
      </c>
      <c r="AD618" s="3">
        <f>N(AC618)*N(M618)/90</f>
        <v/>
      </c>
      <c r="AE618" s="3">
        <f>IFERROR(AD618-VLOOKUP($C618,Assumptions!$A$29:$C$32,3,FALSE),"")</f>
        <v/>
      </c>
      <c r="AF618" s="3">
        <f>IFERROR(AE618/F618,"")</f>
        <v/>
      </c>
      <c r="AG618">
        <f>IF(AND($E618=TRUE,$C618="GKP"),AD618,"")</f>
        <v/>
      </c>
      <c r="AH618">
        <f>IF(AND($E618=TRUE,$C618="DEF"),AD618,"")</f>
        <v/>
      </c>
      <c r="AI618">
        <f>IF(AND($E618=TRUE,$C618="MID"),AD618,"")</f>
        <v/>
      </c>
      <c r="AJ618">
        <f>IF(AND($E618=TRUE,$C618="FWD"),AD618,"")</f>
        <v/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b">
        <v>1</v>
      </c>
      <c r="F619" s="2" t="n">
        <v>4.5</v>
      </c>
      <c r="G619" t="inlineStr">
        <is>
          <t>a</t>
        </is>
      </c>
      <c r="I619" s="2" t="n"/>
      <c r="K619" s="3" t="n">
        <v>3385</v>
      </c>
      <c r="L619" t="inlineStr">
        <is>
          <t>flat</t>
        </is>
      </c>
      <c r="M619" s="4" t="n"/>
      <c r="N619" s="4" t="n"/>
      <c r="O619" s="3" t="n"/>
      <c r="P619" t="inlineStr"/>
      <c r="Q619" s="3" t="n"/>
      <c r="R619" s="3" t="n"/>
      <c r="S619" s="3" t="n"/>
      <c r="T619" s="3" t="n">
        <v>0</v>
      </c>
      <c r="U619" s="3" t="n"/>
      <c r="V619" s="3" t="n"/>
      <c r="W619" s="3">
        <f>IF(V619="",IFERROR(VLOOKUP($C619,Assumptions!$A$4:$F$7,6,FALSE),0),V619)</f>
        <v/>
      </c>
      <c r="X619" s="3">
        <f>N(O619)*IFERROR(VLOOKUP($C619,Assumptions!$A$4:$F$7,2,FALSE),0)</f>
        <v/>
      </c>
      <c r="Y619" s="3">
        <f>N(S619)*IFERROR(VLOOKUP($C619,Assumptions!$A$4:$F$7,3,FALSE),0)*Assumptions!$B$11</f>
        <v/>
      </c>
      <c r="Z619" s="3">
        <f>N(N619)*IFERROR(VLOOKUP($C619,Assumptions!$A$4:$F$7,4,FALSE),0)</f>
        <v/>
      </c>
      <c r="AA619" s="3">
        <f>N(T619)*IFERROR(VLOOKUP($C619,Assumptions!$A$4:$F$7,5,FALSE),0)</f>
        <v/>
      </c>
      <c r="AB619" s="3">
        <f>N(U619)</f>
        <v/>
      </c>
      <c r="AC619" s="3">
        <f>SUM(W619:AB619)</f>
        <v/>
      </c>
      <c r="AD619" s="3">
        <f>N(AC619)*N(M619)/90</f>
        <v/>
      </c>
      <c r="AE619" s="3">
        <f>IFERROR(AD619-VLOOKUP($C619,Assumptions!$A$29:$C$32,3,FALSE),"")</f>
        <v/>
      </c>
      <c r="AF619" s="3">
        <f>IFERROR(AE619/F619,"")</f>
        <v/>
      </c>
      <c r="AG619">
        <f>IF(AND($E619=TRUE,$C619="GKP"),AD619,"")</f>
        <v/>
      </c>
      <c r="AH619">
        <f>IF(AND($E619=TRUE,$C619="DEF"),AD619,"")</f>
        <v/>
      </c>
      <c r="AI619">
        <f>IF(AND($E619=TRUE,$C619="MID"),AD619,"")</f>
        <v/>
      </c>
      <c r="AJ619">
        <f>IF(AND($E619=TRUE,$C619="FWD"),AD619,"")</f>
        <v/>
      </c>
    </row>
    <row r="620">
      <c r="A620" t="inlineStr">
        <is>
          <t>Maxime Estève</t>
        </is>
      </c>
      <c r="D620" t="inlineStr">
        <is>
          <t>DEF</t>
        </is>
      </c>
      <c r="E620" t="b">
        <v>0</v>
      </c>
      <c r="F620" s="2" t="n"/>
      <c r="I620" s="2" t="n">
        <v>2937</v>
      </c>
      <c r="K620" s="3" t="n"/>
      <c r="M620" s="4" t="n">
        <v>2937</v>
      </c>
      <c r="N620" s="4" t="n"/>
      <c r="O620" s="3" t="n">
        <v>0.0201</v>
      </c>
      <c r="P620" t="inlineStr">
        <is>
          <t>adjusted xGOT</t>
        </is>
      </c>
      <c r="Q620" s="3" t="n">
        <v>0.9</v>
      </c>
      <c r="R620" s="3" t="n">
        <v>1</v>
      </c>
      <c r="S620" s="3" t="n">
        <v>0.0215</v>
      </c>
      <c r="T620" s="3" t="n">
        <v>0.5590000000000001</v>
      </c>
      <c r="U620" s="3" t="n">
        <v>0</v>
      </c>
      <c r="V620" s="3" t="n">
        <v>2.053</v>
      </c>
      <c r="W620" s="3">
        <f>IF(V620="",IFERROR(VLOOKUP($C620,Assumptions!$A$4:$F$7,6,FALSE),0),V620)</f>
        <v/>
      </c>
      <c r="X620" s="3">
        <f>N(O620)*IFERROR(VLOOKUP($C620,Assumptions!$A$4:$F$7,2,FALSE),0)</f>
        <v/>
      </c>
      <c r="Y620" s="3">
        <f>N(S620)*IFERROR(VLOOKUP($C620,Assumptions!$A$4:$F$7,3,FALSE),0)*Assumptions!$B$11</f>
        <v/>
      </c>
      <c r="Z620" s="3">
        <f>N(N620)*IFERROR(VLOOKUP($C620,Assumptions!$A$4:$F$7,4,FALSE),0)</f>
        <v/>
      </c>
      <c r="AA620" s="3">
        <f>N(T620)*IFERROR(VLOOKUP($C620,Assumptions!$A$4:$F$7,5,FALSE),0)</f>
        <v/>
      </c>
      <c r="AB620" s="3">
        <f>N(U620)</f>
        <v/>
      </c>
      <c r="AC620" s="3">
        <f>SUM(W620:AB620)</f>
        <v/>
      </c>
      <c r="AD620" s="3">
        <f>N(AC620)*N(M620)/90</f>
        <v/>
      </c>
      <c r="AE620" s="3">
        <f>IFERROR(AD620-VLOOKUP($C620,Assumptions!$A$29:$C$32,3,FALSE),"")</f>
        <v/>
      </c>
      <c r="AF620" s="3">
        <f>IFERROR(AE620/F620,"")</f>
        <v/>
      </c>
      <c r="AG620">
        <f>IF(AND($E620=TRUE,$C620="GKP"),AD620,"")</f>
        <v/>
      </c>
      <c r="AH620">
        <f>IF(AND($E620=TRUE,$C620="DEF"),AD620,"")</f>
        <v/>
      </c>
      <c r="AI620">
        <f>IF(AND($E620=TRUE,$C620="MID"),AD620,"")</f>
        <v/>
      </c>
      <c r="AJ620">
        <f>IF(AND($E620=TRUE,$C620="FWD"),AD620,"")</f>
        <v/>
      </c>
    </row>
    <row r="621">
      <c r="A621" t="inlineStr">
        <is>
          <t>Hjalmar Ekdal</t>
        </is>
      </c>
      <c r="D621" t="inlineStr">
        <is>
          <t>DEF</t>
        </is>
      </c>
      <c r="E621" t="b">
        <v>0</v>
      </c>
      <c r="F621" s="2" t="n"/>
      <c r="I621" s="2" t="n">
        <v>1539</v>
      </c>
      <c r="K621" s="3" t="n"/>
      <c r="M621" s="4" t="n">
        <v>1539</v>
      </c>
      <c r="N621" s="4" t="n"/>
      <c r="O621" s="3" t="n">
        <v>0.0143</v>
      </c>
      <c r="P621" t="inlineStr">
        <is>
          <t>adjusted xGOT</t>
        </is>
      </c>
      <c r="Q621" s="3" t="n">
        <v>0.975</v>
      </c>
      <c r="R621" s="3" t="n">
        <v>0.3</v>
      </c>
      <c r="S621" s="3" t="n">
        <v>0.0098</v>
      </c>
      <c r="T621" s="3" t="n">
        <v>0.529</v>
      </c>
      <c r="U621" s="3" t="n">
        <v>0.117</v>
      </c>
      <c r="V621" s="3" t="n">
        <v>2.105</v>
      </c>
      <c r="W621" s="3">
        <f>IF(V621="",IFERROR(VLOOKUP($C621,Assumptions!$A$4:$F$7,6,FALSE),0),V621)</f>
        <v/>
      </c>
      <c r="X621" s="3">
        <f>N(O621)*IFERROR(VLOOKUP($C621,Assumptions!$A$4:$F$7,2,FALSE),0)</f>
        <v/>
      </c>
      <c r="Y621" s="3">
        <f>N(S621)*IFERROR(VLOOKUP($C621,Assumptions!$A$4:$F$7,3,FALSE),0)*Assumptions!$B$11</f>
        <v/>
      </c>
      <c r="Z621" s="3">
        <f>N(N621)*IFERROR(VLOOKUP($C621,Assumptions!$A$4:$F$7,4,FALSE),0)</f>
        <v/>
      </c>
      <c r="AA621" s="3">
        <f>N(T621)*IFERROR(VLOOKUP($C621,Assumptions!$A$4:$F$7,5,FALSE),0)</f>
        <v/>
      </c>
      <c r="AB621" s="3">
        <f>N(U621)</f>
        <v/>
      </c>
      <c r="AC621" s="3">
        <f>SUM(W621:AB621)</f>
        <v/>
      </c>
      <c r="AD621" s="3">
        <f>N(AC621)*N(M621)/90</f>
        <v/>
      </c>
      <c r="AE621" s="3">
        <f>IFERROR(AD621-VLOOKUP($C621,Assumptions!$A$29:$C$32,3,FALSE),"")</f>
        <v/>
      </c>
      <c r="AF621" s="3">
        <f>IFERROR(AE621/F621,"")</f>
        <v/>
      </c>
      <c r="AG621">
        <f>IF(AND($E621=TRUE,$C621="GKP"),AD621,"")</f>
        <v/>
      </c>
      <c r="AH621">
        <f>IF(AND($E621=TRUE,$C621="DEF"),AD621,"")</f>
        <v/>
      </c>
      <c r="AI621">
        <f>IF(AND($E621=TRUE,$C621="MID"),AD621,"")</f>
        <v/>
      </c>
      <c r="AJ621">
        <f>IF(AND($E621=TRUE,$C621="FWD"),AD621,"")</f>
        <v/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b">
        <v>1</v>
      </c>
      <c r="F622" s="2" t="n">
        <v>5</v>
      </c>
      <c r="G622" t="inlineStr">
        <is>
          <t>d</t>
        </is>
      </c>
      <c r="H622" t="inlineStr">
        <is>
          <t>Shoulder injury - 75% chance of playing</t>
        </is>
      </c>
      <c r="I622" s="2" t="n"/>
      <c r="K622" s="3" t="n">
        <v>948</v>
      </c>
      <c r="L622" t="inlineStr">
        <is>
          <t>flat</t>
        </is>
      </c>
      <c r="M622" s="4" t="n"/>
      <c r="N622" s="4" t="n"/>
      <c r="O622" s="3" t="n"/>
      <c r="P622" t="inlineStr"/>
      <c r="Q622" s="3" t="n"/>
      <c r="R622" s="3" t="n"/>
      <c r="S622" s="3" t="n"/>
      <c r="T622" s="3" t="n"/>
      <c r="U622" s="3" t="n"/>
      <c r="V622" s="3" t="n"/>
      <c r="W622" s="3">
        <f>IF(V622="",IFERROR(VLOOKUP($C622,Assumptions!$A$4:$F$7,6,FALSE),0),V622)</f>
        <v/>
      </c>
      <c r="X622" s="3">
        <f>N(O622)*IFERROR(VLOOKUP($C622,Assumptions!$A$4:$F$7,2,FALSE),0)</f>
        <v/>
      </c>
      <c r="Y622" s="3">
        <f>N(S622)*IFERROR(VLOOKUP($C622,Assumptions!$A$4:$F$7,3,FALSE),0)*Assumptions!$B$11</f>
        <v/>
      </c>
      <c r="Z622" s="3">
        <f>N(N622)*IFERROR(VLOOKUP($C622,Assumptions!$A$4:$F$7,4,FALSE),0)</f>
        <v/>
      </c>
      <c r="AA622" s="3">
        <f>N(T622)*IFERROR(VLOOKUP($C622,Assumptions!$A$4:$F$7,5,FALSE),0)</f>
        <v/>
      </c>
      <c r="AB622" s="3">
        <f>N(U622)</f>
        <v/>
      </c>
      <c r="AC622" s="3">
        <f>SUM(W622:AB622)</f>
        <v/>
      </c>
      <c r="AD622" s="3">
        <f>N(AC622)*N(M622)/90</f>
        <v/>
      </c>
      <c r="AE622" s="3">
        <f>IFERROR(AD622-VLOOKUP($C622,Assumptions!$A$29:$C$32,3,FALSE),"")</f>
        <v/>
      </c>
      <c r="AF622" s="3">
        <f>IFERROR(AE622/F622,"")</f>
        <v/>
      </c>
      <c r="AG622">
        <f>IF(AND($E622=TRUE,$C622="GKP"),AD622,"")</f>
        <v/>
      </c>
      <c r="AH622">
        <f>IF(AND($E622=TRUE,$C622="DEF"),AD622,"")</f>
        <v/>
      </c>
      <c r="AI622">
        <f>IF(AND($E622=TRUE,$C622="MID"),AD622,"")</f>
        <v/>
      </c>
      <c r="AJ622">
        <f>IF(AND($E622=TRUE,$C622="FWD"),AD622,"")</f>
        <v/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b">
        <v>1</v>
      </c>
      <c r="F623" s="2" t="n">
        <v>5.5</v>
      </c>
      <c r="G623" t="inlineStr">
        <is>
          <t>a</t>
        </is>
      </c>
      <c r="I623" s="2" t="n"/>
      <c r="K623" s="3" t="n">
        <v>958</v>
      </c>
      <c r="L623" t="inlineStr">
        <is>
          <t>flat</t>
        </is>
      </c>
      <c r="M623" s="4" t="n"/>
      <c r="N623" s="4" t="n"/>
      <c r="O623" s="3" t="n"/>
      <c r="P623" t="inlineStr"/>
      <c r="Q623" s="3" t="n"/>
      <c r="R623" s="3" t="n"/>
      <c r="S623" s="3" t="n"/>
      <c r="T623" s="3" t="n"/>
      <c r="U623" s="3" t="n"/>
      <c r="V623" s="3" t="n"/>
      <c r="W623" s="3">
        <f>IF(V623="",IFERROR(VLOOKUP($C623,Assumptions!$A$4:$F$7,6,FALSE),0),V623)</f>
        <v/>
      </c>
      <c r="X623" s="3">
        <f>N(O623)*IFERROR(VLOOKUP($C623,Assumptions!$A$4:$F$7,2,FALSE),0)</f>
        <v/>
      </c>
      <c r="Y623" s="3">
        <f>N(S623)*IFERROR(VLOOKUP($C623,Assumptions!$A$4:$F$7,3,FALSE),0)*Assumptions!$B$11</f>
        <v/>
      </c>
      <c r="Z623" s="3">
        <f>N(N623)*IFERROR(VLOOKUP($C623,Assumptions!$A$4:$F$7,4,FALSE),0)</f>
        <v/>
      </c>
      <c r="AA623" s="3">
        <f>N(T623)*IFERROR(VLOOKUP($C623,Assumptions!$A$4:$F$7,5,FALSE),0)</f>
        <v/>
      </c>
      <c r="AB623" s="3">
        <f>N(U623)</f>
        <v/>
      </c>
      <c r="AC623" s="3">
        <f>SUM(W623:AB623)</f>
        <v/>
      </c>
      <c r="AD623" s="3">
        <f>N(AC623)*N(M623)/90</f>
        <v/>
      </c>
      <c r="AE623" s="3">
        <f>IFERROR(AD623-VLOOKUP($C623,Assumptions!$A$29:$C$32,3,FALSE),"")</f>
        <v/>
      </c>
      <c r="AF623" s="3">
        <f>IFERROR(AE623/F623,"")</f>
        <v/>
      </c>
      <c r="AG623">
        <f>IF(AND($E623=TRUE,$C623="GKP"),AD623,"")</f>
        <v/>
      </c>
      <c r="AH623">
        <f>IF(AND($E623=TRUE,$C623="DEF"),AD623,"")</f>
        <v/>
      </c>
      <c r="AI623">
        <f>IF(AND($E623=TRUE,$C623="MID"),AD623,"")</f>
        <v/>
      </c>
      <c r="AJ623">
        <f>IF(AND($E623=TRUE,$C623="FWD"),AD623,"")</f>
        <v/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b">
        <v>1</v>
      </c>
      <c r="F624" s="2" t="n">
        <v>5</v>
      </c>
      <c r="G624" t="inlineStr">
        <is>
          <t>a</t>
        </is>
      </c>
      <c r="I624" s="2" t="n"/>
      <c r="K624" s="3" t="n">
        <v>3175</v>
      </c>
      <c r="L624" t="inlineStr">
        <is>
          <t>flat</t>
        </is>
      </c>
      <c r="M624" s="4" t="n"/>
      <c r="N624" s="4" t="n">
        <v>0.29</v>
      </c>
      <c r="O624" s="3" t="n"/>
      <c r="P624" t="inlineStr"/>
      <c r="Q624" s="3" t="n"/>
      <c r="R624" s="3" t="n"/>
      <c r="S624" s="3" t="n"/>
      <c r="T624" s="3" t="n"/>
      <c r="U624" s="3" t="n"/>
      <c r="V624" s="3" t="n"/>
      <c r="W624" s="3">
        <f>IF(V624="",IFERROR(VLOOKUP($C624,Assumptions!$A$4:$F$7,6,FALSE),0),V624)</f>
        <v/>
      </c>
      <c r="X624" s="3">
        <f>N(O624)*IFERROR(VLOOKUP($C624,Assumptions!$A$4:$F$7,2,FALSE),0)</f>
        <v/>
      </c>
      <c r="Y624" s="3">
        <f>N(S624)*IFERROR(VLOOKUP($C624,Assumptions!$A$4:$F$7,3,FALSE),0)*Assumptions!$B$11</f>
        <v/>
      </c>
      <c r="Z624" s="3">
        <f>N(N624)*IFERROR(VLOOKUP($C624,Assumptions!$A$4:$F$7,4,FALSE),0)</f>
        <v/>
      </c>
      <c r="AA624" s="3">
        <f>N(T624)*IFERROR(VLOOKUP($C624,Assumptions!$A$4:$F$7,5,FALSE),0)</f>
        <v/>
      </c>
      <c r="AB624" s="3">
        <f>N(U624)</f>
        <v/>
      </c>
      <c r="AC624" s="3">
        <f>SUM(W624:AB624)</f>
        <v/>
      </c>
      <c r="AD624" s="3">
        <f>N(AC624)*N(M624)/90</f>
        <v/>
      </c>
      <c r="AE624" s="3">
        <f>IFERROR(AD624-VLOOKUP($C624,Assumptions!$A$29:$C$32,3,FALSE),"")</f>
        <v/>
      </c>
      <c r="AF624" s="3">
        <f>IFERROR(AE624/F624,"")</f>
        <v/>
      </c>
      <c r="AG624">
        <f>IF(AND($E624=TRUE,$C624="GKP"),AD624,"")</f>
        <v/>
      </c>
      <c r="AH624">
        <f>IF(AND($E624=TRUE,$C624="DEF"),AD624,"")</f>
        <v/>
      </c>
      <c r="AI624">
        <f>IF(AND($E624=TRUE,$C624="MID"),AD624,"")</f>
        <v/>
      </c>
      <c r="AJ624">
        <f>IF(AND($E624=TRUE,$C624="FWD"),AD624,"")</f>
        <v/>
      </c>
    </row>
    <row r="625">
      <c r="A625" t="inlineStr">
        <is>
          <t>Rodrigo Gomes</t>
        </is>
      </c>
      <c r="D625" t="inlineStr">
        <is>
          <t>DEF</t>
        </is>
      </c>
      <c r="E625" t="b">
        <v>0</v>
      </c>
      <c r="F625" s="2" t="n"/>
      <c r="I625" s="2" t="n">
        <v>960</v>
      </c>
      <c r="K625" s="3" t="n"/>
      <c r="M625" s="4" t="n">
        <v>960</v>
      </c>
      <c r="N625" s="4" t="n"/>
      <c r="O625" s="3" t="n">
        <v>0.1877</v>
      </c>
      <c r="P625" t="inlineStr">
        <is>
          <t>adjusted xGOT</t>
        </is>
      </c>
      <c r="Q625" s="3" t="n">
        <v>0.9399999999999999</v>
      </c>
      <c r="R625" s="3" t="n">
        <v>2.8</v>
      </c>
      <c r="S625" s="3" t="n">
        <v>0.0142</v>
      </c>
      <c r="T625" s="3" t="n">
        <v>0</v>
      </c>
      <c r="U625" s="3" t="n">
        <v>0</v>
      </c>
      <c r="V625" s="3" t="n">
        <v>2.719</v>
      </c>
      <c r="W625" s="3">
        <f>IF(V625="",IFERROR(VLOOKUP($C625,Assumptions!$A$4:$F$7,6,FALSE),0),V625)</f>
        <v/>
      </c>
      <c r="X625" s="3">
        <f>N(O625)*IFERROR(VLOOKUP($C625,Assumptions!$A$4:$F$7,2,FALSE),0)</f>
        <v/>
      </c>
      <c r="Y625" s="3">
        <f>N(S625)*IFERROR(VLOOKUP($C625,Assumptions!$A$4:$F$7,3,FALSE),0)*Assumptions!$B$11</f>
        <v/>
      </c>
      <c r="Z625" s="3">
        <f>N(N625)*IFERROR(VLOOKUP($C625,Assumptions!$A$4:$F$7,4,FALSE),0)</f>
        <v/>
      </c>
      <c r="AA625" s="3">
        <f>N(T625)*IFERROR(VLOOKUP($C625,Assumptions!$A$4:$F$7,5,FALSE),0)</f>
        <v/>
      </c>
      <c r="AB625" s="3">
        <f>N(U625)</f>
        <v/>
      </c>
      <c r="AC625" s="3">
        <f>SUM(W625:AB625)</f>
        <v/>
      </c>
      <c r="AD625" s="3">
        <f>N(AC625)*N(M625)/90</f>
        <v/>
      </c>
      <c r="AE625" s="3">
        <f>IFERROR(AD625-VLOOKUP($C625,Assumptions!$A$29:$C$32,3,FALSE),"")</f>
        <v/>
      </c>
      <c r="AF625" s="3">
        <f>IFERROR(AE625/F625,"")</f>
        <v/>
      </c>
      <c r="AG625">
        <f>IF(AND($E625=TRUE,$C625="GKP"),AD625,"")</f>
        <v/>
      </c>
      <c r="AH625">
        <f>IF(AND($E625=TRUE,$C625="DEF"),AD625,"")</f>
        <v/>
      </c>
      <c r="AI625">
        <f>IF(AND($E625=TRUE,$C625="MID"),AD625,"")</f>
        <v/>
      </c>
      <c r="AJ625">
        <f>IF(AND($E625=TRUE,$C625="FWD"),AD625,"")</f>
        <v/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b">
        <v>1</v>
      </c>
      <c r="F626" s="2" t="n">
        <v>4</v>
      </c>
      <c r="G626" t="inlineStr">
        <is>
          <t>a</t>
        </is>
      </c>
      <c r="I626" s="2" t="n"/>
      <c r="K626" s="3" t="n">
        <v>0</v>
      </c>
      <c r="L626" t="inlineStr">
        <is>
          <t>flat</t>
        </is>
      </c>
      <c r="M626" s="4" t="n"/>
      <c r="N626" s="4" t="n"/>
      <c r="O626" s="3" t="n"/>
      <c r="P626" t="inlineStr"/>
      <c r="Q626" s="3" t="n"/>
      <c r="R626" s="3" t="n"/>
      <c r="S626" s="3" t="n"/>
      <c r="T626" s="3" t="n">
        <v>0</v>
      </c>
      <c r="U626" s="3" t="n"/>
      <c r="V626" s="3" t="n"/>
      <c r="W626" s="3">
        <f>IF(V626="",IFERROR(VLOOKUP($C626,Assumptions!$A$4:$F$7,6,FALSE),0),V626)</f>
        <v/>
      </c>
      <c r="X626" s="3">
        <f>N(O626)*IFERROR(VLOOKUP($C626,Assumptions!$A$4:$F$7,2,FALSE),0)</f>
        <v/>
      </c>
      <c r="Y626" s="3">
        <f>N(S626)*IFERROR(VLOOKUP($C626,Assumptions!$A$4:$F$7,3,FALSE),0)*Assumptions!$B$11</f>
        <v/>
      </c>
      <c r="Z626" s="3">
        <f>N(N626)*IFERROR(VLOOKUP($C626,Assumptions!$A$4:$F$7,4,FALSE),0)</f>
        <v/>
      </c>
      <c r="AA626" s="3">
        <f>N(T626)*IFERROR(VLOOKUP($C626,Assumptions!$A$4:$F$7,5,FALSE),0)</f>
        <v/>
      </c>
      <c r="AB626" s="3">
        <f>N(U626)</f>
        <v/>
      </c>
      <c r="AC626" s="3">
        <f>SUM(W626:AB626)</f>
        <v/>
      </c>
      <c r="AD626" s="3">
        <f>N(AC626)*N(M626)/90</f>
        <v/>
      </c>
      <c r="AE626" s="3">
        <f>IFERROR(AD626-VLOOKUP($C626,Assumptions!$A$29:$C$32,3,FALSE),"")</f>
        <v/>
      </c>
      <c r="AF626" s="3">
        <f>IFERROR(AE626/F626,"")</f>
        <v/>
      </c>
      <c r="AG626">
        <f>IF(AND($E626=TRUE,$C626="GKP"),AD626,"")</f>
        <v/>
      </c>
      <c r="AH626">
        <f>IF(AND($E626=TRUE,$C626="DEF"),AD626,"")</f>
        <v/>
      </c>
      <c r="AI626">
        <f>IF(AND($E626=TRUE,$C626="MID"),AD626,"")</f>
        <v/>
      </c>
      <c r="AJ626">
        <f>IF(AND($E626=TRUE,$C626="FWD"),AD626,"")</f>
        <v/>
      </c>
    </row>
    <row r="627">
      <c r="A627" t="inlineStr">
        <is>
          <t>Tolu Arokodare</t>
        </is>
      </c>
      <c r="D627" t="inlineStr">
        <is>
          <t>FWD</t>
        </is>
      </c>
      <c r="E627" t="b">
        <v>0</v>
      </c>
      <c r="F627" s="2" t="n"/>
      <c r="I627" s="2" t="n">
        <v>1407</v>
      </c>
      <c r="K627" s="3" t="n"/>
      <c r="M627" s="4" t="n">
        <v>1407</v>
      </c>
      <c r="N627" s="4" t="n"/>
      <c r="O627" s="3" t="n">
        <v>0.3124</v>
      </c>
      <c r="P627" t="inlineStr">
        <is>
          <t>adjusted xGOT</t>
        </is>
      </c>
      <c r="Q627" s="3" t="n">
        <v>0.89</v>
      </c>
      <c r="R627" s="3" t="n">
        <v>5.5</v>
      </c>
      <c r="S627" s="3" t="n">
        <v>0.0742</v>
      </c>
      <c r="T627" s="3" t="n">
        <v>0.077</v>
      </c>
      <c r="U627" s="3" t="n">
        <v>0.3198</v>
      </c>
      <c r="V627" s="3" t="n">
        <v>3.006</v>
      </c>
      <c r="W627" s="3">
        <f>IF(V627="",IFERROR(VLOOKUP($C627,Assumptions!$A$4:$F$7,6,FALSE),0),V627)</f>
        <v/>
      </c>
      <c r="X627" s="3">
        <f>N(O627)*IFERROR(VLOOKUP($C627,Assumptions!$A$4:$F$7,2,FALSE),0)</f>
        <v/>
      </c>
      <c r="Y627" s="3">
        <f>N(S627)*IFERROR(VLOOKUP($C627,Assumptions!$A$4:$F$7,3,FALSE),0)*Assumptions!$B$11</f>
        <v/>
      </c>
      <c r="Z627" s="3">
        <f>N(N627)*IFERROR(VLOOKUP($C627,Assumptions!$A$4:$F$7,4,FALSE),0)</f>
        <v/>
      </c>
      <c r="AA627" s="3">
        <f>N(T627)*IFERROR(VLOOKUP($C627,Assumptions!$A$4:$F$7,5,FALSE),0)</f>
        <v/>
      </c>
      <c r="AB627" s="3">
        <f>N(U627)</f>
        <v/>
      </c>
      <c r="AC627" s="3">
        <f>SUM(W627:AB627)</f>
        <v/>
      </c>
      <c r="AD627" s="3">
        <f>N(AC627)*N(M627)/90</f>
        <v/>
      </c>
      <c r="AE627" s="3">
        <f>IFERROR(AD627-VLOOKUP($C627,Assumptions!$A$29:$C$32,3,FALSE),"")</f>
        <v/>
      </c>
      <c r="AF627" s="3">
        <f>IFERROR(AE627/F627,"")</f>
        <v/>
      </c>
      <c r="AG627">
        <f>IF(AND($E627=TRUE,$C627="GKP"),AD627,"")</f>
        <v/>
      </c>
      <c r="AH627">
        <f>IF(AND($E627=TRUE,$C627="DEF"),AD627,"")</f>
        <v/>
      </c>
      <c r="AI627">
        <f>IF(AND($E627=TRUE,$C627="MID"),AD627,"")</f>
        <v/>
      </c>
      <c r="AJ627">
        <f>IF(AND($E627=TRUE,$C627="FWD"),AD627,"")</f>
        <v/>
      </c>
    </row>
    <row r="628">
      <c r="A628" t="inlineStr">
        <is>
          <t>Freddie Potts</t>
        </is>
      </c>
      <c r="D628" t="inlineStr">
        <is>
          <t>MID</t>
        </is>
      </c>
      <c r="E628" t="b">
        <v>0</v>
      </c>
      <c r="F628" s="2" t="n"/>
      <c r="I628" s="2" t="n">
        <v>1167</v>
      </c>
      <c r="K628" s="3" t="n"/>
      <c r="M628" s="4" t="n">
        <v>1167</v>
      </c>
      <c r="N628" s="4" t="n"/>
      <c r="O628" s="3" t="n">
        <v>0.0167</v>
      </c>
      <c r="P628" t="inlineStr">
        <is>
          <t>adjusted xGOT</t>
        </is>
      </c>
      <c r="Q628" s="3" t="n">
        <v>1.035</v>
      </c>
      <c r="R628" s="3" t="n">
        <v>0.2</v>
      </c>
      <c r="S628" s="3" t="n">
        <v>0.0931</v>
      </c>
      <c r="T628" s="3" t="n">
        <v>0.333</v>
      </c>
      <c r="U628" s="3" t="n">
        <v>0</v>
      </c>
      <c r="V628" s="3" t="n">
        <v>2.468</v>
      </c>
      <c r="W628" s="3">
        <f>IF(V628="",IFERROR(VLOOKUP($C628,Assumptions!$A$4:$F$7,6,FALSE),0),V628)</f>
        <v/>
      </c>
      <c r="X628" s="3">
        <f>N(O628)*IFERROR(VLOOKUP($C628,Assumptions!$A$4:$F$7,2,FALSE),0)</f>
        <v/>
      </c>
      <c r="Y628" s="3">
        <f>N(S628)*IFERROR(VLOOKUP($C628,Assumptions!$A$4:$F$7,3,FALSE),0)*Assumptions!$B$11</f>
        <v/>
      </c>
      <c r="Z628" s="3">
        <f>N(N628)*IFERROR(VLOOKUP($C628,Assumptions!$A$4:$F$7,4,FALSE),0)</f>
        <v/>
      </c>
      <c r="AA628" s="3">
        <f>N(T628)*IFERROR(VLOOKUP($C628,Assumptions!$A$4:$F$7,5,FALSE),0)</f>
        <v/>
      </c>
      <c r="AB628" s="3">
        <f>N(U628)</f>
        <v/>
      </c>
      <c r="AC628" s="3">
        <f>SUM(W628:AB628)</f>
        <v/>
      </c>
      <c r="AD628" s="3">
        <f>N(AC628)*N(M628)/90</f>
        <v/>
      </c>
      <c r="AE628" s="3">
        <f>IFERROR(AD628-VLOOKUP($C628,Assumptions!$A$29:$C$32,3,FALSE),"")</f>
        <v/>
      </c>
      <c r="AF628" s="3">
        <f>IFERROR(AE628/F628,"")</f>
        <v/>
      </c>
      <c r="AG628">
        <f>IF(AND($E628=TRUE,$C628="GKP"),AD628,"")</f>
        <v/>
      </c>
      <c r="AH628">
        <f>IF(AND($E628=TRUE,$C628="DEF"),AD628,"")</f>
        <v/>
      </c>
      <c r="AI628">
        <f>IF(AND($E628=TRUE,$C628="MID"),AD628,"")</f>
        <v/>
      </c>
      <c r="AJ628">
        <f>IF(AND($E628=TRUE,$C628="FWD"),AD628,"")</f>
        <v/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b">
        <v>1</v>
      </c>
      <c r="F629" s="2" t="n">
        <v>5</v>
      </c>
      <c r="G629" t="inlineStr">
        <is>
          <t>u</t>
        </is>
      </c>
      <c r="H629" t="inlineStr">
        <is>
          <t>Has joined Portsmouth permanently</t>
        </is>
      </c>
      <c r="I629" s="2" t="n"/>
      <c r="K629" s="3" t="n"/>
      <c r="M629" s="4" t="n"/>
      <c r="N629" s="4" t="n"/>
      <c r="O629" s="3" t="n"/>
      <c r="P629" t="inlineStr"/>
      <c r="Q629" s="3" t="n"/>
      <c r="R629" s="3" t="n"/>
      <c r="S629" s="3" t="n"/>
      <c r="T629" s="3" t="n"/>
      <c r="U629" s="3" t="n"/>
      <c r="V629" s="3" t="n"/>
      <c r="W629" s="3">
        <f>IF(V629="",IFERROR(VLOOKUP($C629,Assumptions!$A$4:$F$7,6,FALSE),0),V629)</f>
        <v/>
      </c>
      <c r="X629" s="3">
        <f>N(O629)*IFERROR(VLOOKUP($C629,Assumptions!$A$4:$F$7,2,FALSE),0)</f>
        <v/>
      </c>
      <c r="Y629" s="3">
        <f>N(S629)*IFERROR(VLOOKUP($C629,Assumptions!$A$4:$F$7,3,FALSE),0)*Assumptions!$B$11</f>
        <v/>
      </c>
      <c r="Z629" s="3">
        <f>N(N629)*IFERROR(VLOOKUP($C629,Assumptions!$A$4:$F$7,4,FALSE),0)</f>
        <v/>
      </c>
      <c r="AA629" s="3">
        <f>N(T629)*IFERROR(VLOOKUP($C629,Assumptions!$A$4:$F$7,5,FALSE),0)</f>
        <v/>
      </c>
      <c r="AB629" s="3">
        <f>N(U629)</f>
        <v/>
      </c>
      <c r="AC629" s="3">
        <f>SUM(W629:AB629)</f>
        <v/>
      </c>
      <c r="AD629" s="3">
        <f>N(AC629)*N(M629)/90</f>
        <v/>
      </c>
      <c r="AE629" s="3">
        <f>IFERROR(AD629-VLOOKUP($C629,Assumptions!$A$29:$C$32,3,FALSE),"")</f>
        <v/>
      </c>
      <c r="AF629" s="3">
        <f>IFERROR(AE629/F629,"")</f>
        <v/>
      </c>
      <c r="AG629">
        <f>IF(AND($E629=TRUE,$C629="GKP"),AD629,"")</f>
        <v/>
      </c>
      <c r="AH629">
        <f>IF(AND($E629=TRUE,$C629="DEF"),AD629,"")</f>
        <v/>
      </c>
      <c r="AI629">
        <f>IF(AND($E629=TRUE,$C629="MID"),AD629,"")</f>
        <v/>
      </c>
      <c r="AJ629">
        <f>IF(AND($E629=TRUE,$C629="FWD"),AD629,"")</f>
        <v/>
      </c>
    </row>
    <row r="630">
      <c r="A630" t="inlineStr">
        <is>
          <t>Hugo Bueno</t>
        </is>
      </c>
      <c r="D630" t="inlineStr">
        <is>
          <t>DEF</t>
        </is>
      </c>
      <c r="E630" t="b">
        <v>0</v>
      </c>
      <c r="F630" s="2" t="n"/>
      <c r="I630" s="2" t="n">
        <v>2364</v>
      </c>
      <c r="K630" s="3" t="n"/>
      <c r="M630" s="4" t="n">
        <v>2364</v>
      </c>
      <c r="N630" s="4" t="n"/>
      <c r="O630" s="3" t="n">
        <v>0.0326</v>
      </c>
      <c r="P630" t="inlineStr">
        <is>
          <t>adjusted xGOT</t>
        </is>
      </c>
      <c r="Q630" s="3" t="n">
        <v>0.996</v>
      </c>
      <c r="R630" s="3" t="n">
        <v>1.3</v>
      </c>
      <c r="S630" s="3" t="n">
        <v>0.1402</v>
      </c>
      <c r="T630" s="3" t="n">
        <v>0.115</v>
      </c>
      <c r="U630" s="3" t="n">
        <v>0.1904</v>
      </c>
      <c r="V630" s="3" t="n">
        <v>2.246</v>
      </c>
      <c r="W630" s="3">
        <f>IF(V630="",IFERROR(VLOOKUP($C630,Assumptions!$A$4:$F$7,6,FALSE),0),V630)</f>
        <v/>
      </c>
      <c r="X630" s="3">
        <f>N(O630)*IFERROR(VLOOKUP($C630,Assumptions!$A$4:$F$7,2,FALSE),0)</f>
        <v/>
      </c>
      <c r="Y630" s="3">
        <f>N(S630)*IFERROR(VLOOKUP($C630,Assumptions!$A$4:$F$7,3,FALSE),0)*Assumptions!$B$11</f>
        <v/>
      </c>
      <c r="Z630" s="3">
        <f>N(N630)*IFERROR(VLOOKUP($C630,Assumptions!$A$4:$F$7,4,FALSE),0)</f>
        <v/>
      </c>
      <c r="AA630" s="3">
        <f>N(T630)*IFERROR(VLOOKUP($C630,Assumptions!$A$4:$F$7,5,FALSE),0)</f>
        <v/>
      </c>
      <c r="AB630" s="3">
        <f>N(U630)</f>
        <v/>
      </c>
      <c r="AC630" s="3">
        <f>SUM(W630:AB630)</f>
        <v/>
      </c>
      <c r="AD630" s="3">
        <f>N(AC630)*N(M630)/90</f>
        <v/>
      </c>
      <c r="AE630" s="3">
        <f>IFERROR(AD630-VLOOKUP($C630,Assumptions!$A$29:$C$32,3,FALSE),"")</f>
        <v/>
      </c>
      <c r="AF630" s="3">
        <f>IFERROR(AE630/F630,"")</f>
        <v/>
      </c>
      <c r="AG630">
        <f>IF(AND($E630=TRUE,$C630="GKP"),AD630,"")</f>
        <v/>
      </c>
      <c r="AH630">
        <f>IF(AND($E630=TRUE,$C630="DEF"),AD630,"")</f>
        <v/>
      </c>
      <c r="AI630">
        <f>IF(AND($E630=TRUE,$C630="MID"),AD630,"")</f>
        <v/>
      </c>
      <c r="AJ630">
        <f>IF(AND($E630=TRUE,$C630="FWD"),AD630,"")</f>
        <v/>
      </c>
    </row>
    <row r="631">
      <c r="A631" t="inlineStr">
        <is>
          <t>George Earthy</t>
        </is>
      </c>
      <c r="D631" t="inlineStr">
        <is>
          <t>MID</t>
        </is>
      </c>
      <c r="E631" t="b">
        <v>0</v>
      </c>
      <c r="F631" s="2" t="n"/>
      <c r="I631" s="2" t="n">
        <v>8</v>
      </c>
      <c r="K631" s="3" t="n"/>
      <c r="M631" s="4" t="n">
        <v>8</v>
      </c>
      <c r="N631" s="4" t="n"/>
      <c r="O631" s="3" t="n">
        <v>0</v>
      </c>
      <c r="P631" t="inlineStr">
        <is>
          <t>adjusted xGOT</t>
        </is>
      </c>
      <c r="Q631" s="3" t="n">
        <v>1.054</v>
      </c>
      <c r="R631" s="3" t="n">
        <v>0.4</v>
      </c>
      <c r="S631" s="3" t="n">
        <v>0</v>
      </c>
      <c r="T631" s="3" t="n"/>
      <c r="U631" s="3" t="n">
        <v>0</v>
      </c>
      <c r="V631" s="3" t="n">
        <v>11.25</v>
      </c>
      <c r="W631" s="3">
        <f>IF(V631="",IFERROR(VLOOKUP($C631,Assumptions!$A$4:$F$7,6,FALSE),0),V631)</f>
        <v/>
      </c>
      <c r="X631" s="3">
        <f>N(O631)*IFERROR(VLOOKUP($C631,Assumptions!$A$4:$F$7,2,FALSE),0)</f>
        <v/>
      </c>
      <c r="Y631" s="3">
        <f>N(S631)*IFERROR(VLOOKUP($C631,Assumptions!$A$4:$F$7,3,FALSE),0)*Assumptions!$B$11</f>
        <v/>
      </c>
      <c r="Z631" s="3">
        <f>N(N631)*IFERROR(VLOOKUP($C631,Assumptions!$A$4:$F$7,4,FALSE),0)</f>
        <v/>
      </c>
      <c r="AA631" s="3">
        <f>N(T631)*IFERROR(VLOOKUP($C631,Assumptions!$A$4:$F$7,5,FALSE),0)</f>
        <v/>
      </c>
      <c r="AB631" s="3">
        <f>N(U631)</f>
        <v/>
      </c>
      <c r="AC631" s="3">
        <f>SUM(W631:AB631)</f>
        <v/>
      </c>
      <c r="AD631" s="3">
        <f>N(AC631)*N(M631)/90</f>
        <v/>
      </c>
      <c r="AE631" s="3">
        <f>IFERROR(AD631-VLOOKUP($C631,Assumptions!$A$29:$C$32,3,FALSE),"")</f>
        <v/>
      </c>
      <c r="AF631" s="3">
        <f>IFERROR(AE631/F631,"")</f>
        <v/>
      </c>
      <c r="AG631">
        <f>IF(AND($E631=TRUE,$C631="GKP"),AD631,"")</f>
        <v/>
      </c>
      <c r="AH631">
        <f>IF(AND($E631=TRUE,$C631="DEF"),AD631,"")</f>
        <v/>
      </c>
      <c r="AI631">
        <f>IF(AND($E631=TRUE,$C631="MID"),AD631,"")</f>
        <v/>
      </c>
      <c r="AJ631">
        <f>IF(AND($E631=TRUE,$C631="FWD"),AD631,"")</f>
        <v/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b">
        <v>1</v>
      </c>
      <c r="F632" s="2" t="n">
        <v>4.5</v>
      </c>
      <c r="G632" t="inlineStr">
        <is>
          <t>a</t>
        </is>
      </c>
      <c r="I632" s="2" t="n"/>
      <c r="K632" s="3" t="n">
        <v>0</v>
      </c>
      <c r="L632" t="inlineStr">
        <is>
          <t>flat</t>
        </is>
      </c>
      <c r="M632" s="4" t="n"/>
      <c r="N632" s="4" t="n"/>
      <c r="O632" s="3" t="n"/>
      <c r="P632" t="inlineStr"/>
      <c r="Q632" s="3" t="n"/>
      <c r="R632" s="3" t="n"/>
      <c r="S632" s="3" t="n"/>
      <c r="T632" s="3" t="n"/>
      <c r="U632" s="3" t="n"/>
      <c r="V632" s="3" t="n"/>
      <c r="W632" s="3">
        <f>IF(V632="",IFERROR(VLOOKUP($C632,Assumptions!$A$4:$F$7,6,FALSE),0),V632)</f>
        <v/>
      </c>
      <c r="X632" s="3">
        <f>N(O632)*IFERROR(VLOOKUP($C632,Assumptions!$A$4:$F$7,2,FALSE),0)</f>
        <v/>
      </c>
      <c r="Y632" s="3">
        <f>N(S632)*IFERROR(VLOOKUP($C632,Assumptions!$A$4:$F$7,3,FALSE),0)*Assumptions!$B$11</f>
        <v/>
      </c>
      <c r="Z632" s="3">
        <f>N(N632)*IFERROR(VLOOKUP($C632,Assumptions!$A$4:$F$7,4,FALSE),0)</f>
        <v/>
      </c>
      <c r="AA632" s="3">
        <f>N(T632)*IFERROR(VLOOKUP($C632,Assumptions!$A$4:$F$7,5,FALSE),0)</f>
        <v/>
      </c>
      <c r="AB632" s="3">
        <f>N(U632)</f>
        <v/>
      </c>
      <c r="AC632" s="3">
        <f>SUM(W632:AB632)</f>
        <v/>
      </c>
      <c r="AD632" s="3">
        <f>N(AC632)*N(M632)/90</f>
        <v/>
      </c>
      <c r="AE632" s="3">
        <f>IFERROR(AD632-VLOOKUP($C632,Assumptions!$A$29:$C$32,3,FALSE),"")</f>
        <v/>
      </c>
      <c r="AF632" s="3">
        <f>IFERROR(AE632/F632,"")</f>
        <v/>
      </c>
      <c r="AG632">
        <f>IF(AND($E632=TRUE,$C632="GKP"),AD632,"")</f>
        <v/>
      </c>
      <c r="AH632">
        <f>IF(AND($E632=TRUE,$C632="DEF"),AD632,"")</f>
        <v/>
      </c>
      <c r="AI632">
        <f>IF(AND($E632=TRUE,$C632="MID"),AD632,"")</f>
        <v/>
      </c>
      <c r="AJ632">
        <f>IF(AND($E632=TRUE,$C632="FWD"),AD632,"")</f>
        <v/>
      </c>
    </row>
    <row r="633">
      <c r="A633" t="inlineStr">
        <is>
          <t>Zeki Amdouni</t>
        </is>
      </c>
      <c r="D633" t="inlineStr">
        <is>
          <t>FWD</t>
        </is>
      </c>
      <c r="E633" t="b">
        <v>0</v>
      </c>
      <c r="F633" s="2" t="n"/>
      <c r="I633" s="2" t="n">
        <v>69</v>
      </c>
      <c r="K633" s="3" t="n"/>
      <c r="M633" s="4" t="n">
        <v>69</v>
      </c>
      <c r="N633" s="4" t="n"/>
      <c r="O633" s="3" t="n">
        <v>0.3196</v>
      </c>
      <c r="P633" t="inlineStr">
        <is>
          <t>adjusted xGOT</t>
        </is>
      </c>
      <c r="Q633" s="3" t="n">
        <v>1.022</v>
      </c>
      <c r="R633" s="3" t="n">
        <v>5.8</v>
      </c>
      <c r="S633" s="3" t="n">
        <v>0</v>
      </c>
      <c r="T633" s="3" t="n"/>
      <c r="U633" s="3" t="n">
        <v>0</v>
      </c>
      <c r="V633" s="3" t="n">
        <v>5.217</v>
      </c>
      <c r="W633" s="3">
        <f>IF(V633="",IFERROR(VLOOKUP($C633,Assumptions!$A$4:$F$7,6,FALSE),0),V633)</f>
        <v/>
      </c>
      <c r="X633" s="3">
        <f>N(O633)*IFERROR(VLOOKUP($C633,Assumptions!$A$4:$F$7,2,FALSE),0)</f>
        <v/>
      </c>
      <c r="Y633" s="3">
        <f>N(S633)*IFERROR(VLOOKUP($C633,Assumptions!$A$4:$F$7,3,FALSE),0)*Assumptions!$B$11</f>
        <v/>
      </c>
      <c r="Z633" s="3">
        <f>N(N633)*IFERROR(VLOOKUP($C633,Assumptions!$A$4:$F$7,4,FALSE),0)</f>
        <v/>
      </c>
      <c r="AA633" s="3">
        <f>N(T633)*IFERROR(VLOOKUP($C633,Assumptions!$A$4:$F$7,5,FALSE),0)</f>
        <v/>
      </c>
      <c r="AB633" s="3">
        <f>N(U633)</f>
        <v/>
      </c>
      <c r="AC633" s="3">
        <f>SUM(W633:AB633)</f>
        <v/>
      </c>
      <c r="AD633" s="3">
        <f>N(AC633)*N(M633)/90</f>
        <v/>
      </c>
      <c r="AE633" s="3">
        <f>IFERROR(AD633-VLOOKUP($C633,Assumptions!$A$29:$C$32,3,FALSE),"")</f>
        <v/>
      </c>
      <c r="AF633" s="3">
        <f>IFERROR(AE633/F633,"")</f>
        <v/>
      </c>
      <c r="AG633">
        <f>IF(AND($E633=TRUE,$C633="GKP"),AD633,"")</f>
        <v/>
      </c>
      <c r="AH633">
        <f>IF(AND($E633=TRUE,$C633="DEF"),AD633,"")</f>
        <v/>
      </c>
      <c r="AI633">
        <f>IF(AND($E633=TRUE,$C633="MID"),AD633,"")</f>
        <v/>
      </c>
      <c r="AJ633">
        <f>IF(AND($E633=TRUE,$C633="FWD"),AD633,"")</f>
        <v/>
      </c>
    </row>
    <row r="634">
      <c r="A634" t="inlineStr">
        <is>
          <t>Radu Dragusin</t>
        </is>
      </c>
      <c r="D634" t="inlineStr">
        <is>
          <t>DEF</t>
        </is>
      </c>
      <c r="E634" t="b">
        <v>0</v>
      </c>
      <c r="F634" s="2" t="n"/>
      <c r="I634" s="2" t="n">
        <v>515</v>
      </c>
      <c r="K634" s="3" t="n"/>
      <c r="M634" s="4" t="n">
        <v>515</v>
      </c>
      <c r="N634" s="4" t="n"/>
      <c r="O634" s="3" t="n">
        <v>0.0505</v>
      </c>
      <c r="P634" t="inlineStr">
        <is>
          <t>adjusted xGOT</t>
        </is>
      </c>
      <c r="Q634" s="3" t="n">
        <v>0.9320000000000001</v>
      </c>
      <c r="R634" s="3" t="n">
        <v>0.6</v>
      </c>
      <c r="S634" s="3" t="n">
        <v>0</v>
      </c>
      <c r="T634" s="3" t="n">
        <v>0.8</v>
      </c>
      <c r="U634" s="3" t="n">
        <v>0</v>
      </c>
      <c r="V634" s="3" t="n">
        <v>2.621</v>
      </c>
      <c r="W634" s="3">
        <f>IF(V634="",IFERROR(VLOOKUP($C634,Assumptions!$A$4:$F$7,6,FALSE),0),V634)</f>
        <v/>
      </c>
      <c r="X634" s="3">
        <f>N(O634)*IFERROR(VLOOKUP($C634,Assumptions!$A$4:$F$7,2,FALSE),0)</f>
        <v/>
      </c>
      <c r="Y634" s="3">
        <f>N(S634)*IFERROR(VLOOKUP($C634,Assumptions!$A$4:$F$7,3,FALSE),0)*Assumptions!$B$11</f>
        <v/>
      </c>
      <c r="Z634" s="3">
        <f>N(N634)*IFERROR(VLOOKUP($C634,Assumptions!$A$4:$F$7,4,FALSE),0)</f>
        <v/>
      </c>
      <c r="AA634" s="3">
        <f>N(T634)*IFERROR(VLOOKUP($C634,Assumptions!$A$4:$F$7,5,FALSE),0)</f>
        <v/>
      </c>
      <c r="AB634" s="3">
        <f>N(U634)</f>
        <v/>
      </c>
      <c r="AC634" s="3">
        <f>SUM(W634:AB634)</f>
        <v/>
      </c>
      <c r="AD634" s="3">
        <f>N(AC634)*N(M634)/90</f>
        <v/>
      </c>
      <c r="AE634" s="3">
        <f>IFERROR(AD634-VLOOKUP($C634,Assumptions!$A$29:$C$32,3,FALSE),"")</f>
        <v/>
      </c>
      <c r="AF634" s="3">
        <f>IFERROR(AE634/F634,"")</f>
        <v/>
      </c>
      <c r="AG634">
        <f>IF(AND($E634=TRUE,$C634="GKP"),AD634,"")</f>
        <v/>
      </c>
      <c r="AH634">
        <f>IF(AND($E634=TRUE,$C634="DEF"),AD634,"")</f>
        <v/>
      </c>
      <c r="AI634">
        <f>IF(AND($E634=TRUE,$C634="MID"),AD634,"")</f>
        <v/>
      </c>
      <c r="AJ634">
        <f>IF(AND($E634=TRUE,$C634="FWD"),AD634,"")</f>
        <v/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b">
        <v>1</v>
      </c>
      <c r="F635" s="2" t="n">
        <v>4.5</v>
      </c>
      <c r="G635" t="inlineStr">
        <is>
          <t>a</t>
        </is>
      </c>
      <c r="I635" s="2" t="n"/>
      <c r="K635" s="3" t="n">
        <v>3098</v>
      </c>
      <c r="L635" t="inlineStr">
        <is>
          <t>flat</t>
        </is>
      </c>
      <c r="M635" s="4" t="n"/>
      <c r="N635" s="4" t="n">
        <v>0.29</v>
      </c>
      <c r="O635" s="3" t="n"/>
      <c r="P635" t="inlineStr"/>
      <c r="Q635" s="3" t="n"/>
      <c r="R635" s="3" t="n"/>
      <c r="S635" s="3" t="n"/>
      <c r="T635" s="3" t="n"/>
      <c r="U635" s="3" t="n"/>
      <c r="V635" s="3" t="n"/>
      <c r="W635" s="3">
        <f>IF(V635="",IFERROR(VLOOKUP($C635,Assumptions!$A$4:$F$7,6,FALSE),0),V635)</f>
        <v/>
      </c>
      <c r="X635" s="3">
        <f>N(O635)*IFERROR(VLOOKUP($C635,Assumptions!$A$4:$F$7,2,FALSE),0)</f>
        <v/>
      </c>
      <c r="Y635" s="3">
        <f>N(S635)*IFERROR(VLOOKUP($C635,Assumptions!$A$4:$F$7,3,FALSE),0)*Assumptions!$B$11</f>
        <v/>
      </c>
      <c r="Z635" s="3">
        <f>N(N635)*IFERROR(VLOOKUP($C635,Assumptions!$A$4:$F$7,4,FALSE),0)</f>
        <v/>
      </c>
      <c r="AA635" s="3">
        <f>N(T635)*IFERROR(VLOOKUP($C635,Assumptions!$A$4:$F$7,5,FALSE),0)</f>
        <v/>
      </c>
      <c r="AB635" s="3">
        <f>N(U635)</f>
        <v/>
      </c>
      <c r="AC635" s="3">
        <f>SUM(W635:AB635)</f>
        <v/>
      </c>
      <c r="AD635" s="3">
        <f>N(AC635)*N(M635)/90</f>
        <v/>
      </c>
      <c r="AE635" s="3">
        <f>IFERROR(AD635-VLOOKUP($C635,Assumptions!$A$29:$C$32,3,FALSE),"")</f>
        <v/>
      </c>
      <c r="AF635" s="3">
        <f>IFERROR(AE635/F635,"")</f>
        <v/>
      </c>
      <c r="AG635">
        <f>IF(AND($E635=TRUE,$C635="GKP"),AD635,"")</f>
        <v/>
      </c>
      <c r="AH635">
        <f>IF(AND($E635=TRUE,$C635="DEF"),AD635,"")</f>
        <v/>
      </c>
      <c r="AI635">
        <f>IF(AND($E635=TRUE,$C635="MID"),AD635,"")</f>
        <v/>
      </c>
      <c r="AJ635">
        <f>IF(AND($E635=TRUE,$C635="FWD"),AD635,"")</f>
        <v/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b">
        <v>1</v>
      </c>
      <c r="F636" s="2" t="n">
        <v>4</v>
      </c>
      <c r="G636" t="inlineStr">
        <is>
          <t>u</t>
        </is>
      </c>
      <c r="H636" t="inlineStr">
        <is>
          <t>Has joined Grimsby Town on loan for the rest of the season</t>
        </is>
      </c>
      <c r="I636" s="2" t="n"/>
      <c r="K636" s="3" t="n"/>
      <c r="M636" s="4" t="n"/>
      <c r="N636" s="4" t="n"/>
      <c r="O636" s="3" t="n"/>
      <c r="P636" t="inlineStr"/>
      <c r="Q636" s="3" t="n"/>
      <c r="R636" s="3" t="n"/>
      <c r="S636" s="3" t="n"/>
      <c r="T636" s="3" t="n">
        <v>0</v>
      </c>
      <c r="U636" s="3" t="n"/>
      <c r="V636" s="3" t="n"/>
      <c r="W636" s="3">
        <f>IF(V636="",IFERROR(VLOOKUP($C636,Assumptions!$A$4:$F$7,6,FALSE),0),V636)</f>
        <v/>
      </c>
      <c r="X636" s="3">
        <f>N(O636)*IFERROR(VLOOKUP($C636,Assumptions!$A$4:$F$7,2,FALSE),0)</f>
        <v/>
      </c>
      <c r="Y636" s="3">
        <f>N(S636)*IFERROR(VLOOKUP($C636,Assumptions!$A$4:$F$7,3,FALSE),0)*Assumptions!$B$11</f>
        <v/>
      </c>
      <c r="Z636" s="3">
        <f>N(N636)*IFERROR(VLOOKUP($C636,Assumptions!$A$4:$F$7,4,FALSE),0)</f>
        <v/>
      </c>
      <c r="AA636" s="3">
        <f>N(T636)*IFERROR(VLOOKUP($C636,Assumptions!$A$4:$F$7,5,FALSE),0)</f>
        <v/>
      </c>
      <c r="AB636" s="3">
        <f>N(U636)</f>
        <v/>
      </c>
      <c r="AC636" s="3">
        <f>SUM(W636:AB636)</f>
        <v/>
      </c>
      <c r="AD636" s="3">
        <f>N(AC636)*N(M636)/90</f>
        <v/>
      </c>
      <c r="AE636" s="3">
        <f>IFERROR(AD636-VLOOKUP($C636,Assumptions!$A$29:$C$32,3,FALSE),"")</f>
        <v/>
      </c>
      <c r="AF636" s="3">
        <f>IFERROR(AE636/F636,"")</f>
        <v/>
      </c>
      <c r="AG636">
        <f>IF(AND($E636=TRUE,$C636="GKP"),AD636,"")</f>
        <v/>
      </c>
      <c r="AH636">
        <f>IF(AND($E636=TRUE,$C636="DEF"),AD636,"")</f>
        <v/>
      </c>
      <c r="AI636">
        <f>IF(AND($E636=TRUE,$C636="MID"),AD636,"")</f>
        <v/>
      </c>
      <c r="AJ636">
        <f>IF(AND($E636=TRUE,$C636="FWD"),AD636,"")</f>
        <v/>
      </c>
    </row>
    <row r="637">
      <c r="A637" t="inlineStr">
        <is>
          <t>Quilindschy Hartman</t>
        </is>
      </c>
      <c r="D637" t="inlineStr">
        <is>
          <t>DEF</t>
        </is>
      </c>
      <c r="E637" t="b">
        <v>0</v>
      </c>
      <c r="F637" s="2" t="n"/>
      <c r="I637" s="2" t="n">
        <v>1830</v>
      </c>
      <c r="K637" s="3" t="n"/>
      <c r="M637" s="4" t="n">
        <v>1830</v>
      </c>
      <c r="N637" s="4" t="n"/>
      <c r="O637" s="3" t="n">
        <v>0.0155</v>
      </c>
      <c r="P637" t="inlineStr">
        <is>
          <t>adjusted xGOT</t>
        </is>
      </c>
      <c r="Q637" s="3" t="n">
        <v>0.986</v>
      </c>
      <c r="R637" s="3" t="n">
        <v>0.3</v>
      </c>
      <c r="S637" s="3" t="n">
        <v>0.1372</v>
      </c>
      <c r="T637" s="3" t="n">
        <v>0.143</v>
      </c>
      <c r="U637" s="3" t="n">
        <v>0</v>
      </c>
      <c r="V637" s="3" t="n">
        <v>2.066</v>
      </c>
      <c r="W637" s="3">
        <f>IF(V637="",IFERROR(VLOOKUP($C637,Assumptions!$A$4:$F$7,6,FALSE),0),V637)</f>
        <v/>
      </c>
      <c r="X637" s="3">
        <f>N(O637)*IFERROR(VLOOKUP($C637,Assumptions!$A$4:$F$7,2,FALSE),0)</f>
        <v/>
      </c>
      <c r="Y637" s="3">
        <f>N(S637)*IFERROR(VLOOKUP($C637,Assumptions!$A$4:$F$7,3,FALSE),0)*Assumptions!$B$11</f>
        <v/>
      </c>
      <c r="Z637" s="3">
        <f>N(N637)*IFERROR(VLOOKUP($C637,Assumptions!$A$4:$F$7,4,FALSE),0)</f>
        <v/>
      </c>
      <c r="AA637" s="3">
        <f>N(T637)*IFERROR(VLOOKUP($C637,Assumptions!$A$4:$F$7,5,FALSE),0)</f>
        <v/>
      </c>
      <c r="AB637" s="3">
        <f>N(U637)</f>
        <v/>
      </c>
      <c r="AC637" s="3">
        <f>SUM(W637:AB637)</f>
        <v/>
      </c>
      <c r="AD637" s="3">
        <f>N(AC637)*N(M637)/90</f>
        <v/>
      </c>
      <c r="AE637" s="3">
        <f>IFERROR(AD637-VLOOKUP($C637,Assumptions!$A$29:$C$32,3,FALSE),"")</f>
        <v/>
      </c>
      <c r="AF637" s="3">
        <f>IFERROR(AE637/F637,"")</f>
        <v/>
      </c>
      <c r="AG637">
        <f>IF(AND($E637=TRUE,$C637="GKP"),AD637,"")</f>
        <v/>
      </c>
      <c r="AH637">
        <f>IF(AND($E637=TRUE,$C637="DEF"),AD637,"")</f>
        <v/>
      </c>
      <c r="AI637">
        <f>IF(AND($E637=TRUE,$C637="MID"),AD637,"")</f>
        <v/>
      </c>
      <c r="AJ637">
        <f>IF(AND($E637=TRUE,$C637="FWD"),AD637,"")</f>
        <v/>
      </c>
    </row>
    <row r="638">
      <c r="A638" t="inlineStr">
        <is>
          <t>Tawanda Chirewa</t>
        </is>
      </c>
      <c r="D638" t="inlineStr">
        <is>
          <t>MID</t>
        </is>
      </c>
      <c r="E638" t="b">
        <v>0</v>
      </c>
      <c r="F638" s="2" t="n"/>
      <c r="I638" s="2" t="n">
        <v>25</v>
      </c>
      <c r="K638" s="3" t="n"/>
      <c r="M638" s="4" t="n">
        <v>25</v>
      </c>
      <c r="N638" s="4" t="n"/>
      <c r="O638" s="3" t="n">
        <v>0</v>
      </c>
      <c r="P638" t="inlineStr">
        <is>
          <t>adjusted xGOT</t>
        </is>
      </c>
      <c r="Q638" s="3" t="n">
        <v>0.993</v>
      </c>
      <c r="R638" s="3" t="n">
        <v>0.2</v>
      </c>
      <c r="S638" s="3" t="n">
        <v>0</v>
      </c>
      <c r="T638" s="3" t="n"/>
      <c r="U638" s="3" t="n">
        <v>0</v>
      </c>
      <c r="V638" s="3" t="n">
        <v>7.2</v>
      </c>
      <c r="W638" s="3">
        <f>IF(V638="",IFERROR(VLOOKUP($C638,Assumptions!$A$4:$F$7,6,FALSE),0),V638)</f>
        <v/>
      </c>
      <c r="X638" s="3">
        <f>N(O638)*IFERROR(VLOOKUP($C638,Assumptions!$A$4:$F$7,2,FALSE),0)</f>
        <v/>
      </c>
      <c r="Y638" s="3">
        <f>N(S638)*IFERROR(VLOOKUP($C638,Assumptions!$A$4:$F$7,3,FALSE),0)*Assumptions!$B$11</f>
        <v/>
      </c>
      <c r="Z638" s="3">
        <f>N(N638)*IFERROR(VLOOKUP($C638,Assumptions!$A$4:$F$7,4,FALSE),0)</f>
        <v/>
      </c>
      <c r="AA638" s="3">
        <f>N(T638)*IFERROR(VLOOKUP($C638,Assumptions!$A$4:$F$7,5,FALSE),0)</f>
        <v/>
      </c>
      <c r="AB638" s="3">
        <f>N(U638)</f>
        <v/>
      </c>
      <c r="AC638" s="3">
        <f>SUM(W638:AB638)</f>
        <v/>
      </c>
      <c r="AD638" s="3">
        <f>N(AC638)*N(M638)/90</f>
        <v/>
      </c>
      <c r="AE638" s="3">
        <f>IFERROR(AD638-VLOOKUP($C638,Assumptions!$A$29:$C$32,3,FALSE),"")</f>
        <v/>
      </c>
      <c r="AF638" s="3">
        <f>IFERROR(AE638/F638,"")</f>
        <v/>
      </c>
      <c r="AG638">
        <f>IF(AND($E638=TRUE,$C638="GKP"),AD638,"")</f>
        <v/>
      </c>
      <c r="AH638">
        <f>IF(AND($E638=TRUE,$C638="DEF"),AD638,"")</f>
        <v/>
      </c>
      <c r="AI638">
        <f>IF(AND($E638=TRUE,$C638="MID"),AD638,"")</f>
        <v/>
      </c>
      <c r="AJ638">
        <f>IF(AND($E638=TRUE,$C638="FWD"),AD638,"")</f>
        <v/>
      </c>
    </row>
    <row r="639">
      <c r="A639" t="inlineStr">
        <is>
          <t>David Møller Wolfe</t>
        </is>
      </c>
      <c r="D639" t="inlineStr">
        <is>
          <t>DEF</t>
        </is>
      </c>
      <c r="E639" t="b">
        <v>0</v>
      </c>
      <c r="F639" s="2" t="n"/>
      <c r="I639" s="2" t="n">
        <v>1049</v>
      </c>
      <c r="K639" s="3" t="n"/>
      <c r="M639" s="4" t="n">
        <v>1049</v>
      </c>
      <c r="N639" s="4" t="n"/>
      <c r="O639" s="3" t="n">
        <v>0.011</v>
      </c>
      <c r="P639" t="inlineStr">
        <is>
          <t>adjusted xGOT</t>
        </is>
      </c>
      <c r="Q639" s="3" t="n">
        <v>0.984</v>
      </c>
      <c r="R639" s="3" t="n">
        <v>0.1</v>
      </c>
      <c r="S639" s="3" t="n">
        <v>0.1119</v>
      </c>
      <c r="T639" s="3" t="n">
        <v>0</v>
      </c>
      <c r="U639" s="3" t="n">
        <v>0</v>
      </c>
      <c r="V639" s="3" t="n">
        <v>2.745</v>
      </c>
      <c r="W639" s="3">
        <f>IF(V639="",IFERROR(VLOOKUP($C639,Assumptions!$A$4:$F$7,6,FALSE),0),V639)</f>
        <v/>
      </c>
      <c r="X639" s="3">
        <f>N(O639)*IFERROR(VLOOKUP($C639,Assumptions!$A$4:$F$7,2,FALSE),0)</f>
        <v/>
      </c>
      <c r="Y639" s="3">
        <f>N(S639)*IFERROR(VLOOKUP($C639,Assumptions!$A$4:$F$7,3,FALSE),0)*Assumptions!$B$11</f>
        <v/>
      </c>
      <c r="Z639" s="3">
        <f>N(N639)*IFERROR(VLOOKUP($C639,Assumptions!$A$4:$F$7,4,FALSE),0)</f>
        <v/>
      </c>
      <c r="AA639" s="3">
        <f>N(T639)*IFERROR(VLOOKUP($C639,Assumptions!$A$4:$F$7,5,FALSE),0)</f>
        <v/>
      </c>
      <c r="AB639" s="3">
        <f>N(U639)</f>
        <v/>
      </c>
      <c r="AC639" s="3">
        <f>SUM(W639:AB639)</f>
        <v/>
      </c>
      <c r="AD639" s="3">
        <f>N(AC639)*N(M639)/90</f>
        <v/>
      </c>
      <c r="AE639" s="3">
        <f>IFERROR(AD639-VLOOKUP($C639,Assumptions!$A$29:$C$32,3,FALSE),"")</f>
        <v/>
      </c>
      <c r="AF639" s="3">
        <f>IFERROR(AE639/F639,"")</f>
        <v/>
      </c>
      <c r="AG639">
        <f>IF(AND($E639=TRUE,$C639="GKP"),AD639,"")</f>
        <v/>
      </c>
      <c r="AH639">
        <f>IF(AND($E639=TRUE,$C639="DEF"),AD639,"")</f>
        <v/>
      </c>
      <c r="AI639">
        <f>IF(AND($E639=TRUE,$C639="MID"),AD639,"")</f>
        <v/>
      </c>
      <c r="AJ639">
        <f>IF(AND($E639=TRUE,$C639="FWD"),AD639,"")</f>
        <v/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b">
        <v>1</v>
      </c>
      <c r="F640" s="2" t="n">
        <v>5</v>
      </c>
      <c r="G640" t="inlineStr">
        <is>
          <t>a</t>
        </is>
      </c>
      <c r="I640" s="2" t="n"/>
      <c r="K640" s="3" t="n">
        <v>534</v>
      </c>
      <c r="L640" t="inlineStr">
        <is>
          <t>flat</t>
        </is>
      </c>
      <c r="M640" s="4" t="n"/>
      <c r="N640" s="4" t="n">
        <v>0.237</v>
      </c>
      <c r="O640" s="3" t="n"/>
      <c r="P640" t="inlineStr"/>
      <c r="Q640" s="3" t="n"/>
      <c r="R640" s="3" t="n"/>
      <c r="S640" s="3" t="n"/>
      <c r="T640" s="3" t="n"/>
      <c r="U640" s="3" t="n"/>
      <c r="V640" s="3" t="n"/>
      <c r="W640" s="3">
        <f>IF(V640="",IFERROR(VLOOKUP($C640,Assumptions!$A$4:$F$7,6,FALSE),0),V640)</f>
        <v/>
      </c>
      <c r="X640" s="3">
        <f>N(O640)*IFERROR(VLOOKUP($C640,Assumptions!$A$4:$F$7,2,FALSE),0)</f>
        <v/>
      </c>
      <c r="Y640" s="3">
        <f>N(S640)*IFERROR(VLOOKUP($C640,Assumptions!$A$4:$F$7,3,FALSE),0)*Assumptions!$B$11</f>
        <v/>
      </c>
      <c r="Z640" s="3">
        <f>N(N640)*IFERROR(VLOOKUP($C640,Assumptions!$A$4:$F$7,4,FALSE),0)</f>
        <v/>
      </c>
      <c r="AA640" s="3">
        <f>N(T640)*IFERROR(VLOOKUP($C640,Assumptions!$A$4:$F$7,5,FALSE),0)</f>
        <v/>
      </c>
      <c r="AB640" s="3">
        <f>N(U640)</f>
        <v/>
      </c>
      <c r="AC640" s="3">
        <f>SUM(W640:AB640)</f>
        <v/>
      </c>
      <c r="AD640" s="3">
        <f>N(AC640)*N(M640)/90</f>
        <v/>
      </c>
      <c r="AE640" s="3">
        <f>IFERROR(AD640-VLOOKUP($C640,Assumptions!$A$29:$C$32,3,FALSE),"")</f>
        <v/>
      </c>
      <c r="AF640" s="3">
        <f>IFERROR(AE640/F640,"")</f>
        <v/>
      </c>
      <c r="AG640">
        <f>IF(AND($E640=TRUE,$C640="GKP"),AD640,"")</f>
        <v/>
      </c>
      <c r="AH640">
        <f>IF(AND($E640=TRUE,$C640="DEF"),AD640,"")</f>
        <v/>
      </c>
      <c r="AI640">
        <f>IF(AND($E640=TRUE,$C640="MID"),AD640,"")</f>
        <v/>
      </c>
      <c r="AJ640">
        <f>IF(AND($E640=TRUE,$C640="FWD"),AD640,"")</f>
        <v/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b">
        <v>1</v>
      </c>
      <c r="F641" s="2" t="n">
        <v>4.5</v>
      </c>
      <c r="G641" t="inlineStr">
        <is>
          <t>a</t>
        </is>
      </c>
      <c r="I641" s="2" t="n"/>
      <c r="K641" s="3" t="n">
        <v>93</v>
      </c>
      <c r="L641" t="inlineStr">
        <is>
          <t>flat</t>
        </is>
      </c>
      <c r="M641" s="4" t="n"/>
      <c r="N641" s="4" t="n"/>
      <c r="O641" s="3" t="n"/>
      <c r="P641" t="inlineStr"/>
      <c r="Q641" s="3" t="n"/>
      <c r="R641" s="3" t="n"/>
      <c r="S641" s="3" t="n"/>
      <c r="T641" s="3" t="n"/>
      <c r="U641" s="3" t="n"/>
      <c r="V641" s="3" t="n"/>
      <c r="W641" s="3">
        <f>IF(V641="",IFERROR(VLOOKUP($C641,Assumptions!$A$4:$F$7,6,FALSE),0),V641)</f>
        <v/>
      </c>
      <c r="X641" s="3">
        <f>N(O641)*IFERROR(VLOOKUP($C641,Assumptions!$A$4:$F$7,2,FALSE),0)</f>
        <v/>
      </c>
      <c r="Y641" s="3">
        <f>N(S641)*IFERROR(VLOOKUP($C641,Assumptions!$A$4:$F$7,3,FALSE),0)*Assumptions!$B$11</f>
        <v/>
      </c>
      <c r="Z641" s="3">
        <f>N(N641)*IFERROR(VLOOKUP($C641,Assumptions!$A$4:$F$7,4,FALSE),0)</f>
        <v/>
      </c>
      <c r="AA641" s="3">
        <f>N(T641)*IFERROR(VLOOKUP($C641,Assumptions!$A$4:$F$7,5,FALSE),0)</f>
        <v/>
      </c>
      <c r="AB641" s="3">
        <f>N(U641)</f>
        <v/>
      </c>
      <c r="AC641" s="3">
        <f>SUM(W641:AB641)</f>
        <v/>
      </c>
      <c r="AD641" s="3">
        <f>N(AC641)*N(M641)/90</f>
        <v/>
      </c>
      <c r="AE641" s="3">
        <f>IFERROR(AD641-VLOOKUP($C641,Assumptions!$A$29:$C$32,3,FALSE),"")</f>
        <v/>
      </c>
      <c r="AF641" s="3">
        <f>IFERROR(AE641/F641,"")</f>
        <v/>
      </c>
      <c r="AG641">
        <f>IF(AND($E641=TRUE,$C641="GKP"),AD641,"")</f>
        <v/>
      </c>
      <c r="AH641">
        <f>IF(AND($E641=TRUE,$C641="DEF"),AD641,"")</f>
        <v/>
      </c>
      <c r="AI641">
        <f>IF(AND($E641=TRUE,$C641="MID"),AD641,"")</f>
        <v/>
      </c>
      <c r="AJ641">
        <f>IF(AND($E641=TRUE,$C641="FWD"),AD641,"")</f>
        <v/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b">
        <v>1</v>
      </c>
      <c r="F642" s="2" t="n">
        <v>5</v>
      </c>
      <c r="G642" t="inlineStr">
        <is>
          <t>a</t>
        </is>
      </c>
      <c r="I642" s="2" t="n"/>
      <c r="K642" s="3" t="n">
        <v>2736</v>
      </c>
      <c r="L642" t="inlineStr">
        <is>
          <t>flat</t>
        </is>
      </c>
      <c r="M642" s="4" t="n"/>
      <c r="N642" s="4" t="n"/>
      <c r="O642" s="3" t="n"/>
      <c r="P642" t="inlineStr"/>
      <c r="Q642" s="3" t="n"/>
      <c r="R642" s="3" t="n"/>
      <c r="S642" s="3" t="n"/>
      <c r="T642" s="3" t="n"/>
      <c r="U642" s="3" t="n"/>
      <c r="V642" s="3" t="n"/>
      <c r="W642" s="3">
        <f>IF(V642="",IFERROR(VLOOKUP($C642,Assumptions!$A$4:$F$7,6,FALSE),0),V642)</f>
        <v/>
      </c>
      <c r="X642" s="3">
        <f>N(O642)*IFERROR(VLOOKUP($C642,Assumptions!$A$4:$F$7,2,FALSE),0)</f>
        <v/>
      </c>
      <c r="Y642" s="3">
        <f>N(S642)*IFERROR(VLOOKUP($C642,Assumptions!$A$4:$F$7,3,FALSE),0)*Assumptions!$B$11</f>
        <v/>
      </c>
      <c r="Z642" s="3">
        <f>N(N642)*IFERROR(VLOOKUP($C642,Assumptions!$A$4:$F$7,4,FALSE),0)</f>
        <v/>
      </c>
      <c r="AA642" s="3">
        <f>N(T642)*IFERROR(VLOOKUP($C642,Assumptions!$A$4:$F$7,5,FALSE),0)</f>
        <v/>
      </c>
      <c r="AB642" s="3">
        <f>N(U642)</f>
        <v/>
      </c>
      <c r="AC642" s="3">
        <f>SUM(W642:AB642)</f>
        <v/>
      </c>
      <c r="AD642" s="3">
        <f>N(AC642)*N(M642)/90</f>
        <v/>
      </c>
      <c r="AE642" s="3">
        <f>IFERROR(AD642-VLOOKUP($C642,Assumptions!$A$29:$C$32,3,FALSE),"")</f>
        <v/>
      </c>
      <c r="AF642" s="3">
        <f>IFERROR(AE642/F642,"")</f>
        <v/>
      </c>
      <c r="AG642">
        <f>IF(AND($E642=TRUE,$C642="GKP"),AD642,"")</f>
        <v/>
      </c>
      <c r="AH642">
        <f>IF(AND($E642=TRUE,$C642="DEF"),AD642,"")</f>
        <v/>
      </c>
      <c r="AI642">
        <f>IF(AND($E642=TRUE,$C642="MID"),AD642,"")</f>
        <v/>
      </c>
      <c r="AJ642">
        <f>IF(AND($E642=TRUE,$C642="FWD"),AD642,"")</f>
        <v/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b">
        <v>1</v>
      </c>
      <c r="F643" s="2" t="n">
        <v>5</v>
      </c>
      <c r="G643" t="inlineStr">
        <is>
          <t>a</t>
        </is>
      </c>
      <c r="I643" s="2" t="n"/>
      <c r="K643" s="3" t="n">
        <v>1927</v>
      </c>
      <c r="L643" t="inlineStr">
        <is>
          <t>flat</t>
        </is>
      </c>
      <c r="M643" s="4" t="n"/>
      <c r="N643" s="4" t="n"/>
      <c r="O643" s="3" t="n"/>
      <c r="P643" t="inlineStr"/>
      <c r="Q643" s="3" t="n"/>
      <c r="R643" s="3" t="n"/>
      <c r="S643" s="3" t="n"/>
      <c r="T643" s="3" t="n"/>
      <c r="U643" s="3" t="n"/>
      <c r="V643" s="3" t="n"/>
      <c r="W643" s="3">
        <f>IF(V643="",IFERROR(VLOOKUP($C643,Assumptions!$A$4:$F$7,6,FALSE),0),V643)</f>
        <v/>
      </c>
      <c r="X643" s="3">
        <f>N(O643)*IFERROR(VLOOKUP($C643,Assumptions!$A$4:$F$7,2,FALSE),0)</f>
        <v/>
      </c>
      <c r="Y643" s="3">
        <f>N(S643)*IFERROR(VLOOKUP($C643,Assumptions!$A$4:$F$7,3,FALSE),0)*Assumptions!$B$11</f>
        <v/>
      </c>
      <c r="Z643" s="3">
        <f>N(N643)*IFERROR(VLOOKUP($C643,Assumptions!$A$4:$F$7,4,FALSE),0)</f>
        <v/>
      </c>
      <c r="AA643" s="3">
        <f>N(T643)*IFERROR(VLOOKUP($C643,Assumptions!$A$4:$F$7,5,FALSE),0)</f>
        <v/>
      </c>
      <c r="AB643" s="3">
        <f>N(U643)</f>
        <v/>
      </c>
      <c r="AC643" s="3">
        <f>SUM(W643:AB643)</f>
        <v/>
      </c>
      <c r="AD643" s="3">
        <f>N(AC643)*N(M643)/90</f>
        <v/>
      </c>
      <c r="AE643" s="3">
        <f>IFERROR(AD643-VLOOKUP($C643,Assumptions!$A$29:$C$32,3,FALSE),"")</f>
        <v/>
      </c>
      <c r="AF643" s="3">
        <f>IFERROR(AE643/F643,"")</f>
        <v/>
      </c>
      <c r="AG643">
        <f>IF(AND($E643=TRUE,$C643="GKP"),AD643,"")</f>
        <v/>
      </c>
      <c r="AH643">
        <f>IF(AND($E643=TRUE,$C643="DEF"),AD643,"")</f>
        <v/>
      </c>
      <c r="AI643">
        <f>IF(AND($E643=TRUE,$C643="MID"),AD643,"")</f>
        <v/>
      </c>
      <c r="AJ643">
        <f>IF(AND($E643=TRUE,$C643="FWD"),AD643,"")</f>
        <v/>
      </c>
    </row>
    <row r="644">
      <c r="A644" t="inlineStr">
        <is>
          <t>Yerson Mosquera</t>
        </is>
      </c>
      <c r="D644" t="inlineStr">
        <is>
          <t>DEF</t>
        </is>
      </c>
      <c r="E644" t="b">
        <v>0</v>
      </c>
      <c r="F644" s="2" t="n"/>
      <c r="I644" s="2" t="n">
        <v>2142</v>
      </c>
      <c r="K644" s="3" t="n"/>
      <c r="M644" s="4" t="n">
        <v>2142</v>
      </c>
      <c r="N644" s="4" t="n"/>
      <c r="O644" s="3" t="n">
        <v>0.0837</v>
      </c>
      <c r="P644" t="inlineStr">
        <is>
          <t>adjusted xGOT</t>
        </is>
      </c>
      <c r="Q644" s="3" t="n">
        <v>0.793</v>
      </c>
      <c r="R644" s="3" t="n">
        <v>2.8</v>
      </c>
      <c r="S644" s="3" t="n">
        <v>0.0505</v>
      </c>
      <c r="T644" s="3" t="n">
        <v>0.417</v>
      </c>
      <c r="U644" s="3" t="n">
        <v>0.1261</v>
      </c>
      <c r="V644" s="3" t="n">
        <v>2.143</v>
      </c>
      <c r="W644" s="3">
        <f>IF(V644="",IFERROR(VLOOKUP($C644,Assumptions!$A$4:$F$7,6,FALSE),0),V644)</f>
        <v/>
      </c>
      <c r="X644" s="3">
        <f>N(O644)*IFERROR(VLOOKUP($C644,Assumptions!$A$4:$F$7,2,FALSE),0)</f>
        <v/>
      </c>
      <c r="Y644" s="3">
        <f>N(S644)*IFERROR(VLOOKUP($C644,Assumptions!$A$4:$F$7,3,FALSE),0)*Assumptions!$B$11</f>
        <v/>
      </c>
      <c r="Z644" s="3">
        <f>N(N644)*IFERROR(VLOOKUP($C644,Assumptions!$A$4:$F$7,4,FALSE),0)</f>
        <v/>
      </c>
      <c r="AA644" s="3">
        <f>N(T644)*IFERROR(VLOOKUP($C644,Assumptions!$A$4:$F$7,5,FALSE),0)</f>
        <v/>
      </c>
      <c r="AB644" s="3">
        <f>N(U644)</f>
        <v/>
      </c>
      <c r="AC644" s="3">
        <f>SUM(W644:AB644)</f>
        <v/>
      </c>
      <c r="AD644" s="3">
        <f>N(AC644)*N(M644)/90</f>
        <v/>
      </c>
      <c r="AE644" s="3">
        <f>IFERROR(AD644-VLOOKUP($C644,Assumptions!$A$29:$C$32,3,FALSE),"")</f>
        <v/>
      </c>
      <c r="AF644" s="3">
        <f>IFERROR(AE644/F644,"")</f>
        <v/>
      </c>
      <c r="AG644">
        <f>IF(AND($E644=TRUE,$C644="GKP"),AD644,"")</f>
        <v/>
      </c>
      <c r="AH644">
        <f>IF(AND($E644=TRUE,$C644="DEF"),AD644,"")</f>
        <v/>
      </c>
      <c r="AI644">
        <f>IF(AND($E644=TRUE,$C644="MID"),AD644,"")</f>
        <v/>
      </c>
      <c r="AJ644">
        <f>IF(AND($E644=TRUE,$C644="FWD"),AD644,"")</f>
        <v/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b">
        <v>1</v>
      </c>
      <c r="F645" s="2" t="n">
        <v>4</v>
      </c>
      <c r="G645" t="inlineStr">
        <is>
          <t>i</t>
        </is>
      </c>
      <c r="H645" t="inlineStr">
        <is>
          <t>Groin injury - Unknown return date</t>
        </is>
      </c>
      <c r="I645" s="2" t="n"/>
      <c r="K645" s="3" t="n">
        <v>2673</v>
      </c>
      <c r="L645" t="inlineStr">
        <is>
          <t>ramp-up (injury / late WC return)</t>
        </is>
      </c>
      <c r="M645" s="4" t="n"/>
      <c r="N645" s="4" t="n"/>
      <c r="O645" s="3" t="n"/>
      <c r="P645" t="inlineStr"/>
      <c r="Q645" s="3" t="n"/>
      <c r="R645" s="3" t="n"/>
      <c r="S645" s="3" t="n"/>
      <c r="T645" s="3" t="n"/>
      <c r="U645" s="3" t="n"/>
      <c r="V645" s="3" t="n"/>
      <c r="W645" s="3">
        <f>IF(V645="",IFERROR(VLOOKUP($C645,Assumptions!$A$4:$F$7,6,FALSE),0),V645)</f>
        <v/>
      </c>
      <c r="X645" s="3">
        <f>N(O645)*IFERROR(VLOOKUP($C645,Assumptions!$A$4:$F$7,2,FALSE),0)</f>
        <v/>
      </c>
      <c r="Y645" s="3">
        <f>N(S645)*IFERROR(VLOOKUP($C645,Assumptions!$A$4:$F$7,3,FALSE),0)*Assumptions!$B$11</f>
        <v/>
      </c>
      <c r="Z645" s="3">
        <f>N(N645)*IFERROR(VLOOKUP($C645,Assumptions!$A$4:$F$7,4,FALSE),0)</f>
        <v/>
      </c>
      <c r="AA645" s="3">
        <f>N(T645)*IFERROR(VLOOKUP($C645,Assumptions!$A$4:$F$7,5,FALSE),0)</f>
        <v/>
      </c>
      <c r="AB645" s="3">
        <f>N(U645)</f>
        <v/>
      </c>
      <c r="AC645" s="3">
        <f>SUM(W645:AB645)</f>
        <v/>
      </c>
      <c r="AD645" s="3">
        <f>N(AC645)*N(M645)/90</f>
        <v/>
      </c>
      <c r="AE645" s="3">
        <f>IFERROR(AD645-VLOOKUP($C645,Assumptions!$A$29:$C$32,3,FALSE),"")</f>
        <v/>
      </c>
      <c r="AF645" s="3">
        <f>IFERROR(AE645/F645,"")</f>
        <v/>
      </c>
      <c r="AG645">
        <f>IF(AND($E645=TRUE,$C645="GKP"),AD645,"")</f>
        <v/>
      </c>
      <c r="AH645">
        <f>IF(AND($E645=TRUE,$C645="DEF"),AD645,"")</f>
        <v/>
      </c>
      <c r="AI645">
        <f>IF(AND($E645=TRUE,$C645="MID"),AD645,"")</f>
        <v/>
      </c>
      <c r="AJ645">
        <f>IF(AND($E645=TRUE,$C645="FWD"),AD645,"")</f>
        <v/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b">
        <v>1</v>
      </c>
      <c r="F646" s="2" t="n">
        <v>5</v>
      </c>
      <c r="G646" t="inlineStr">
        <is>
          <t>d</t>
        </is>
      </c>
      <c r="H646" t="inlineStr">
        <is>
          <t>Hamstring injury - 75% chance of playing</t>
        </is>
      </c>
      <c r="I646" s="2" t="n"/>
      <c r="K646" s="3" t="n">
        <v>0</v>
      </c>
      <c r="L646" t="inlineStr">
        <is>
          <t>flat</t>
        </is>
      </c>
      <c r="M646" s="4" t="n"/>
      <c r="N646" s="4" t="n">
        <v>0.237</v>
      </c>
      <c r="O646" s="3" t="n"/>
      <c r="P646" t="inlineStr"/>
      <c r="Q646" s="3" t="n"/>
      <c r="R646" s="3" t="n"/>
      <c r="S646" s="3" t="n"/>
      <c r="T646" s="3" t="n"/>
      <c r="U646" s="3" t="n"/>
      <c r="V646" s="3" t="n"/>
      <c r="W646" s="3">
        <f>IF(V646="",IFERROR(VLOOKUP($C646,Assumptions!$A$4:$F$7,6,FALSE),0),V646)</f>
        <v/>
      </c>
      <c r="X646" s="3">
        <f>N(O646)*IFERROR(VLOOKUP($C646,Assumptions!$A$4:$F$7,2,FALSE),0)</f>
        <v/>
      </c>
      <c r="Y646" s="3">
        <f>N(S646)*IFERROR(VLOOKUP($C646,Assumptions!$A$4:$F$7,3,FALSE),0)*Assumptions!$B$11</f>
        <v/>
      </c>
      <c r="Z646" s="3">
        <f>N(N646)*IFERROR(VLOOKUP($C646,Assumptions!$A$4:$F$7,4,FALSE),0)</f>
        <v/>
      </c>
      <c r="AA646" s="3">
        <f>N(T646)*IFERROR(VLOOKUP($C646,Assumptions!$A$4:$F$7,5,FALSE),0)</f>
        <v/>
      </c>
      <c r="AB646" s="3">
        <f>N(U646)</f>
        <v/>
      </c>
      <c r="AC646" s="3">
        <f>SUM(W646:AB646)</f>
        <v/>
      </c>
      <c r="AD646" s="3">
        <f>N(AC646)*N(M646)/90</f>
        <v/>
      </c>
      <c r="AE646" s="3">
        <f>IFERROR(AD646-VLOOKUP($C646,Assumptions!$A$29:$C$32,3,FALSE),"")</f>
        <v/>
      </c>
      <c r="AF646" s="3">
        <f>IFERROR(AE646/F646,"")</f>
        <v/>
      </c>
      <c r="AG646">
        <f>IF(AND($E646=TRUE,$C646="GKP"),AD646,"")</f>
        <v/>
      </c>
      <c r="AH646">
        <f>IF(AND($E646=TRUE,$C646="DEF"),AD646,"")</f>
        <v/>
      </c>
      <c r="AI646">
        <f>IF(AND($E646=TRUE,$C646="MID"),AD646,"")</f>
        <v/>
      </c>
      <c r="AJ646">
        <f>IF(AND($E646=TRUE,$C646="FWD"),AD646,"")</f>
        <v/>
      </c>
    </row>
    <row r="647">
      <c r="A647" t="inlineStr">
        <is>
          <t>Lesley Ugochukwu</t>
        </is>
      </c>
      <c r="D647" t="inlineStr">
        <is>
          <t>MID</t>
        </is>
      </c>
      <c r="E647" t="b">
        <v>0</v>
      </c>
      <c r="F647" s="2" t="n"/>
      <c r="I647" s="2" t="n">
        <v>2350</v>
      </c>
      <c r="K647" s="3" t="n"/>
      <c r="M647" s="4" t="n">
        <v>2350</v>
      </c>
      <c r="N647" s="4" t="n"/>
      <c r="O647" s="3" t="n">
        <v>0.0936</v>
      </c>
      <c r="P647" t="inlineStr">
        <is>
          <t>adjusted xGOT</t>
        </is>
      </c>
      <c r="Q647" s="3" t="n">
        <v>0.978</v>
      </c>
      <c r="R647" s="3" t="n">
        <v>3.4</v>
      </c>
      <c r="S647" s="3" t="n">
        <v>0.0172</v>
      </c>
      <c r="T647" s="3" t="n">
        <v>0.296</v>
      </c>
      <c r="U647" s="3" t="n">
        <v>0.1532</v>
      </c>
      <c r="V647" s="3" t="n">
        <v>2.336</v>
      </c>
      <c r="W647" s="3">
        <f>IF(V647="",IFERROR(VLOOKUP($C647,Assumptions!$A$4:$F$7,6,FALSE),0),V647)</f>
        <v/>
      </c>
      <c r="X647" s="3">
        <f>N(O647)*IFERROR(VLOOKUP($C647,Assumptions!$A$4:$F$7,2,FALSE),0)</f>
        <v/>
      </c>
      <c r="Y647" s="3">
        <f>N(S647)*IFERROR(VLOOKUP($C647,Assumptions!$A$4:$F$7,3,FALSE),0)*Assumptions!$B$11</f>
        <v/>
      </c>
      <c r="Z647" s="3">
        <f>N(N647)*IFERROR(VLOOKUP($C647,Assumptions!$A$4:$F$7,4,FALSE),0)</f>
        <v/>
      </c>
      <c r="AA647" s="3">
        <f>N(T647)*IFERROR(VLOOKUP($C647,Assumptions!$A$4:$F$7,5,FALSE),0)</f>
        <v/>
      </c>
      <c r="AB647" s="3">
        <f>N(U647)</f>
        <v/>
      </c>
      <c r="AC647" s="3">
        <f>SUM(W647:AB647)</f>
        <v/>
      </c>
      <c r="AD647" s="3">
        <f>N(AC647)*N(M647)/90</f>
        <v/>
      </c>
      <c r="AE647" s="3">
        <f>IFERROR(AD647-VLOOKUP($C647,Assumptions!$A$29:$C$32,3,FALSE),"")</f>
        <v/>
      </c>
      <c r="AF647" s="3">
        <f>IFERROR(AE647/F647,"")</f>
        <v/>
      </c>
      <c r="AG647">
        <f>IF(AND($E647=TRUE,$C647="GKP"),AD647,"")</f>
        <v/>
      </c>
      <c r="AH647">
        <f>IF(AND($E647=TRUE,$C647="DEF"),AD647,"")</f>
        <v/>
      </c>
      <c r="AI647">
        <f>IF(AND($E647=TRUE,$C647="MID"),AD647,"")</f>
        <v/>
      </c>
      <c r="AJ647">
        <f>IF(AND($E647=TRUE,$C647="FWD"),AD647,"")</f>
        <v/>
      </c>
    </row>
    <row r="648">
      <c r="A648" t="inlineStr">
        <is>
          <t>André</t>
        </is>
      </c>
      <c r="D648" t="inlineStr">
        <is>
          <t>MID</t>
        </is>
      </c>
      <c r="E648" t="b">
        <v>0</v>
      </c>
      <c r="F648" s="2" t="n"/>
      <c r="I648" s="2" t="n">
        <v>2766</v>
      </c>
      <c r="K648" s="3" t="n"/>
      <c r="M648" s="4" t="n">
        <v>2766</v>
      </c>
      <c r="N648" s="4" t="n"/>
      <c r="O648" s="3" t="n">
        <v>0.0154</v>
      </c>
      <c r="P648" t="inlineStr">
        <is>
          <t>adjusted xGOT</t>
        </is>
      </c>
      <c r="Q648" s="3" t="n">
        <v>0.907</v>
      </c>
      <c r="R648" s="3" t="n">
        <v>0.9</v>
      </c>
      <c r="S648" s="3" t="n">
        <v>0.0406</v>
      </c>
      <c r="T648" s="3" t="n">
        <v>0.733</v>
      </c>
      <c r="U648" s="3" t="n">
        <v>0.1302</v>
      </c>
      <c r="V648" s="3" t="n">
        <v>2.115</v>
      </c>
      <c r="W648" s="3">
        <f>IF(V648="",IFERROR(VLOOKUP($C648,Assumptions!$A$4:$F$7,6,FALSE),0),V648)</f>
        <v/>
      </c>
      <c r="X648" s="3">
        <f>N(O648)*IFERROR(VLOOKUP($C648,Assumptions!$A$4:$F$7,2,FALSE),0)</f>
        <v/>
      </c>
      <c r="Y648" s="3">
        <f>N(S648)*IFERROR(VLOOKUP($C648,Assumptions!$A$4:$F$7,3,FALSE),0)*Assumptions!$B$11</f>
        <v/>
      </c>
      <c r="Z648" s="3">
        <f>N(N648)*IFERROR(VLOOKUP($C648,Assumptions!$A$4:$F$7,4,FALSE),0)</f>
        <v/>
      </c>
      <c r="AA648" s="3">
        <f>N(T648)*IFERROR(VLOOKUP($C648,Assumptions!$A$4:$F$7,5,FALSE),0)</f>
        <v/>
      </c>
      <c r="AB648" s="3">
        <f>N(U648)</f>
        <v/>
      </c>
      <c r="AC648" s="3">
        <f>SUM(W648:AB648)</f>
        <v/>
      </c>
      <c r="AD648" s="3">
        <f>N(AC648)*N(M648)/90</f>
        <v/>
      </c>
      <c r="AE648" s="3">
        <f>IFERROR(AD648-VLOOKUP($C648,Assumptions!$A$29:$C$32,3,FALSE),"")</f>
        <v/>
      </c>
      <c r="AF648" s="3">
        <f>IFERROR(AE648/F648,"")</f>
        <v/>
      </c>
      <c r="AG648">
        <f>IF(AND($E648=TRUE,$C648="GKP"),AD648,"")</f>
        <v/>
      </c>
      <c r="AH648">
        <f>IF(AND($E648=TRUE,$C648="DEF"),AD648,"")</f>
        <v/>
      </c>
      <c r="AI648">
        <f>IF(AND($E648=TRUE,$C648="MID"),AD648,"")</f>
        <v/>
      </c>
      <c r="AJ648">
        <f>IF(AND($E648=TRUE,$C648="FWD"),AD648,"")</f>
        <v/>
      </c>
    </row>
    <row r="649">
      <c r="A649" t="inlineStr">
        <is>
          <t>Toti Gomes</t>
        </is>
      </c>
      <c r="D649" t="inlineStr">
        <is>
          <t>DEF</t>
        </is>
      </c>
      <c r="E649" t="b">
        <v>0</v>
      </c>
      <c r="F649" s="2" t="n"/>
      <c r="I649" s="2" t="n">
        <v>1427</v>
      </c>
      <c r="K649" s="3" t="n"/>
      <c r="M649" s="4" t="n">
        <v>1427</v>
      </c>
      <c r="N649" s="4" t="n"/>
      <c r="O649" s="3" t="n">
        <v>0.0307</v>
      </c>
      <c r="P649" t="inlineStr">
        <is>
          <t>adjusted xGOT</t>
        </is>
      </c>
      <c r="Q649" s="3" t="n">
        <v>0.917</v>
      </c>
      <c r="R649" s="3" t="n">
        <v>3.2</v>
      </c>
      <c r="S649" s="3" t="n">
        <v>0.01</v>
      </c>
      <c r="T649" s="3" t="n">
        <v>0.471</v>
      </c>
      <c r="U649" s="3" t="n">
        <v>0</v>
      </c>
      <c r="V649" s="3" t="n">
        <v>2.144</v>
      </c>
      <c r="W649" s="3">
        <f>IF(V649="",IFERROR(VLOOKUP($C649,Assumptions!$A$4:$F$7,6,FALSE),0),V649)</f>
        <v/>
      </c>
      <c r="X649" s="3">
        <f>N(O649)*IFERROR(VLOOKUP($C649,Assumptions!$A$4:$F$7,2,FALSE),0)</f>
        <v/>
      </c>
      <c r="Y649" s="3">
        <f>N(S649)*IFERROR(VLOOKUP($C649,Assumptions!$A$4:$F$7,3,FALSE),0)*Assumptions!$B$11</f>
        <v/>
      </c>
      <c r="Z649" s="3">
        <f>N(N649)*IFERROR(VLOOKUP($C649,Assumptions!$A$4:$F$7,4,FALSE),0)</f>
        <v/>
      </c>
      <c r="AA649" s="3">
        <f>N(T649)*IFERROR(VLOOKUP($C649,Assumptions!$A$4:$F$7,5,FALSE),0)</f>
        <v/>
      </c>
      <c r="AB649" s="3">
        <f>N(U649)</f>
        <v/>
      </c>
      <c r="AC649" s="3">
        <f>SUM(W649:AB649)</f>
        <v/>
      </c>
      <c r="AD649" s="3">
        <f>N(AC649)*N(M649)/90</f>
        <v/>
      </c>
      <c r="AE649" s="3">
        <f>IFERROR(AD649-VLOOKUP($C649,Assumptions!$A$29:$C$32,3,FALSE),"")</f>
        <v/>
      </c>
      <c r="AF649" s="3">
        <f>IFERROR(AE649/F649,"")</f>
        <v/>
      </c>
      <c r="AG649">
        <f>IF(AND($E649=TRUE,$C649="GKP"),AD649,"")</f>
        <v/>
      </c>
      <c r="AH649">
        <f>IF(AND($E649=TRUE,$C649="DEF"),AD649,"")</f>
        <v/>
      </c>
      <c r="AI649">
        <f>IF(AND($E649=TRUE,$C649="MID"),AD649,"")</f>
        <v/>
      </c>
      <c r="AJ649">
        <f>IF(AND($E649=TRUE,$C649="FWD"),AD649,"")</f>
        <v/>
      </c>
    </row>
    <row r="650">
      <c r="A650" t="inlineStr">
        <is>
          <t>Jota Silva</t>
        </is>
      </c>
      <c r="D650" t="inlineStr">
        <is>
          <t>MID</t>
        </is>
      </c>
      <c r="E650" t="b">
        <v>0</v>
      </c>
      <c r="F650" s="2" t="n"/>
      <c r="I650" s="2" t="n">
        <v>11</v>
      </c>
      <c r="K650" s="3" t="n"/>
      <c r="M650" s="4" t="n">
        <v>11</v>
      </c>
      <c r="N650" s="4" t="n"/>
      <c r="O650" s="3" t="n">
        <v>0</v>
      </c>
      <c r="P650" t="inlineStr">
        <is>
          <t>adjusted xGOT</t>
        </is>
      </c>
      <c r="Q650" s="3" t="n">
        <v>0.987</v>
      </c>
      <c r="R650" s="3" t="n">
        <v>2.1</v>
      </c>
      <c r="S650" s="3" t="n">
        <v>0</v>
      </c>
      <c r="T650" s="3" t="n"/>
      <c r="U650" s="3" t="n">
        <v>0</v>
      </c>
      <c r="V650" s="3" t="n">
        <v>8.182</v>
      </c>
      <c r="W650" s="3">
        <f>IF(V650="",IFERROR(VLOOKUP($C650,Assumptions!$A$4:$F$7,6,FALSE),0),V650)</f>
        <v/>
      </c>
      <c r="X650" s="3">
        <f>N(O650)*IFERROR(VLOOKUP($C650,Assumptions!$A$4:$F$7,2,FALSE),0)</f>
        <v/>
      </c>
      <c r="Y650" s="3">
        <f>N(S650)*IFERROR(VLOOKUP($C650,Assumptions!$A$4:$F$7,3,FALSE),0)*Assumptions!$B$11</f>
        <v/>
      </c>
      <c r="Z650" s="3">
        <f>N(N650)*IFERROR(VLOOKUP($C650,Assumptions!$A$4:$F$7,4,FALSE),0)</f>
        <v/>
      </c>
      <c r="AA650" s="3">
        <f>N(T650)*IFERROR(VLOOKUP($C650,Assumptions!$A$4:$F$7,5,FALSE),0)</f>
        <v/>
      </c>
      <c r="AB650" s="3">
        <f>N(U650)</f>
        <v/>
      </c>
      <c r="AC650" s="3">
        <f>SUM(W650:AB650)</f>
        <v/>
      </c>
      <c r="AD650" s="3">
        <f>N(AC650)*N(M650)/90</f>
        <v/>
      </c>
      <c r="AE650" s="3">
        <f>IFERROR(AD650-VLOOKUP($C650,Assumptions!$A$29:$C$32,3,FALSE),"")</f>
        <v/>
      </c>
      <c r="AF650" s="3">
        <f>IFERROR(AE650/F650,"")</f>
        <v/>
      </c>
      <c r="AG650">
        <f>IF(AND($E650=TRUE,$C650="GKP"),AD650,"")</f>
        <v/>
      </c>
      <c r="AH650">
        <f>IF(AND($E650=TRUE,$C650="DEF"),AD650,"")</f>
        <v/>
      </c>
      <c r="AI650">
        <f>IF(AND($E650=TRUE,$C650="MID"),AD650,"")</f>
        <v/>
      </c>
      <c r="AJ650">
        <f>IF(AND($E650=TRUE,$C650="FWD"),AD650,"")</f>
        <v/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b">
        <v>1</v>
      </c>
      <c r="F651" s="2" t="n">
        <v>4.5</v>
      </c>
      <c r="G651" t="inlineStr">
        <is>
          <t>a</t>
        </is>
      </c>
      <c r="I651" s="2" t="n"/>
      <c r="K651" s="3" t="n">
        <v>80</v>
      </c>
      <c r="L651" t="inlineStr">
        <is>
          <t>flat</t>
        </is>
      </c>
      <c r="M651" s="4" t="n"/>
      <c r="N651" s="4" t="n">
        <v>0.263</v>
      </c>
      <c r="O651" s="3" t="n"/>
      <c r="P651" t="inlineStr"/>
      <c r="Q651" s="3" t="n"/>
      <c r="R651" s="3" t="n"/>
      <c r="S651" s="3" t="n"/>
      <c r="T651" s="3" t="n"/>
      <c r="U651" s="3" t="n"/>
      <c r="V651" s="3" t="n"/>
      <c r="W651" s="3">
        <f>IF(V651="",IFERROR(VLOOKUP($C651,Assumptions!$A$4:$F$7,6,FALSE),0),V651)</f>
        <v/>
      </c>
      <c r="X651" s="3">
        <f>N(O651)*IFERROR(VLOOKUP($C651,Assumptions!$A$4:$F$7,2,FALSE),0)</f>
        <v/>
      </c>
      <c r="Y651" s="3">
        <f>N(S651)*IFERROR(VLOOKUP($C651,Assumptions!$A$4:$F$7,3,FALSE),0)*Assumptions!$B$11</f>
        <v/>
      </c>
      <c r="Z651" s="3">
        <f>N(N651)*IFERROR(VLOOKUP($C651,Assumptions!$A$4:$F$7,4,FALSE),0)</f>
        <v/>
      </c>
      <c r="AA651" s="3">
        <f>N(T651)*IFERROR(VLOOKUP($C651,Assumptions!$A$4:$F$7,5,FALSE),0)</f>
        <v/>
      </c>
      <c r="AB651" s="3">
        <f>N(U651)</f>
        <v/>
      </c>
      <c r="AC651" s="3">
        <f>SUM(W651:AB651)</f>
        <v/>
      </c>
      <c r="AD651" s="3">
        <f>N(AC651)*N(M651)/90</f>
        <v/>
      </c>
      <c r="AE651" s="3">
        <f>IFERROR(AD651-VLOOKUP($C651,Assumptions!$A$29:$C$32,3,FALSE),"")</f>
        <v/>
      </c>
      <c r="AF651" s="3">
        <f>IFERROR(AE651/F651,"")</f>
        <v/>
      </c>
      <c r="AG651">
        <f>IF(AND($E651=TRUE,$C651="GKP"),AD651,"")</f>
        <v/>
      </c>
      <c r="AH651">
        <f>IF(AND($E651=TRUE,$C651="DEF"),AD651,"")</f>
        <v/>
      </c>
      <c r="AI651">
        <f>IF(AND($E651=TRUE,$C651="MID"),AD651,"")</f>
        <v/>
      </c>
      <c r="AJ651">
        <f>IF(AND($E651=TRUE,$C651="FWD"),AD651,"")</f>
        <v/>
      </c>
    </row>
    <row r="652">
      <c r="A652" t="inlineStr">
        <is>
          <t>Brajan Gruda</t>
        </is>
      </c>
      <c r="D652" t="inlineStr">
        <is>
          <t>MID</t>
        </is>
      </c>
      <c r="E652" t="b">
        <v>0</v>
      </c>
      <c r="F652" s="2" t="n"/>
      <c r="I652" s="2" t="n">
        <v>715</v>
      </c>
      <c r="K652" s="3" t="n"/>
      <c r="M652" s="4" t="n">
        <v>715</v>
      </c>
      <c r="N652" s="4" t="n"/>
      <c r="O652" s="3" t="n">
        <v>0.2424</v>
      </c>
      <c r="P652" t="inlineStr">
        <is>
          <t>adjusted xGOT</t>
        </is>
      </c>
      <c r="Q652" s="3" t="n">
        <v>1.035</v>
      </c>
      <c r="R652" s="3" t="n">
        <v>3</v>
      </c>
      <c r="S652" s="3" t="n">
        <v>0.153</v>
      </c>
      <c r="T652" s="3" t="n">
        <v>0</v>
      </c>
      <c r="U652" s="3" t="n">
        <v>0.3776</v>
      </c>
      <c r="V652" s="3" t="n">
        <v>3.147</v>
      </c>
      <c r="W652" s="3">
        <f>IF(V652="",IFERROR(VLOOKUP($C652,Assumptions!$A$4:$F$7,6,FALSE),0),V652)</f>
        <v/>
      </c>
      <c r="X652" s="3">
        <f>N(O652)*IFERROR(VLOOKUP($C652,Assumptions!$A$4:$F$7,2,FALSE),0)</f>
        <v/>
      </c>
      <c r="Y652" s="3">
        <f>N(S652)*IFERROR(VLOOKUP($C652,Assumptions!$A$4:$F$7,3,FALSE),0)*Assumptions!$B$11</f>
        <v/>
      </c>
      <c r="Z652" s="3">
        <f>N(N652)*IFERROR(VLOOKUP($C652,Assumptions!$A$4:$F$7,4,FALSE),0)</f>
        <v/>
      </c>
      <c r="AA652" s="3">
        <f>N(T652)*IFERROR(VLOOKUP($C652,Assumptions!$A$4:$F$7,5,FALSE),0)</f>
        <v/>
      </c>
      <c r="AB652" s="3">
        <f>N(U652)</f>
        <v/>
      </c>
      <c r="AC652" s="3">
        <f>SUM(W652:AB652)</f>
        <v/>
      </c>
      <c r="AD652" s="3">
        <f>N(AC652)*N(M652)/90</f>
        <v/>
      </c>
      <c r="AE652" s="3">
        <f>IFERROR(AD652-VLOOKUP($C652,Assumptions!$A$29:$C$32,3,FALSE),"")</f>
        <v/>
      </c>
      <c r="AF652" s="3">
        <f>IFERROR(AE652/F652,"")</f>
        <v/>
      </c>
      <c r="AG652">
        <f>IF(AND($E652=TRUE,$C652="GKP"),AD652,"")</f>
        <v/>
      </c>
      <c r="AH652">
        <f>IF(AND($E652=TRUE,$C652="DEF"),AD652,"")</f>
        <v/>
      </c>
      <c r="AI652">
        <f>IF(AND($E652=TRUE,$C652="MID"),AD652,"")</f>
        <v/>
      </c>
      <c r="AJ652">
        <f>IF(AND($E652=TRUE,$C652="FWD"),AD652,"")</f>
        <v/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b">
        <v>1</v>
      </c>
      <c r="F653" s="2" t="n">
        <v>5.5</v>
      </c>
      <c r="G653" t="inlineStr">
        <is>
          <t>a</t>
        </is>
      </c>
      <c r="I653" s="2" t="n"/>
      <c r="K653" s="3" t="n">
        <v>3050</v>
      </c>
      <c r="L653" t="inlineStr">
        <is>
          <t>flat</t>
        </is>
      </c>
      <c r="M653" s="4" t="n"/>
      <c r="N653" s="4" t="n">
        <v>0.263</v>
      </c>
      <c r="O653" s="3" t="n"/>
      <c r="P653" t="inlineStr"/>
      <c r="Q653" s="3" t="n"/>
      <c r="R653" s="3" t="n"/>
      <c r="S653" s="3" t="n"/>
      <c r="T653" s="3" t="n"/>
      <c r="U653" s="3" t="n"/>
      <c r="V653" s="3" t="n"/>
      <c r="W653" s="3">
        <f>IF(V653="",IFERROR(VLOOKUP($C653,Assumptions!$A$4:$F$7,6,FALSE),0),V653)</f>
        <v/>
      </c>
      <c r="X653" s="3">
        <f>N(O653)*IFERROR(VLOOKUP($C653,Assumptions!$A$4:$F$7,2,FALSE),0)</f>
        <v/>
      </c>
      <c r="Y653" s="3">
        <f>N(S653)*IFERROR(VLOOKUP($C653,Assumptions!$A$4:$F$7,3,FALSE),0)*Assumptions!$B$11</f>
        <v/>
      </c>
      <c r="Z653" s="3">
        <f>N(N653)*IFERROR(VLOOKUP($C653,Assumptions!$A$4:$F$7,4,FALSE),0)</f>
        <v/>
      </c>
      <c r="AA653" s="3">
        <f>N(T653)*IFERROR(VLOOKUP($C653,Assumptions!$A$4:$F$7,5,FALSE),0)</f>
        <v/>
      </c>
      <c r="AB653" s="3">
        <f>N(U653)</f>
        <v/>
      </c>
      <c r="AC653" s="3">
        <f>SUM(W653:AB653)</f>
        <v/>
      </c>
      <c r="AD653" s="3">
        <f>N(AC653)*N(M653)/90</f>
        <v/>
      </c>
      <c r="AE653" s="3">
        <f>IFERROR(AD653-VLOOKUP($C653,Assumptions!$A$29:$C$32,3,FALSE),"")</f>
        <v/>
      </c>
      <c r="AF653" s="3">
        <f>IFERROR(AE653/F653,"")</f>
        <v/>
      </c>
      <c r="AG653">
        <f>IF(AND($E653=TRUE,$C653="GKP"),AD653,"")</f>
        <v/>
      </c>
      <c r="AH653">
        <f>IF(AND($E653=TRUE,$C653="DEF"),AD653,"")</f>
        <v/>
      </c>
      <c r="AI653">
        <f>IF(AND($E653=TRUE,$C653="MID"),AD653,"")</f>
        <v/>
      </c>
      <c r="AJ653">
        <f>IF(AND($E653=TRUE,$C653="FWD"),AD653,"")</f>
        <v/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b">
        <v>1</v>
      </c>
      <c r="F654" s="2" t="n">
        <v>5</v>
      </c>
      <c r="G654" t="inlineStr">
        <is>
          <t>a</t>
        </is>
      </c>
      <c r="I654" s="2" t="n"/>
      <c r="K654" s="3" t="n">
        <v>0</v>
      </c>
      <c r="L654" t="inlineStr">
        <is>
          <t>flat</t>
        </is>
      </c>
      <c r="M654" s="4" t="n"/>
      <c r="N654" s="4" t="n">
        <v>0.263</v>
      </c>
      <c r="O654" s="3" t="n"/>
      <c r="P654" t="inlineStr"/>
      <c r="Q654" s="3" t="n"/>
      <c r="R654" s="3" t="n"/>
      <c r="S654" s="3" t="n"/>
      <c r="T654" s="3" t="n"/>
      <c r="U654" s="3" t="n"/>
      <c r="V654" s="3" t="n"/>
      <c r="W654" s="3">
        <f>IF(V654="",IFERROR(VLOOKUP($C654,Assumptions!$A$4:$F$7,6,FALSE),0),V654)</f>
        <v/>
      </c>
      <c r="X654" s="3">
        <f>N(O654)*IFERROR(VLOOKUP($C654,Assumptions!$A$4:$F$7,2,FALSE),0)</f>
        <v/>
      </c>
      <c r="Y654" s="3">
        <f>N(S654)*IFERROR(VLOOKUP($C654,Assumptions!$A$4:$F$7,3,FALSE),0)*Assumptions!$B$11</f>
        <v/>
      </c>
      <c r="Z654" s="3">
        <f>N(N654)*IFERROR(VLOOKUP($C654,Assumptions!$A$4:$F$7,4,FALSE),0)</f>
        <v/>
      </c>
      <c r="AA654" s="3">
        <f>N(T654)*IFERROR(VLOOKUP($C654,Assumptions!$A$4:$F$7,5,FALSE),0)</f>
        <v/>
      </c>
      <c r="AB654" s="3">
        <f>N(U654)</f>
        <v/>
      </c>
      <c r="AC654" s="3">
        <f>SUM(W654:AB654)</f>
        <v/>
      </c>
      <c r="AD654" s="3">
        <f>N(AC654)*N(M654)/90</f>
        <v/>
      </c>
      <c r="AE654" s="3">
        <f>IFERROR(AD654-VLOOKUP($C654,Assumptions!$A$29:$C$32,3,FALSE),"")</f>
        <v/>
      </c>
      <c r="AF654" s="3">
        <f>IFERROR(AE654/F654,"")</f>
        <v/>
      </c>
      <c r="AG654">
        <f>IF(AND($E654=TRUE,$C654="GKP"),AD654,"")</f>
        <v/>
      </c>
      <c r="AH654">
        <f>IF(AND($E654=TRUE,$C654="DEF"),AD654,"")</f>
        <v/>
      </c>
      <c r="AI654">
        <f>IF(AND($E654=TRUE,$C654="MID"),AD654,"")</f>
        <v/>
      </c>
      <c r="AJ654">
        <f>IF(AND($E654=TRUE,$C654="FWD"),AD654,"")</f>
        <v/>
      </c>
    </row>
    <row r="655">
      <c r="A655" t="inlineStr">
        <is>
          <t>Emmanuel Agbadou</t>
        </is>
      </c>
      <c r="D655" t="inlineStr">
        <is>
          <t>DEF</t>
        </is>
      </c>
      <c r="E655" t="b">
        <v>0</v>
      </c>
      <c r="F655" s="2" t="n"/>
      <c r="I655" s="2" t="n">
        <v>1101</v>
      </c>
      <c r="K655" s="3" t="n"/>
      <c r="M655" s="4" t="n">
        <v>1101</v>
      </c>
      <c r="N655" s="4" t="n"/>
      <c r="O655" s="3" t="n">
        <v>0.0468</v>
      </c>
      <c r="P655" t="inlineStr">
        <is>
          <t>adjusted xGOT</t>
        </is>
      </c>
      <c r="Q655" s="3" t="n">
        <v>1.003</v>
      </c>
      <c r="R655" s="3" t="n">
        <v>1.5</v>
      </c>
      <c r="S655" s="3" t="n">
        <v>0.014</v>
      </c>
      <c r="T655" s="3" t="n">
        <v>0.5</v>
      </c>
      <c r="U655" s="3" t="n">
        <v>0</v>
      </c>
      <c r="V655" s="3" t="n">
        <v>2.044</v>
      </c>
      <c r="W655" s="3">
        <f>IF(V655="",IFERROR(VLOOKUP($C655,Assumptions!$A$4:$F$7,6,FALSE),0),V655)</f>
        <v/>
      </c>
      <c r="X655" s="3">
        <f>N(O655)*IFERROR(VLOOKUP($C655,Assumptions!$A$4:$F$7,2,FALSE),0)</f>
        <v/>
      </c>
      <c r="Y655" s="3">
        <f>N(S655)*IFERROR(VLOOKUP($C655,Assumptions!$A$4:$F$7,3,FALSE),0)*Assumptions!$B$11</f>
        <v/>
      </c>
      <c r="Z655" s="3">
        <f>N(N655)*IFERROR(VLOOKUP($C655,Assumptions!$A$4:$F$7,4,FALSE),0)</f>
        <v/>
      </c>
      <c r="AA655" s="3">
        <f>N(T655)*IFERROR(VLOOKUP($C655,Assumptions!$A$4:$F$7,5,FALSE),0)</f>
        <v/>
      </c>
      <c r="AB655" s="3">
        <f>N(U655)</f>
        <v/>
      </c>
      <c r="AC655" s="3">
        <f>SUM(W655:AB655)</f>
        <v/>
      </c>
      <c r="AD655" s="3">
        <f>N(AC655)*N(M655)/90</f>
        <v/>
      </c>
      <c r="AE655" s="3">
        <f>IFERROR(AD655-VLOOKUP($C655,Assumptions!$A$29:$C$32,3,FALSE),"")</f>
        <v/>
      </c>
      <c r="AF655" s="3">
        <f>IFERROR(AE655/F655,"")</f>
        <v/>
      </c>
      <c r="AG655">
        <f>IF(AND($E655=TRUE,$C655="GKP"),AD655,"")</f>
        <v/>
      </c>
      <c r="AH655">
        <f>IF(AND($E655=TRUE,$C655="DEF"),AD655,"")</f>
        <v/>
      </c>
      <c r="AI655">
        <f>IF(AND($E655=TRUE,$C655="MID"),AD655,"")</f>
        <v/>
      </c>
      <c r="AJ655">
        <f>IF(AND($E655=TRUE,$C655="FWD"),AD655,"")</f>
        <v/>
      </c>
    </row>
    <row r="656">
      <c r="A656" t="inlineStr">
        <is>
          <t>Max Weiss</t>
        </is>
      </c>
      <c r="D656" t="inlineStr">
        <is>
          <t>GKP</t>
        </is>
      </c>
      <c r="E656" t="b">
        <v>0</v>
      </c>
      <c r="F656" s="2" t="n"/>
      <c r="I656" s="2" t="n">
        <v>270</v>
      </c>
      <c r="K656" s="3" t="n"/>
      <c r="M656" s="4" t="n">
        <v>270</v>
      </c>
      <c r="N656" s="4" t="n"/>
      <c r="O656" s="3" t="n">
        <v>0</v>
      </c>
      <c r="P656" t="inlineStr">
        <is>
          <t>blended xG</t>
        </is>
      </c>
      <c r="Q656" s="3" t="n">
        <v>1</v>
      </c>
      <c r="R656" s="3" t="n">
        <v>0</v>
      </c>
      <c r="S656" s="3" t="n">
        <v>0.0536</v>
      </c>
      <c r="T656" s="3" t="n">
        <v>0</v>
      </c>
      <c r="U656" s="3" t="n">
        <v>0</v>
      </c>
      <c r="V656" s="3" t="n">
        <v>2</v>
      </c>
      <c r="W656" s="3">
        <f>IF(V656="",IFERROR(VLOOKUP($C656,Assumptions!$A$4:$F$7,6,FALSE),0),V656)</f>
        <v/>
      </c>
      <c r="X656" s="3">
        <f>N(O656)*IFERROR(VLOOKUP($C656,Assumptions!$A$4:$F$7,2,FALSE),0)</f>
        <v/>
      </c>
      <c r="Y656" s="3">
        <f>N(S656)*IFERROR(VLOOKUP($C656,Assumptions!$A$4:$F$7,3,FALSE),0)*Assumptions!$B$11</f>
        <v/>
      </c>
      <c r="Z656" s="3">
        <f>N(N656)*IFERROR(VLOOKUP($C656,Assumptions!$A$4:$F$7,4,FALSE),0)</f>
        <v/>
      </c>
      <c r="AA656" s="3">
        <f>N(T656)*IFERROR(VLOOKUP($C656,Assumptions!$A$4:$F$7,5,FALSE),0)</f>
        <v/>
      </c>
      <c r="AB656" s="3">
        <f>N(U656)</f>
        <v/>
      </c>
      <c r="AC656" s="3">
        <f>SUM(W656:AB656)</f>
        <v/>
      </c>
      <c r="AD656" s="3">
        <f>N(AC656)*N(M656)/90</f>
        <v/>
      </c>
      <c r="AE656" s="3">
        <f>IFERROR(AD656-VLOOKUP($C656,Assumptions!$A$29:$C$32,3,FALSE),"")</f>
        <v/>
      </c>
      <c r="AF656" s="3">
        <f>IFERROR(AE656/F656,"")</f>
        <v/>
      </c>
      <c r="AG656">
        <f>IF(AND($E656=TRUE,$C656="GKP"),AD656,"")</f>
        <v/>
      </c>
      <c r="AH656">
        <f>IF(AND($E656=TRUE,$C656="DEF"),AD656,"")</f>
        <v/>
      </c>
      <c r="AI656">
        <f>IF(AND($E656=TRUE,$C656="MID"),AD656,"")</f>
        <v/>
      </c>
      <c r="AJ656">
        <f>IF(AND($E656=TRUE,$C656="FWD"),AD656,"")</f>
        <v/>
      </c>
    </row>
    <row r="657">
      <c r="A657" t="inlineStr">
        <is>
          <t>Oliver Sonne</t>
        </is>
      </c>
      <c r="D657" t="inlineStr">
        <is>
          <t>DEF</t>
        </is>
      </c>
      <c r="E657" t="b">
        <v>0</v>
      </c>
      <c r="F657" s="2" t="n"/>
      <c r="I657" s="2" t="n">
        <v>165</v>
      </c>
      <c r="K657" s="3" t="n"/>
      <c r="M657" s="4" t="n">
        <v>165</v>
      </c>
      <c r="N657" s="4" t="n"/>
      <c r="O657" s="3" t="n">
        <v>0.3125</v>
      </c>
      <c r="P657" t="inlineStr">
        <is>
          <t>adjusted xGOT</t>
        </is>
      </c>
      <c r="Q657" s="3" t="n">
        <v>1.041</v>
      </c>
      <c r="R657" s="3" t="n">
        <v>0.6</v>
      </c>
      <c r="S657" s="3" t="n">
        <v>0.0147</v>
      </c>
      <c r="T657" s="3" t="n">
        <v>0</v>
      </c>
      <c r="U657" s="3" t="n">
        <v>0</v>
      </c>
      <c r="V657" s="3" t="n">
        <v>4.364</v>
      </c>
      <c r="W657" s="3">
        <f>IF(V657="",IFERROR(VLOOKUP($C657,Assumptions!$A$4:$F$7,6,FALSE),0),V657)</f>
        <v/>
      </c>
      <c r="X657" s="3">
        <f>N(O657)*IFERROR(VLOOKUP($C657,Assumptions!$A$4:$F$7,2,FALSE),0)</f>
        <v/>
      </c>
      <c r="Y657" s="3">
        <f>N(S657)*IFERROR(VLOOKUP($C657,Assumptions!$A$4:$F$7,3,FALSE),0)*Assumptions!$B$11</f>
        <v/>
      </c>
      <c r="Z657" s="3">
        <f>N(N657)*IFERROR(VLOOKUP($C657,Assumptions!$A$4:$F$7,4,FALSE),0)</f>
        <v/>
      </c>
      <c r="AA657" s="3">
        <f>N(T657)*IFERROR(VLOOKUP($C657,Assumptions!$A$4:$F$7,5,FALSE),0)</f>
        <v/>
      </c>
      <c r="AB657" s="3">
        <f>N(U657)</f>
        <v/>
      </c>
      <c r="AC657" s="3">
        <f>SUM(W657:AB657)</f>
        <v/>
      </c>
      <c r="AD657" s="3">
        <f>N(AC657)*N(M657)/90</f>
        <v/>
      </c>
      <c r="AE657" s="3">
        <f>IFERROR(AD657-VLOOKUP($C657,Assumptions!$A$29:$C$32,3,FALSE),"")</f>
        <v/>
      </c>
      <c r="AF657" s="3">
        <f>IFERROR(AE657/F657,"")</f>
        <v/>
      </c>
      <c r="AG657">
        <f>IF(AND($E657=TRUE,$C657="GKP"),AD657,"")</f>
        <v/>
      </c>
      <c r="AH657">
        <f>IF(AND($E657=TRUE,$C657="DEF"),AD657,"")</f>
        <v/>
      </c>
      <c r="AI657">
        <f>IF(AND($E657=TRUE,$C657="MID"),AD657,"")</f>
        <v/>
      </c>
      <c r="AJ657">
        <f>IF(AND($E657=TRUE,$C657="FWD"),AD657,"")</f>
        <v/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b">
        <v>1</v>
      </c>
      <c r="F658" s="2" t="n">
        <v>5</v>
      </c>
      <c r="G658" t="inlineStr">
        <is>
          <t>a</t>
        </is>
      </c>
      <c r="I658" s="2" t="n"/>
      <c r="K658" s="3" t="n">
        <v>3209</v>
      </c>
      <c r="L658" t="inlineStr">
        <is>
          <t>flat</t>
        </is>
      </c>
      <c r="M658" s="4" t="n"/>
      <c r="N658" s="4" t="n">
        <v>0.21</v>
      </c>
      <c r="O658" s="3" t="n"/>
      <c r="P658" t="inlineStr"/>
      <c r="Q658" s="3" t="n"/>
      <c r="R658" s="3" t="n"/>
      <c r="S658" s="3" t="n"/>
      <c r="T658" s="3" t="n"/>
      <c r="U658" s="3" t="n"/>
      <c r="V658" s="3" t="n"/>
      <c r="W658" s="3">
        <f>IF(V658="",IFERROR(VLOOKUP($C658,Assumptions!$A$4:$F$7,6,FALSE),0),V658)</f>
        <v/>
      </c>
      <c r="X658" s="3">
        <f>N(O658)*IFERROR(VLOOKUP($C658,Assumptions!$A$4:$F$7,2,FALSE),0)</f>
        <v/>
      </c>
      <c r="Y658" s="3">
        <f>N(S658)*IFERROR(VLOOKUP($C658,Assumptions!$A$4:$F$7,3,FALSE),0)*Assumptions!$B$11</f>
        <v/>
      </c>
      <c r="Z658" s="3">
        <f>N(N658)*IFERROR(VLOOKUP($C658,Assumptions!$A$4:$F$7,4,FALSE),0)</f>
        <v/>
      </c>
      <c r="AA658" s="3">
        <f>N(T658)*IFERROR(VLOOKUP($C658,Assumptions!$A$4:$F$7,5,FALSE),0)</f>
        <v/>
      </c>
      <c r="AB658" s="3">
        <f>N(U658)</f>
        <v/>
      </c>
      <c r="AC658" s="3">
        <f>SUM(W658:AB658)</f>
        <v/>
      </c>
      <c r="AD658" s="3">
        <f>N(AC658)*N(M658)/90</f>
        <v/>
      </c>
      <c r="AE658" s="3">
        <f>IFERROR(AD658-VLOOKUP($C658,Assumptions!$A$29:$C$32,3,FALSE),"")</f>
        <v/>
      </c>
      <c r="AF658" s="3">
        <f>IFERROR(AE658/F658,"")</f>
        <v/>
      </c>
      <c r="AG658">
        <f>IF(AND($E658=TRUE,$C658="GKP"),AD658,"")</f>
        <v/>
      </c>
      <c r="AH658">
        <f>IF(AND($E658=TRUE,$C658="DEF"),AD658,"")</f>
        <v/>
      </c>
      <c r="AI658">
        <f>IF(AND($E658=TRUE,$C658="MID"),AD658,"")</f>
        <v/>
      </c>
      <c r="AJ658">
        <f>IF(AND($E658=TRUE,$C658="FWD"),AD658,"")</f>
        <v/>
      </c>
    </row>
    <row r="659">
      <c r="A659" t="inlineStr">
        <is>
          <t>Jackson Tchatchoua</t>
        </is>
      </c>
      <c r="D659" t="inlineStr">
        <is>
          <t>DEF</t>
        </is>
      </c>
      <c r="E659" t="b">
        <v>0</v>
      </c>
      <c r="F659" s="2" t="n"/>
      <c r="I659" s="2" t="n">
        <v>1837</v>
      </c>
      <c r="K659" s="3" t="n"/>
      <c r="M659" s="4" t="n">
        <v>1837</v>
      </c>
      <c r="N659" s="4" t="n"/>
      <c r="O659" s="3" t="n">
        <v>0.0159</v>
      </c>
      <c r="P659" t="inlineStr">
        <is>
          <t>adjusted xGOT</t>
        </is>
      </c>
      <c r="Q659" s="3" t="n">
        <v>0.984</v>
      </c>
      <c r="R659" s="3" t="n">
        <v>0.3</v>
      </c>
      <c r="S659" s="3" t="n">
        <v>0.1099</v>
      </c>
      <c r="T659" s="3" t="n">
        <v>0.105</v>
      </c>
      <c r="U659" s="3" t="n">
        <v>0</v>
      </c>
      <c r="V659" s="3" t="n">
        <v>2.352</v>
      </c>
      <c r="W659" s="3">
        <f>IF(V659="",IFERROR(VLOOKUP($C659,Assumptions!$A$4:$F$7,6,FALSE),0),V659)</f>
        <v/>
      </c>
      <c r="X659" s="3">
        <f>N(O659)*IFERROR(VLOOKUP($C659,Assumptions!$A$4:$F$7,2,FALSE),0)</f>
        <v/>
      </c>
      <c r="Y659" s="3">
        <f>N(S659)*IFERROR(VLOOKUP($C659,Assumptions!$A$4:$F$7,3,FALSE),0)*Assumptions!$B$11</f>
        <v/>
      </c>
      <c r="Z659" s="3">
        <f>N(N659)*IFERROR(VLOOKUP($C659,Assumptions!$A$4:$F$7,4,FALSE),0)</f>
        <v/>
      </c>
      <c r="AA659" s="3">
        <f>N(T659)*IFERROR(VLOOKUP($C659,Assumptions!$A$4:$F$7,5,FALSE),0)</f>
        <v/>
      </c>
      <c r="AB659" s="3">
        <f>N(U659)</f>
        <v/>
      </c>
      <c r="AC659" s="3">
        <f>SUM(W659:AB659)</f>
        <v/>
      </c>
      <c r="AD659" s="3">
        <f>N(AC659)*N(M659)/90</f>
        <v/>
      </c>
      <c r="AE659" s="3">
        <f>IFERROR(AD659-VLOOKUP($C659,Assumptions!$A$29:$C$32,3,FALSE),"")</f>
        <v/>
      </c>
      <c r="AF659" s="3">
        <f>IFERROR(AE659/F659,"")</f>
        <v/>
      </c>
      <c r="AG659">
        <f>IF(AND($E659=TRUE,$C659="GKP"),AD659,"")</f>
        <v/>
      </c>
      <c r="AH659">
        <f>IF(AND($E659=TRUE,$C659="DEF"),AD659,"")</f>
        <v/>
      </c>
      <c r="AI659">
        <f>IF(AND($E659=TRUE,$C659="MID"),AD659,"")</f>
        <v/>
      </c>
      <c r="AJ659">
        <f>IF(AND($E659=TRUE,$C659="FWD"),AD659,"")</f>
        <v/>
      </c>
    </row>
    <row r="660">
      <c r="A660" t="inlineStr">
        <is>
          <t>Kaden Rodney</t>
        </is>
      </c>
      <c r="D660" t="inlineStr">
        <is>
          <t>MID</t>
        </is>
      </c>
      <c r="E660" t="b">
        <v>0</v>
      </c>
      <c r="F660" s="2" t="n"/>
      <c r="I660" s="2" t="n">
        <v>3</v>
      </c>
      <c r="K660" s="3" t="n"/>
      <c r="M660" s="4" t="n">
        <v>3</v>
      </c>
      <c r="N660" s="4" t="n"/>
      <c r="O660" s="3" t="n"/>
      <c r="P660" t="inlineStr"/>
      <c r="Q660" s="3" t="n">
        <v>1</v>
      </c>
      <c r="R660" s="3" t="n">
        <v>0</v>
      </c>
      <c r="S660" s="3" t="n"/>
      <c r="T660" s="3" t="n"/>
      <c r="U660" s="3" t="n">
        <v>0</v>
      </c>
      <c r="V660" s="3" t="n">
        <v>30</v>
      </c>
      <c r="W660" s="3">
        <f>IF(V660="",IFERROR(VLOOKUP($C660,Assumptions!$A$4:$F$7,6,FALSE),0),V660)</f>
        <v/>
      </c>
      <c r="X660" s="3">
        <f>N(O660)*IFERROR(VLOOKUP($C660,Assumptions!$A$4:$F$7,2,FALSE),0)</f>
        <v/>
      </c>
      <c r="Y660" s="3">
        <f>N(S660)*IFERROR(VLOOKUP($C660,Assumptions!$A$4:$F$7,3,FALSE),0)*Assumptions!$B$11</f>
        <v/>
      </c>
      <c r="Z660" s="3">
        <f>N(N660)*IFERROR(VLOOKUP($C660,Assumptions!$A$4:$F$7,4,FALSE),0)</f>
        <v/>
      </c>
      <c r="AA660" s="3">
        <f>N(T660)*IFERROR(VLOOKUP($C660,Assumptions!$A$4:$F$7,5,FALSE),0)</f>
        <v/>
      </c>
      <c r="AB660" s="3">
        <f>N(U660)</f>
        <v/>
      </c>
      <c r="AC660" s="3">
        <f>SUM(W660:AB660)</f>
        <v/>
      </c>
      <c r="AD660" s="3">
        <f>N(AC660)*N(M660)/90</f>
        <v/>
      </c>
      <c r="AE660" s="3">
        <f>IFERROR(AD660-VLOOKUP($C660,Assumptions!$A$29:$C$32,3,FALSE),"")</f>
        <v/>
      </c>
      <c r="AF660" s="3">
        <f>IFERROR(AE660/F660,"")</f>
        <v/>
      </c>
      <c r="AG660">
        <f>IF(AND($E660=TRUE,$C660="GKP"),AD660,"")</f>
        <v/>
      </c>
      <c r="AH660">
        <f>IF(AND($E660=TRUE,$C660="DEF"),AD660,"")</f>
        <v/>
      </c>
      <c r="AI660">
        <f>IF(AND($E660=TRUE,$C660="MID"),AD660,"")</f>
        <v/>
      </c>
      <c r="AJ660">
        <f>IF(AND($E660=TRUE,$C660="FWD"),AD660,"")</f>
        <v/>
      </c>
    </row>
    <row r="661">
      <c r="A661" t="inlineStr">
        <is>
          <t>Pablo</t>
        </is>
      </c>
      <c r="D661" t="inlineStr">
        <is>
          <t>FWD</t>
        </is>
      </c>
      <c r="E661" t="b">
        <v>0</v>
      </c>
      <c r="F661" s="2" t="n"/>
      <c r="I661" s="2" t="n">
        <v>826</v>
      </c>
      <c r="K661" s="3" t="n"/>
      <c r="M661" s="4" t="n">
        <v>826</v>
      </c>
      <c r="N661" s="4" t="n"/>
      <c r="O661" s="3" t="n">
        <v>0.1074</v>
      </c>
      <c r="P661" t="inlineStr">
        <is>
          <t>adjusted xGOT</t>
        </is>
      </c>
      <c r="Q661" s="3" t="n">
        <v>0.9389999999999999</v>
      </c>
      <c r="R661" s="3" t="n">
        <v>1</v>
      </c>
      <c r="S661" s="3" t="n">
        <v>0.1409</v>
      </c>
      <c r="T661" s="3" t="n">
        <v>0.3</v>
      </c>
      <c r="U661" s="3" t="n">
        <v>0</v>
      </c>
      <c r="V661" s="3" t="n">
        <v>2.506</v>
      </c>
      <c r="W661" s="3">
        <f>IF(V661="",IFERROR(VLOOKUP($C661,Assumptions!$A$4:$F$7,6,FALSE),0),V661)</f>
        <v/>
      </c>
      <c r="X661" s="3">
        <f>N(O661)*IFERROR(VLOOKUP($C661,Assumptions!$A$4:$F$7,2,FALSE),0)</f>
        <v/>
      </c>
      <c r="Y661" s="3">
        <f>N(S661)*IFERROR(VLOOKUP($C661,Assumptions!$A$4:$F$7,3,FALSE),0)*Assumptions!$B$11</f>
        <v/>
      </c>
      <c r="Z661" s="3">
        <f>N(N661)*IFERROR(VLOOKUP($C661,Assumptions!$A$4:$F$7,4,FALSE),0)</f>
        <v/>
      </c>
      <c r="AA661" s="3">
        <f>N(T661)*IFERROR(VLOOKUP($C661,Assumptions!$A$4:$F$7,5,FALSE),0)</f>
        <v/>
      </c>
      <c r="AB661" s="3">
        <f>N(U661)</f>
        <v/>
      </c>
      <c r="AC661" s="3">
        <f>SUM(W661:AB661)</f>
        <v/>
      </c>
      <c r="AD661" s="3">
        <f>N(AC661)*N(M661)/90</f>
        <v/>
      </c>
      <c r="AE661" s="3">
        <f>IFERROR(AD661-VLOOKUP($C661,Assumptions!$A$29:$C$32,3,FALSE),"")</f>
        <v/>
      </c>
      <c r="AF661" s="3">
        <f>IFERROR(AE661/F661,"")</f>
        <v/>
      </c>
      <c r="AG661">
        <f>IF(AND($E661=TRUE,$C661="GKP"),AD661,"")</f>
        <v/>
      </c>
      <c r="AH661">
        <f>IF(AND($E661=TRUE,$C661="DEF"),AD661,"")</f>
        <v/>
      </c>
      <c r="AI661">
        <f>IF(AND($E661=TRUE,$C661="MID"),AD661,"")</f>
        <v/>
      </c>
      <c r="AJ661">
        <f>IF(AND($E661=TRUE,$C661="FWD"),AD661,"")</f>
        <v/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b">
        <v>1</v>
      </c>
      <c r="F662" s="2" t="n">
        <v>5.5</v>
      </c>
      <c r="G662" t="inlineStr">
        <is>
          <t>a</t>
        </is>
      </c>
      <c r="I662" s="2" t="n"/>
      <c r="K662" s="3" t="n">
        <v>2189</v>
      </c>
      <c r="L662" t="inlineStr">
        <is>
          <t>flat</t>
        </is>
      </c>
      <c r="M662" s="4" t="n"/>
      <c r="N662" s="4" t="n"/>
      <c r="O662" s="3" t="n"/>
      <c r="P662" t="inlineStr"/>
      <c r="Q662" s="3" t="n"/>
      <c r="R662" s="3" t="n"/>
      <c r="S662" s="3" t="n"/>
      <c r="T662" s="3" t="n"/>
      <c r="U662" s="3" t="n"/>
      <c r="V662" s="3" t="n"/>
      <c r="W662" s="3">
        <f>IF(V662="",IFERROR(VLOOKUP($C662,Assumptions!$A$4:$F$7,6,FALSE),0),V662)</f>
        <v/>
      </c>
      <c r="X662" s="3">
        <f>N(O662)*IFERROR(VLOOKUP($C662,Assumptions!$A$4:$F$7,2,FALSE),0)</f>
        <v/>
      </c>
      <c r="Y662" s="3">
        <f>N(S662)*IFERROR(VLOOKUP($C662,Assumptions!$A$4:$F$7,3,FALSE),0)*Assumptions!$B$11</f>
        <v/>
      </c>
      <c r="Z662" s="3">
        <f>N(N662)*IFERROR(VLOOKUP($C662,Assumptions!$A$4:$F$7,4,FALSE),0)</f>
        <v/>
      </c>
      <c r="AA662" s="3">
        <f>N(T662)*IFERROR(VLOOKUP($C662,Assumptions!$A$4:$F$7,5,FALSE),0)</f>
        <v/>
      </c>
      <c r="AB662" s="3">
        <f>N(U662)</f>
        <v/>
      </c>
      <c r="AC662" s="3">
        <f>SUM(W662:AB662)</f>
        <v/>
      </c>
      <c r="AD662" s="3">
        <f>N(AC662)*N(M662)/90</f>
        <v/>
      </c>
      <c r="AE662" s="3">
        <f>IFERROR(AD662-VLOOKUP($C662,Assumptions!$A$29:$C$32,3,FALSE),"")</f>
        <v/>
      </c>
      <c r="AF662" s="3">
        <f>IFERROR(AE662/F662,"")</f>
        <v/>
      </c>
      <c r="AG662">
        <f>IF(AND($E662=TRUE,$C662="GKP"),AD662,"")</f>
        <v/>
      </c>
      <c r="AH662">
        <f>IF(AND($E662=TRUE,$C662="DEF"),AD662,"")</f>
        <v/>
      </c>
      <c r="AI662">
        <f>IF(AND($E662=TRUE,$C662="MID"),AD662,"")</f>
        <v/>
      </c>
      <c r="AJ662">
        <f>IF(AND($E662=TRUE,$C662="FWD"),AD662,"")</f>
        <v/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b">
        <v>1</v>
      </c>
      <c r="F663" s="2" t="n">
        <v>4.5</v>
      </c>
      <c r="G663" t="inlineStr">
        <is>
          <t>u</t>
        </is>
      </c>
      <c r="H663" t="inlineStr">
        <is>
          <t>Has joined Sheffield Wednesday on loan for the rest of the season</t>
        </is>
      </c>
      <c r="I663" s="2" t="n"/>
      <c r="K663" s="3" t="n"/>
      <c r="M663" s="4" t="n"/>
      <c r="N663" s="4" t="n"/>
      <c r="O663" s="3" t="n"/>
      <c r="P663" t="inlineStr"/>
      <c r="Q663" s="3" t="n"/>
      <c r="R663" s="3" t="n"/>
      <c r="S663" s="3" t="n"/>
      <c r="T663" s="3" t="n"/>
      <c r="U663" s="3" t="n"/>
      <c r="V663" s="3" t="n"/>
      <c r="W663" s="3">
        <f>IF(V663="",IFERROR(VLOOKUP($C663,Assumptions!$A$4:$F$7,6,FALSE),0),V663)</f>
        <v/>
      </c>
      <c r="X663" s="3">
        <f>N(O663)*IFERROR(VLOOKUP($C663,Assumptions!$A$4:$F$7,2,FALSE),0)</f>
        <v/>
      </c>
      <c r="Y663" s="3">
        <f>N(S663)*IFERROR(VLOOKUP($C663,Assumptions!$A$4:$F$7,3,FALSE),0)*Assumptions!$B$11</f>
        <v/>
      </c>
      <c r="Z663" s="3">
        <f>N(N663)*IFERROR(VLOOKUP($C663,Assumptions!$A$4:$F$7,4,FALSE),0)</f>
        <v/>
      </c>
      <c r="AA663" s="3">
        <f>N(T663)*IFERROR(VLOOKUP($C663,Assumptions!$A$4:$F$7,5,FALSE),0)</f>
        <v/>
      </c>
      <c r="AB663" s="3">
        <f>N(U663)</f>
        <v/>
      </c>
      <c r="AC663" s="3">
        <f>SUM(W663:AB663)</f>
        <v/>
      </c>
      <c r="AD663" s="3">
        <f>N(AC663)*N(M663)/90</f>
        <v/>
      </c>
      <c r="AE663" s="3">
        <f>IFERROR(AD663-VLOOKUP($C663,Assumptions!$A$29:$C$32,3,FALSE),"")</f>
        <v/>
      </c>
      <c r="AF663" s="3">
        <f>IFERROR(AE663/F663,"")</f>
        <v/>
      </c>
      <c r="AG663">
        <f>IF(AND($E663=TRUE,$C663="GKP"),AD663,"")</f>
        <v/>
      </c>
      <c r="AH663">
        <f>IF(AND($E663=TRUE,$C663="DEF"),AD663,"")</f>
        <v/>
      </c>
      <c r="AI663">
        <f>IF(AND($E663=TRUE,$C663="MID"),AD663,"")</f>
        <v/>
      </c>
      <c r="AJ663">
        <f>IF(AND($E663=TRUE,$C663="FWD"),AD663,"")</f>
        <v/>
      </c>
    </row>
    <row r="664">
      <c r="A664" t="inlineStr">
        <is>
          <t>Ollie Scarles</t>
        </is>
      </c>
      <c r="D664" t="inlineStr">
        <is>
          <t>DEF</t>
        </is>
      </c>
      <c r="E664" t="b">
        <v>0</v>
      </c>
      <c r="F664" s="2" t="n"/>
      <c r="I664" s="2" t="n">
        <v>659</v>
      </c>
      <c r="K664" s="3" t="n"/>
      <c r="M664" s="4" t="n">
        <v>659</v>
      </c>
      <c r="N664" s="4" t="n"/>
      <c r="O664" s="3" t="n">
        <v>0.0238</v>
      </c>
      <c r="P664" t="inlineStr">
        <is>
          <t>adjusted xGOT</t>
        </is>
      </c>
      <c r="Q664" s="3" t="n">
        <v>0.965</v>
      </c>
      <c r="R664" s="3" t="n">
        <v>0.3</v>
      </c>
      <c r="S664" s="3" t="n">
        <v>0.1333</v>
      </c>
      <c r="T664" s="3" t="n">
        <v>0.222</v>
      </c>
      <c r="U664" s="3" t="n">
        <v>0</v>
      </c>
      <c r="V664" s="3" t="n">
        <v>2.731</v>
      </c>
      <c r="W664" s="3">
        <f>IF(V664="",IFERROR(VLOOKUP($C664,Assumptions!$A$4:$F$7,6,FALSE),0),V664)</f>
        <v/>
      </c>
      <c r="X664" s="3">
        <f>N(O664)*IFERROR(VLOOKUP($C664,Assumptions!$A$4:$F$7,2,FALSE),0)</f>
        <v/>
      </c>
      <c r="Y664" s="3">
        <f>N(S664)*IFERROR(VLOOKUP($C664,Assumptions!$A$4:$F$7,3,FALSE),0)*Assumptions!$B$11</f>
        <v/>
      </c>
      <c r="Z664" s="3">
        <f>N(N664)*IFERROR(VLOOKUP($C664,Assumptions!$A$4:$F$7,4,FALSE),0)</f>
        <v/>
      </c>
      <c r="AA664" s="3">
        <f>N(T664)*IFERROR(VLOOKUP($C664,Assumptions!$A$4:$F$7,5,FALSE),0)</f>
        <v/>
      </c>
      <c r="AB664" s="3">
        <f>N(U664)</f>
        <v/>
      </c>
      <c r="AC664" s="3">
        <f>SUM(W664:AB664)</f>
        <v/>
      </c>
      <c r="AD664" s="3">
        <f>N(AC664)*N(M664)/90</f>
        <v/>
      </c>
      <c r="AE664" s="3">
        <f>IFERROR(AD664-VLOOKUP($C664,Assumptions!$A$29:$C$32,3,FALSE),"")</f>
        <v/>
      </c>
      <c r="AF664" s="3">
        <f>IFERROR(AE664/F664,"")</f>
        <v/>
      </c>
      <c r="AG664">
        <f>IF(AND($E664=TRUE,$C664="GKP"),AD664,"")</f>
        <v/>
      </c>
      <c r="AH664">
        <f>IF(AND($E664=TRUE,$C664="DEF"),AD664,"")</f>
        <v/>
      </c>
      <c r="AI664">
        <f>IF(AND($E664=TRUE,$C664="MID"),AD664,"")</f>
        <v/>
      </c>
      <c r="AJ664">
        <f>IF(AND($E664=TRUE,$C664="FWD"),AD664,"")</f>
        <v/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b">
        <v>1</v>
      </c>
      <c r="F665" s="2" t="n">
        <v>4</v>
      </c>
      <c r="G665" t="inlineStr">
        <is>
          <t>a</t>
        </is>
      </c>
      <c r="I665" s="2" t="n"/>
      <c r="K665" s="3" t="n">
        <v>0</v>
      </c>
      <c r="L665" t="inlineStr">
        <is>
          <t>flat</t>
        </is>
      </c>
      <c r="M665" s="4" t="n"/>
      <c r="N665" s="4" t="n">
        <v>0.237</v>
      </c>
      <c r="O665" s="3" t="n"/>
      <c r="P665" t="inlineStr"/>
      <c r="Q665" s="3" t="n"/>
      <c r="R665" s="3" t="n"/>
      <c r="S665" s="3" t="n"/>
      <c r="T665" s="3" t="n"/>
      <c r="U665" s="3" t="n"/>
      <c r="V665" s="3" t="n"/>
      <c r="W665" s="3">
        <f>IF(V665="",IFERROR(VLOOKUP($C665,Assumptions!$A$4:$F$7,6,FALSE),0),V665)</f>
        <v/>
      </c>
      <c r="X665" s="3">
        <f>N(O665)*IFERROR(VLOOKUP($C665,Assumptions!$A$4:$F$7,2,FALSE),0)</f>
        <v/>
      </c>
      <c r="Y665" s="3">
        <f>N(S665)*IFERROR(VLOOKUP($C665,Assumptions!$A$4:$F$7,3,FALSE),0)*Assumptions!$B$11</f>
        <v/>
      </c>
      <c r="Z665" s="3">
        <f>N(N665)*IFERROR(VLOOKUP($C665,Assumptions!$A$4:$F$7,4,FALSE),0)</f>
        <v/>
      </c>
      <c r="AA665" s="3">
        <f>N(T665)*IFERROR(VLOOKUP($C665,Assumptions!$A$4:$F$7,5,FALSE),0)</f>
        <v/>
      </c>
      <c r="AB665" s="3">
        <f>N(U665)</f>
        <v/>
      </c>
      <c r="AC665" s="3">
        <f>SUM(W665:AB665)</f>
        <v/>
      </c>
      <c r="AD665" s="3">
        <f>N(AC665)*N(M665)/90</f>
        <v/>
      </c>
      <c r="AE665" s="3">
        <f>IFERROR(AD665-VLOOKUP($C665,Assumptions!$A$29:$C$32,3,FALSE),"")</f>
        <v/>
      </c>
      <c r="AF665" s="3">
        <f>IFERROR(AE665/F665,"")</f>
        <v/>
      </c>
      <c r="AG665">
        <f>IF(AND($E665=TRUE,$C665="GKP"),AD665,"")</f>
        <v/>
      </c>
      <c r="AH665">
        <f>IF(AND($E665=TRUE,$C665="DEF"),AD665,"")</f>
        <v/>
      </c>
      <c r="AI665">
        <f>IF(AND($E665=TRUE,$C665="MID"),AD665,"")</f>
        <v/>
      </c>
      <c r="AJ665">
        <f>IF(AND($E665=TRUE,$C665="FWD"),AD665,"")</f>
        <v/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b">
        <v>1</v>
      </c>
      <c r="F666" s="2" t="n">
        <v>4</v>
      </c>
      <c r="G666" t="inlineStr">
        <is>
          <t>a</t>
        </is>
      </c>
      <c r="I666" s="2" t="n"/>
      <c r="K666" s="3" t="n">
        <v>2725</v>
      </c>
      <c r="L666" t="inlineStr">
        <is>
          <t>flat</t>
        </is>
      </c>
      <c r="M666" s="4" t="n"/>
      <c r="N666" s="4" t="n"/>
      <c r="O666" s="3" t="n"/>
      <c r="P666" t="inlineStr"/>
      <c r="Q666" s="3" t="n"/>
      <c r="R666" s="3" t="n"/>
      <c r="S666" s="3" t="n"/>
      <c r="T666" s="3" t="n"/>
      <c r="U666" s="3" t="n"/>
      <c r="V666" s="3" t="n"/>
      <c r="W666" s="3">
        <f>IF(V666="",IFERROR(VLOOKUP($C666,Assumptions!$A$4:$F$7,6,FALSE),0),V666)</f>
        <v/>
      </c>
      <c r="X666" s="3">
        <f>N(O666)*IFERROR(VLOOKUP($C666,Assumptions!$A$4:$F$7,2,FALSE),0)</f>
        <v/>
      </c>
      <c r="Y666" s="3">
        <f>N(S666)*IFERROR(VLOOKUP($C666,Assumptions!$A$4:$F$7,3,FALSE),0)*Assumptions!$B$11</f>
        <v/>
      </c>
      <c r="Z666" s="3">
        <f>N(N666)*IFERROR(VLOOKUP($C666,Assumptions!$A$4:$F$7,4,FALSE),0)</f>
        <v/>
      </c>
      <c r="AA666" s="3">
        <f>N(T666)*IFERROR(VLOOKUP($C666,Assumptions!$A$4:$F$7,5,FALSE),0)</f>
        <v/>
      </c>
      <c r="AB666" s="3">
        <f>N(U666)</f>
        <v/>
      </c>
      <c r="AC666" s="3">
        <f>SUM(W666:AB666)</f>
        <v/>
      </c>
      <c r="AD666" s="3">
        <f>N(AC666)*N(M666)/90</f>
        <v/>
      </c>
      <c r="AE666" s="3">
        <f>IFERROR(AD666-VLOOKUP($C666,Assumptions!$A$29:$C$32,3,FALSE),"")</f>
        <v/>
      </c>
      <c r="AF666" s="3">
        <f>IFERROR(AE666/F666,"")</f>
        <v/>
      </c>
      <c r="AG666">
        <f>IF(AND($E666=TRUE,$C666="GKP"),AD666,"")</f>
        <v/>
      </c>
      <c r="AH666">
        <f>IF(AND($E666=TRUE,$C666="DEF"),AD666,"")</f>
        <v/>
      </c>
      <c r="AI666">
        <f>IF(AND($E666=TRUE,$C666="MID"),AD666,"")</f>
        <v/>
      </c>
      <c r="AJ666">
        <f>IF(AND($E666=TRUE,$C666="FWD"),AD666,"")</f>
        <v/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b">
        <v>1</v>
      </c>
      <c r="F667" s="2" t="n">
        <v>5</v>
      </c>
      <c r="G667" t="inlineStr">
        <is>
          <t>a</t>
        </is>
      </c>
      <c r="I667" s="2" t="n"/>
      <c r="K667" s="3" t="n">
        <v>2257</v>
      </c>
      <c r="L667" t="inlineStr">
        <is>
          <t>flat</t>
        </is>
      </c>
      <c r="M667" s="4" t="n"/>
      <c r="N667" s="4" t="n"/>
      <c r="O667" s="3" t="n"/>
      <c r="P667" t="inlineStr"/>
      <c r="Q667" s="3" t="n"/>
      <c r="R667" s="3" t="n"/>
      <c r="S667" s="3" t="n"/>
      <c r="T667" s="3" t="n"/>
      <c r="U667" s="3" t="n"/>
      <c r="V667" s="3" t="n"/>
      <c r="W667" s="3">
        <f>IF(V667="",IFERROR(VLOOKUP($C667,Assumptions!$A$4:$F$7,6,FALSE),0),V667)</f>
        <v/>
      </c>
      <c r="X667" s="3">
        <f>N(O667)*IFERROR(VLOOKUP($C667,Assumptions!$A$4:$F$7,2,FALSE),0)</f>
        <v/>
      </c>
      <c r="Y667" s="3">
        <f>N(S667)*IFERROR(VLOOKUP($C667,Assumptions!$A$4:$F$7,3,FALSE),0)*Assumptions!$B$11</f>
        <v/>
      </c>
      <c r="Z667" s="3">
        <f>N(N667)*IFERROR(VLOOKUP($C667,Assumptions!$A$4:$F$7,4,FALSE),0)</f>
        <v/>
      </c>
      <c r="AA667" s="3">
        <f>N(T667)*IFERROR(VLOOKUP($C667,Assumptions!$A$4:$F$7,5,FALSE),0)</f>
        <v/>
      </c>
      <c r="AB667" s="3">
        <f>N(U667)</f>
        <v/>
      </c>
      <c r="AC667" s="3">
        <f>SUM(W667:AB667)</f>
        <v/>
      </c>
      <c r="AD667" s="3">
        <f>N(AC667)*N(M667)/90</f>
        <v/>
      </c>
      <c r="AE667" s="3">
        <f>IFERROR(AD667-VLOOKUP($C667,Assumptions!$A$29:$C$32,3,FALSE),"")</f>
        <v/>
      </c>
      <c r="AF667" s="3">
        <f>IFERROR(AE667/F667,"")</f>
        <v/>
      </c>
      <c r="AG667">
        <f>IF(AND($E667=TRUE,$C667="GKP"),AD667,"")</f>
        <v/>
      </c>
      <c r="AH667">
        <f>IF(AND($E667=TRUE,$C667="DEF"),AD667,"")</f>
        <v/>
      </c>
      <c r="AI667">
        <f>IF(AND($E667=TRUE,$C667="MID"),AD667,"")</f>
        <v/>
      </c>
      <c r="AJ667">
        <f>IF(AND($E667=TRUE,$C667="FWD"),AD667,"")</f>
        <v/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b">
        <v>1</v>
      </c>
      <c r="F668" s="2" t="n">
        <v>5.5</v>
      </c>
      <c r="G668" t="inlineStr">
        <is>
          <t>a</t>
        </is>
      </c>
      <c r="I668" s="2" t="n"/>
      <c r="K668" s="3" t="n">
        <v>315</v>
      </c>
      <c r="L668" t="inlineStr">
        <is>
          <t>flat</t>
        </is>
      </c>
      <c r="M668" s="4" t="n"/>
      <c r="N668" s="4" t="n">
        <v>0.237</v>
      </c>
      <c r="O668" s="3" t="n"/>
      <c r="P668" t="inlineStr"/>
      <c r="Q668" s="3" t="n"/>
      <c r="R668" s="3" t="n"/>
      <c r="S668" s="3" t="n"/>
      <c r="T668" s="3" t="n"/>
      <c r="U668" s="3" t="n"/>
      <c r="V668" s="3" t="n"/>
      <c r="W668" s="3">
        <f>IF(V668="",IFERROR(VLOOKUP($C668,Assumptions!$A$4:$F$7,6,FALSE),0),V668)</f>
        <v/>
      </c>
      <c r="X668" s="3">
        <f>N(O668)*IFERROR(VLOOKUP($C668,Assumptions!$A$4:$F$7,2,FALSE),0)</f>
        <v/>
      </c>
      <c r="Y668" s="3">
        <f>N(S668)*IFERROR(VLOOKUP($C668,Assumptions!$A$4:$F$7,3,FALSE),0)*Assumptions!$B$11</f>
        <v/>
      </c>
      <c r="Z668" s="3">
        <f>N(N668)*IFERROR(VLOOKUP($C668,Assumptions!$A$4:$F$7,4,FALSE),0)</f>
        <v/>
      </c>
      <c r="AA668" s="3">
        <f>N(T668)*IFERROR(VLOOKUP($C668,Assumptions!$A$4:$F$7,5,FALSE),0)</f>
        <v/>
      </c>
      <c r="AB668" s="3">
        <f>N(U668)</f>
        <v/>
      </c>
      <c r="AC668" s="3">
        <f>SUM(W668:AB668)</f>
        <v/>
      </c>
      <c r="AD668" s="3">
        <f>N(AC668)*N(M668)/90</f>
        <v/>
      </c>
      <c r="AE668" s="3">
        <f>IFERROR(AD668-VLOOKUP($C668,Assumptions!$A$29:$C$32,3,FALSE),"")</f>
        <v/>
      </c>
      <c r="AF668" s="3">
        <f>IFERROR(AE668/F668,"")</f>
        <v/>
      </c>
      <c r="AG668">
        <f>IF(AND($E668=TRUE,$C668="GKP"),AD668,"")</f>
        <v/>
      </c>
      <c r="AH668">
        <f>IF(AND($E668=TRUE,$C668="DEF"),AD668,"")</f>
        <v/>
      </c>
      <c r="AI668">
        <f>IF(AND($E668=TRUE,$C668="MID"),AD668,"")</f>
        <v/>
      </c>
      <c r="AJ668">
        <f>IF(AND($E668=TRUE,$C668="FWD"),AD668,"")</f>
        <v/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b">
        <v>1</v>
      </c>
      <c r="F669" s="2" t="n">
        <v>5.5</v>
      </c>
      <c r="G669" t="inlineStr">
        <is>
          <t>a</t>
        </is>
      </c>
      <c r="I669" s="2" t="n"/>
      <c r="K669" s="3" t="n">
        <v>2366</v>
      </c>
      <c r="L669" t="inlineStr">
        <is>
          <t>flat</t>
        </is>
      </c>
      <c r="M669" s="4" t="n"/>
      <c r="N669" s="4" t="n"/>
      <c r="O669" s="3" t="n"/>
      <c r="P669" t="inlineStr"/>
      <c r="Q669" s="3" t="n"/>
      <c r="R669" s="3" t="n"/>
      <c r="S669" s="3" t="n"/>
      <c r="T669" s="3" t="n"/>
      <c r="U669" s="3" t="n"/>
      <c r="V669" s="3" t="n"/>
      <c r="W669" s="3">
        <f>IF(V669="",IFERROR(VLOOKUP($C669,Assumptions!$A$4:$F$7,6,FALSE),0),V669)</f>
        <v/>
      </c>
      <c r="X669" s="3">
        <f>N(O669)*IFERROR(VLOOKUP($C669,Assumptions!$A$4:$F$7,2,FALSE),0)</f>
        <v/>
      </c>
      <c r="Y669" s="3">
        <f>N(S669)*IFERROR(VLOOKUP($C669,Assumptions!$A$4:$F$7,3,FALSE),0)*Assumptions!$B$11</f>
        <v/>
      </c>
      <c r="Z669" s="3">
        <f>N(N669)*IFERROR(VLOOKUP($C669,Assumptions!$A$4:$F$7,4,FALSE),0)</f>
        <v/>
      </c>
      <c r="AA669" s="3">
        <f>N(T669)*IFERROR(VLOOKUP($C669,Assumptions!$A$4:$F$7,5,FALSE),0)</f>
        <v/>
      </c>
      <c r="AB669" s="3">
        <f>N(U669)</f>
        <v/>
      </c>
      <c r="AC669" s="3">
        <f>SUM(W669:AB669)</f>
        <v/>
      </c>
      <c r="AD669" s="3">
        <f>N(AC669)*N(M669)/90</f>
        <v/>
      </c>
      <c r="AE669" s="3">
        <f>IFERROR(AD669-VLOOKUP($C669,Assumptions!$A$29:$C$32,3,FALSE),"")</f>
        <v/>
      </c>
      <c r="AF669" s="3">
        <f>IFERROR(AE669/F669,"")</f>
        <v/>
      </c>
      <c r="AG669">
        <f>IF(AND($E669=TRUE,$C669="GKP"),AD669,"")</f>
        <v/>
      </c>
      <c r="AH669">
        <f>IF(AND($E669=TRUE,$C669="DEF"),AD669,"")</f>
        <v/>
      </c>
      <c r="AI669">
        <f>IF(AND($E669=TRUE,$C669="MID"),AD669,"")</f>
        <v/>
      </c>
      <c r="AJ669">
        <f>IF(AND($E669=TRUE,$C669="FWD"),AD669,"")</f>
        <v/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b">
        <v>1</v>
      </c>
      <c r="F670" s="2" t="n">
        <v>4.5</v>
      </c>
      <c r="G670" t="inlineStr">
        <is>
          <t>a</t>
        </is>
      </c>
      <c r="I670" s="2" t="n"/>
      <c r="K670" s="3" t="n">
        <v>35</v>
      </c>
      <c r="L670" t="inlineStr">
        <is>
          <t>flat</t>
        </is>
      </c>
      <c r="M670" s="4" t="n"/>
      <c r="N670" s="4" t="n"/>
      <c r="O670" s="3" t="n"/>
      <c r="P670" t="inlineStr"/>
      <c r="Q670" s="3" t="n"/>
      <c r="R670" s="3" t="n"/>
      <c r="S670" s="3" t="n"/>
      <c r="T670" s="3" t="n">
        <v>0</v>
      </c>
      <c r="U670" s="3" t="n"/>
      <c r="V670" s="3" t="n"/>
      <c r="W670" s="3">
        <f>IF(V670="",IFERROR(VLOOKUP($C670,Assumptions!$A$4:$F$7,6,FALSE),0),V670)</f>
        <v/>
      </c>
      <c r="X670" s="3">
        <f>N(O670)*IFERROR(VLOOKUP($C670,Assumptions!$A$4:$F$7,2,FALSE),0)</f>
        <v/>
      </c>
      <c r="Y670" s="3">
        <f>N(S670)*IFERROR(VLOOKUP($C670,Assumptions!$A$4:$F$7,3,FALSE),0)*Assumptions!$B$11</f>
        <v/>
      </c>
      <c r="Z670" s="3">
        <f>N(N670)*IFERROR(VLOOKUP($C670,Assumptions!$A$4:$F$7,4,FALSE),0)</f>
        <v/>
      </c>
      <c r="AA670" s="3">
        <f>N(T670)*IFERROR(VLOOKUP($C670,Assumptions!$A$4:$F$7,5,FALSE),0)</f>
        <v/>
      </c>
      <c r="AB670" s="3">
        <f>N(U670)</f>
        <v/>
      </c>
      <c r="AC670" s="3">
        <f>SUM(W670:AB670)</f>
        <v/>
      </c>
      <c r="AD670" s="3">
        <f>N(AC670)*N(M670)/90</f>
        <v/>
      </c>
      <c r="AE670" s="3">
        <f>IFERROR(AD670-VLOOKUP($C670,Assumptions!$A$29:$C$32,3,FALSE),"")</f>
        <v/>
      </c>
      <c r="AF670" s="3">
        <f>IFERROR(AE670/F670,"")</f>
        <v/>
      </c>
      <c r="AG670">
        <f>IF(AND($E670=TRUE,$C670="GKP"),AD670,"")</f>
        <v/>
      </c>
      <c r="AH670">
        <f>IF(AND($E670=TRUE,$C670="DEF"),AD670,"")</f>
        <v/>
      </c>
      <c r="AI670">
        <f>IF(AND($E670=TRUE,$C670="MID"),AD670,"")</f>
        <v/>
      </c>
      <c r="AJ670">
        <f>IF(AND($E670=TRUE,$C670="FWD"),AD670,"")</f>
        <v/>
      </c>
    </row>
    <row r="671">
      <c r="A671" t="inlineStr">
        <is>
          <t>Lucas Pires</t>
        </is>
      </c>
      <c r="D671" t="inlineStr">
        <is>
          <t>DEF</t>
        </is>
      </c>
      <c r="E671" t="b">
        <v>0</v>
      </c>
      <c r="F671" s="2" t="n"/>
      <c r="I671" s="2" t="n">
        <v>1406</v>
      </c>
      <c r="K671" s="3" t="n"/>
      <c r="M671" s="4" t="n">
        <v>1406</v>
      </c>
      <c r="N671" s="4" t="n"/>
      <c r="O671" s="3" t="n">
        <v>0.0371</v>
      </c>
      <c r="P671" t="inlineStr">
        <is>
          <t>adjusted xGOT</t>
        </is>
      </c>
      <c r="Q671" s="3" t="n">
        <v>0.965</v>
      </c>
      <c r="R671" s="3" t="n">
        <v>0.6</v>
      </c>
      <c r="S671" s="3" t="n">
        <v>0.0973</v>
      </c>
      <c r="T671" s="3" t="n">
        <v>0.067</v>
      </c>
      <c r="U671" s="3" t="n">
        <v>0</v>
      </c>
      <c r="V671" s="3" t="n">
        <v>2.176</v>
      </c>
      <c r="W671" s="3">
        <f>IF(V671="",IFERROR(VLOOKUP($C671,Assumptions!$A$4:$F$7,6,FALSE),0),V671)</f>
        <v/>
      </c>
      <c r="X671" s="3">
        <f>N(O671)*IFERROR(VLOOKUP($C671,Assumptions!$A$4:$F$7,2,FALSE),0)</f>
        <v/>
      </c>
      <c r="Y671" s="3">
        <f>N(S671)*IFERROR(VLOOKUP($C671,Assumptions!$A$4:$F$7,3,FALSE),0)*Assumptions!$B$11</f>
        <v/>
      </c>
      <c r="Z671" s="3">
        <f>N(N671)*IFERROR(VLOOKUP($C671,Assumptions!$A$4:$F$7,4,FALSE),0)</f>
        <v/>
      </c>
      <c r="AA671" s="3">
        <f>N(T671)*IFERROR(VLOOKUP($C671,Assumptions!$A$4:$F$7,5,FALSE),0)</f>
        <v/>
      </c>
      <c r="AB671" s="3">
        <f>N(U671)</f>
        <v/>
      </c>
      <c r="AC671" s="3">
        <f>SUM(W671:AB671)</f>
        <v/>
      </c>
      <c r="AD671" s="3">
        <f>N(AC671)*N(M671)/90</f>
        <v/>
      </c>
      <c r="AE671" s="3">
        <f>IFERROR(AD671-VLOOKUP($C671,Assumptions!$A$29:$C$32,3,FALSE),"")</f>
        <v/>
      </c>
      <c r="AF671" s="3">
        <f>IFERROR(AE671/F671,"")</f>
        <v/>
      </c>
      <c r="AG671">
        <f>IF(AND($E671=TRUE,$C671="GKP"),AD671,"")</f>
        <v/>
      </c>
      <c r="AH671">
        <f>IF(AND($E671=TRUE,$C671="DEF"),AD671,"")</f>
        <v/>
      </c>
      <c r="AI671">
        <f>IF(AND($E671=TRUE,$C671="MID"),AD671,"")</f>
        <v/>
      </c>
      <c r="AJ671">
        <f>IF(AND($E671=TRUE,$C671="FWD"),AD671,"")</f>
        <v/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b">
        <v>1</v>
      </c>
      <c r="F672" s="2" t="n">
        <v>4.5</v>
      </c>
      <c r="G672" t="inlineStr">
        <is>
          <t>u</t>
        </is>
      </c>
      <c r="H672" t="inlineStr">
        <is>
          <t>Has joined KVC Westerlo on loan for the rest of the season</t>
        </is>
      </c>
      <c r="I672" s="2" t="n"/>
      <c r="K672" s="3" t="n"/>
      <c r="M672" s="4" t="n"/>
      <c r="N672" s="4" t="n"/>
      <c r="O672" s="3" t="n"/>
      <c r="P672" t="inlineStr"/>
      <c r="Q672" s="3" t="n"/>
      <c r="R672" s="3" t="n"/>
      <c r="S672" s="3" t="n"/>
      <c r="T672" s="3" t="n"/>
      <c r="U672" s="3" t="n"/>
      <c r="V672" s="3" t="n"/>
      <c r="W672" s="3">
        <f>IF(V672="",IFERROR(VLOOKUP($C672,Assumptions!$A$4:$F$7,6,FALSE),0),V672)</f>
        <v/>
      </c>
      <c r="X672" s="3">
        <f>N(O672)*IFERROR(VLOOKUP($C672,Assumptions!$A$4:$F$7,2,FALSE),0)</f>
        <v/>
      </c>
      <c r="Y672" s="3">
        <f>N(S672)*IFERROR(VLOOKUP($C672,Assumptions!$A$4:$F$7,3,FALSE),0)*Assumptions!$B$11</f>
        <v/>
      </c>
      <c r="Z672" s="3">
        <f>N(N672)*IFERROR(VLOOKUP($C672,Assumptions!$A$4:$F$7,4,FALSE),0)</f>
        <v/>
      </c>
      <c r="AA672" s="3">
        <f>N(T672)*IFERROR(VLOOKUP($C672,Assumptions!$A$4:$F$7,5,FALSE),0)</f>
        <v/>
      </c>
      <c r="AB672" s="3">
        <f>N(U672)</f>
        <v/>
      </c>
      <c r="AC672" s="3">
        <f>SUM(W672:AB672)</f>
        <v/>
      </c>
      <c r="AD672" s="3">
        <f>N(AC672)*N(M672)/90</f>
        <v/>
      </c>
      <c r="AE672" s="3">
        <f>IFERROR(AD672-VLOOKUP($C672,Assumptions!$A$29:$C$32,3,FALSE),"")</f>
        <v/>
      </c>
      <c r="AF672" s="3">
        <f>IFERROR(AE672/F672,"")</f>
        <v/>
      </c>
      <c r="AG672">
        <f>IF(AND($E672=TRUE,$C672="GKP"),AD672,"")</f>
        <v/>
      </c>
      <c r="AH672">
        <f>IF(AND($E672=TRUE,$C672="DEF"),AD672,"")</f>
        <v/>
      </c>
      <c r="AI672">
        <f>IF(AND($E672=TRUE,$C672="MID"),AD672,"")</f>
        <v/>
      </c>
      <c r="AJ672">
        <f>IF(AND($E672=TRUE,$C672="FWD"),AD672,"")</f>
        <v/>
      </c>
    </row>
    <row r="673">
      <c r="A673" t="inlineStr">
        <is>
          <t>Jaydon Banel</t>
        </is>
      </c>
      <c r="D673" t="inlineStr">
        <is>
          <t>MID</t>
        </is>
      </c>
      <c r="E673" t="b">
        <v>0</v>
      </c>
      <c r="F673" s="2" t="n"/>
      <c r="I673" s="2" t="n">
        <v>9</v>
      </c>
      <c r="K673" s="3" t="n"/>
      <c r="M673" s="4" t="n">
        <v>9</v>
      </c>
      <c r="N673" s="4" t="n"/>
      <c r="O673" s="3" t="n">
        <v>0</v>
      </c>
      <c r="P673" t="inlineStr">
        <is>
          <t>blended xG</t>
        </is>
      </c>
      <c r="Q673" s="3" t="n">
        <v>1</v>
      </c>
      <c r="R673" s="3" t="n">
        <v>0</v>
      </c>
      <c r="S673" s="3" t="n">
        <v>0</v>
      </c>
      <c r="T673" s="3" t="n"/>
      <c r="U673" s="3" t="n">
        <v>0</v>
      </c>
      <c r="V673" s="3" t="n">
        <v>10</v>
      </c>
      <c r="W673" s="3">
        <f>IF(V673="",IFERROR(VLOOKUP($C673,Assumptions!$A$4:$F$7,6,FALSE),0),V673)</f>
        <v/>
      </c>
      <c r="X673" s="3">
        <f>N(O673)*IFERROR(VLOOKUP($C673,Assumptions!$A$4:$F$7,2,FALSE),0)</f>
        <v/>
      </c>
      <c r="Y673" s="3">
        <f>N(S673)*IFERROR(VLOOKUP($C673,Assumptions!$A$4:$F$7,3,FALSE),0)*Assumptions!$B$11</f>
        <v/>
      </c>
      <c r="Z673" s="3">
        <f>N(N673)*IFERROR(VLOOKUP($C673,Assumptions!$A$4:$F$7,4,FALSE),0)</f>
        <v/>
      </c>
      <c r="AA673" s="3">
        <f>N(T673)*IFERROR(VLOOKUP($C673,Assumptions!$A$4:$F$7,5,FALSE),0)</f>
        <v/>
      </c>
      <c r="AB673" s="3">
        <f>N(U673)</f>
        <v/>
      </c>
      <c r="AC673" s="3">
        <f>SUM(W673:AB673)</f>
        <v/>
      </c>
      <c r="AD673" s="3">
        <f>N(AC673)*N(M673)/90</f>
        <v/>
      </c>
      <c r="AE673" s="3">
        <f>IFERROR(AD673-VLOOKUP($C673,Assumptions!$A$29:$C$32,3,FALSE),"")</f>
        <v/>
      </c>
      <c r="AF673" s="3">
        <f>IFERROR(AE673/F673,"")</f>
        <v/>
      </c>
      <c r="AG673">
        <f>IF(AND($E673=TRUE,$C673="GKP"),AD673,"")</f>
        <v/>
      </c>
      <c r="AH673">
        <f>IF(AND($E673=TRUE,$C673="DEF"),AD673,"")</f>
        <v/>
      </c>
      <c r="AI673">
        <f>IF(AND($E673=TRUE,$C673="MID"),AD673,"")</f>
        <v/>
      </c>
      <c r="AJ673">
        <f>IF(AND($E673=TRUE,$C673="FWD"),AD673,"")</f>
        <v/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b">
        <v>1</v>
      </c>
      <c r="F674" s="2" t="n">
        <v>5</v>
      </c>
      <c r="G674" t="inlineStr">
        <is>
          <t>a</t>
        </is>
      </c>
      <c r="I674" s="2" t="n"/>
      <c r="K674" s="3" t="n">
        <v>0</v>
      </c>
      <c r="L674" t="inlineStr">
        <is>
          <t>flat</t>
        </is>
      </c>
      <c r="M674" s="4" t="n"/>
      <c r="N674" s="4" t="n"/>
      <c r="O674" s="3" t="n"/>
      <c r="P674" t="inlineStr"/>
      <c r="Q674" s="3" t="n"/>
      <c r="R674" s="3" t="n"/>
      <c r="S674" s="3" t="n"/>
      <c r="T674" s="3" t="n"/>
      <c r="U674" s="3" t="n"/>
      <c r="V674" s="3" t="n"/>
      <c r="W674" s="3">
        <f>IF(V674="",IFERROR(VLOOKUP($C674,Assumptions!$A$4:$F$7,6,FALSE),0),V674)</f>
        <v/>
      </c>
      <c r="X674" s="3">
        <f>N(O674)*IFERROR(VLOOKUP($C674,Assumptions!$A$4:$F$7,2,FALSE),0)</f>
        <v/>
      </c>
      <c r="Y674" s="3">
        <f>N(S674)*IFERROR(VLOOKUP($C674,Assumptions!$A$4:$F$7,3,FALSE),0)*Assumptions!$B$11</f>
        <v/>
      </c>
      <c r="Z674" s="3">
        <f>N(N674)*IFERROR(VLOOKUP($C674,Assumptions!$A$4:$F$7,4,FALSE),0)</f>
        <v/>
      </c>
      <c r="AA674" s="3">
        <f>N(T674)*IFERROR(VLOOKUP($C674,Assumptions!$A$4:$F$7,5,FALSE),0)</f>
        <v/>
      </c>
      <c r="AB674" s="3">
        <f>N(U674)</f>
        <v/>
      </c>
      <c r="AC674" s="3">
        <f>SUM(W674:AB674)</f>
        <v/>
      </c>
      <c r="AD674" s="3">
        <f>N(AC674)*N(M674)/90</f>
        <v/>
      </c>
      <c r="AE674" s="3">
        <f>IFERROR(AD674-VLOOKUP($C674,Assumptions!$A$29:$C$32,3,FALSE),"")</f>
        <v/>
      </c>
      <c r="AF674" s="3">
        <f>IFERROR(AE674/F674,"")</f>
        <v/>
      </c>
      <c r="AG674">
        <f>IF(AND($E674=TRUE,$C674="GKP"),AD674,"")</f>
        <v/>
      </c>
      <c r="AH674">
        <f>IF(AND($E674=TRUE,$C674="DEF"),AD674,"")</f>
        <v/>
      </c>
      <c r="AI674">
        <f>IF(AND($E674=TRUE,$C674="MID"),AD674,"")</f>
        <v/>
      </c>
      <c r="AJ674">
        <f>IF(AND($E674=TRUE,$C674="FWD"),AD674,"")</f>
        <v/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b">
        <v>1</v>
      </c>
      <c r="F675" s="2" t="n">
        <v>6</v>
      </c>
      <c r="G675" t="inlineStr">
        <is>
          <t>a</t>
        </is>
      </c>
      <c r="I675" s="2" t="n"/>
      <c r="K675" s="3" t="n">
        <v>2696</v>
      </c>
      <c r="L675" t="inlineStr">
        <is>
          <t>flat</t>
        </is>
      </c>
      <c r="M675" s="4" t="n"/>
      <c r="N675" s="4" t="n">
        <v>0.237</v>
      </c>
      <c r="O675" s="3" t="n"/>
      <c r="P675" t="inlineStr"/>
      <c r="Q675" s="3" t="n"/>
      <c r="R675" s="3" t="n"/>
      <c r="S675" s="3" t="n"/>
      <c r="T675" s="3" t="n"/>
      <c r="U675" s="3" t="n"/>
      <c r="V675" s="3" t="n"/>
      <c r="W675" s="3">
        <f>IF(V675="",IFERROR(VLOOKUP($C675,Assumptions!$A$4:$F$7,6,FALSE),0),V675)</f>
        <v/>
      </c>
      <c r="X675" s="3">
        <f>N(O675)*IFERROR(VLOOKUP($C675,Assumptions!$A$4:$F$7,2,FALSE),0)</f>
        <v/>
      </c>
      <c r="Y675" s="3">
        <f>N(S675)*IFERROR(VLOOKUP($C675,Assumptions!$A$4:$F$7,3,FALSE),0)*Assumptions!$B$11</f>
        <v/>
      </c>
      <c r="Z675" s="3">
        <f>N(N675)*IFERROR(VLOOKUP($C675,Assumptions!$A$4:$F$7,4,FALSE),0)</f>
        <v/>
      </c>
      <c r="AA675" s="3">
        <f>N(T675)*IFERROR(VLOOKUP($C675,Assumptions!$A$4:$F$7,5,FALSE),0)</f>
        <v/>
      </c>
      <c r="AB675" s="3">
        <f>N(U675)</f>
        <v/>
      </c>
      <c r="AC675" s="3">
        <f>SUM(W675:AB675)</f>
        <v/>
      </c>
      <c r="AD675" s="3">
        <f>N(AC675)*N(M675)/90</f>
        <v/>
      </c>
      <c r="AE675" s="3">
        <f>IFERROR(AD675-VLOOKUP($C675,Assumptions!$A$29:$C$32,3,FALSE),"")</f>
        <v/>
      </c>
      <c r="AF675" s="3">
        <f>IFERROR(AE675/F675,"")</f>
        <v/>
      </c>
      <c r="AG675">
        <f>IF(AND($E675=TRUE,$C675="GKP"),AD675,"")</f>
        <v/>
      </c>
      <c r="AH675">
        <f>IF(AND($E675=TRUE,$C675="DEF"),AD675,"")</f>
        <v/>
      </c>
      <c r="AI675">
        <f>IF(AND($E675=TRUE,$C675="MID"),AD675,"")</f>
        <v/>
      </c>
      <c r="AJ675">
        <f>IF(AND($E675=TRUE,$C675="FWD"),AD675,"")</f>
        <v/>
      </c>
    </row>
    <row r="676">
      <c r="A676" t="inlineStr">
        <is>
          <t>Álex Jiménez</t>
        </is>
      </c>
      <c r="D676" t="inlineStr">
        <is>
          <t>DEF</t>
        </is>
      </c>
      <c r="E676" t="b">
        <v>0</v>
      </c>
      <c r="F676" s="2" t="n"/>
      <c r="I676" s="2" t="n">
        <v>2323</v>
      </c>
      <c r="K676" s="3" t="n"/>
      <c r="M676" s="4" t="n">
        <v>2323</v>
      </c>
      <c r="N676" s="4" t="n"/>
      <c r="O676" s="3" t="n">
        <v>0.0423</v>
      </c>
      <c r="P676" t="inlineStr">
        <is>
          <t>adjusted xGOT</t>
        </is>
      </c>
      <c r="Q676" s="3" t="n">
        <v>1.001</v>
      </c>
      <c r="R676" s="3" t="n">
        <v>1.1</v>
      </c>
      <c r="S676" s="3" t="n">
        <v>0.066</v>
      </c>
      <c r="T676" s="3" t="n">
        <v>0.077</v>
      </c>
      <c r="U676" s="3" t="n">
        <v>0.1162</v>
      </c>
      <c r="V676" s="3" t="n">
        <v>2.17</v>
      </c>
      <c r="W676" s="3">
        <f>IF(V676="",IFERROR(VLOOKUP($C676,Assumptions!$A$4:$F$7,6,FALSE),0),V676)</f>
        <v/>
      </c>
      <c r="X676" s="3">
        <f>N(O676)*IFERROR(VLOOKUP($C676,Assumptions!$A$4:$F$7,2,FALSE),0)</f>
        <v/>
      </c>
      <c r="Y676" s="3">
        <f>N(S676)*IFERROR(VLOOKUP($C676,Assumptions!$A$4:$F$7,3,FALSE),0)*Assumptions!$B$11</f>
        <v/>
      </c>
      <c r="Z676" s="3">
        <f>N(N676)*IFERROR(VLOOKUP($C676,Assumptions!$A$4:$F$7,4,FALSE),0)</f>
        <v/>
      </c>
      <c r="AA676" s="3">
        <f>N(T676)*IFERROR(VLOOKUP($C676,Assumptions!$A$4:$F$7,5,FALSE),0)</f>
        <v/>
      </c>
      <c r="AB676" s="3">
        <f>N(U676)</f>
        <v/>
      </c>
      <c r="AC676" s="3">
        <f>SUM(W676:AB676)</f>
        <v/>
      </c>
      <c r="AD676" s="3">
        <f>N(AC676)*N(M676)/90</f>
        <v/>
      </c>
      <c r="AE676" s="3">
        <f>IFERROR(AD676-VLOOKUP($C676,Assumptions!$A$29:$C$32,3,FALSE),"")</f>
        <v/>
      </c>
      <c r="AF676" s="3">
        <f>IFERROR(AE676/F676,"")</f>
        <v/>
      </c>
      <c r="AG676">
        <f>IF(AND($E676=TRUE,$C676="GKP"),AD676,"")</f>
        <v/>
      </c>
      <c r="AH676">
        <f>IF(AND($E676=TRUE,$C676="DEF"),AD676,"")</f>
        <v/>
      </c>
      <c r="AI676">
        <f>IF(AND($E676=TRUE,$C676="MID"),AD676,"")</f>
        <v/>
      </c>
      <c r="AJ676">
        <f>IF(AND($E676=TRUE,$C676="FWD"),AD676,"")</f>
        <v/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b">
        <v>1</v>
      </c>
      <c r="F677" s="2" t="n">
        <v>6.5</v>
      </c>
      <c r="G677" t="inlineStr">
        <is>
          <t>a</t>
        </is>
      </c>
      <c r="I677" s="2" t="n"/>
      <c r="K677" s="3" t="n">
        <v>796</v>
      </c>
      <c r="L677" t="inlineStr">
        <is>
          <t>flat</t>
        </is>
      </c>
      <c r="M677" s="4" t="n"/>
      <c r="N677" s="4" t="n">
        <v>0.263</v>
      </c>
      <c r="O677" s="3" t="n"/>
      <c r="P677" t="inlineStr"/>
      <c r="Q677" s="3" t="n"/>
      <c r="R677" s="3" t="n"/>
      <c r="S677" s="3" t="n"/>
      <c r="T677" s="3" t="n"/>
      <c r="U677" s="3" t="n"/>
      <c r="V677" s="3" t="n"/>
      <c r="W677" s="3">
        <f>IF(V677="",IFERROR(VLOOKUP($C677,Assumptions!$A$4:$F$7,6,FALSE),0),V677)</f>
        <v/>
      </c>
      <c r="X677" s="3">
        <f>N(O677)*IFERROR(VLOOKUP($C677,Assumptions!$A$4:$F$7,2,FALSE),0)</f>
        <v/>
      </c>
      <c r="Y677" s="3">
        <f>N(S677)*IFERROR(VLOOKUP($C677,Assumptions!$A$4:$F$7,3,FALSE),0)*Assumptions!$B$11</f>
        <v/>
      </c>
      <c r="Z677" s="3">
        <f>N(N677)*IFERROR(VLOOKUP($C677,Assumptions!$A$4:$F$7,4,FALSE),0)</f>
        <v/>
      </c>
      <c r="AA677" s="3">
        <f>N(T677)*IFERROR(VLOOKUP($C677,Assumptions!$A$4:$F$7,5,FALSE),0)</f>
        <v/>
      </c>
      <c r="AB677" s="3">
        <f>N(U677)</f>
        <v/>
      </c>
      <c r="AC677" s="3">
        <f>SUM(W677:AB677)</f>
        <v/>
      </c>
      <c r="AD677" s="3">
        <f>N(AC677)*N(M677)/90</f>
        <v/>
      </c>
      <c r="AE677" s="3">
        <f>IFERROR(AD677-VLOOKUP($C677,Assumptions!$A$29:$C$32,3,FALSE),"")</f>
        <v/>
      </c>
      <c r="AF677" s="3">
        <f>IFERROR(AE677/F677,"")</f>
        <v/>
      </c>
      <c r="AG677">
        <f>IF(AND($E677=TRUE,$C677="GKP"),AD677,"")</f>
        <v/>
      </c>
      <c r="AH677">
        <f>IF(AND($E677=TRUE,$C677="DEF"),AD677,"")</f>
        <v/>
      </c>
      <c r="AI677">
        <f>IF(AND($E677=TRUE,$C677="MID"),AD677,"")</f>
        <v/>
      </c>
      <c r="AJ677">
        <f>IF(AND($E677=TRUE,$C677="FWD"),AD677,"")</f>
        <v/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b">
        <v>1</v>
      </c>
      <c r="F678" s="2" t="n">
        <v>5</v>
      </c>
      <c r="G678" t="inlineStr">
        <is>
          <t>a</t>
        </is>
      </c>
      <c r="I678" s="2" t="n"/>
      <c r="K678" s="3" t="n">
        <v>1750</v>
      </c>
      <c r="L678" t="inlineStr">
        <is>
          <t>flat</t>
        </is>
      </c>
      <c r="M678" s="4" t="n"/>
      <c r="N678" s="4" t="n"/>
      <c r="O678" s="3" t="n"/>
      <c r="P678" t="inlineStr"/>
      <c r="Q678" s="3" t="n"/>
      <c r="R678" s="3" t="n"/>
      <c r="S678" s="3" t="n"/>
      <c r="T678" s="3" t="n"/>
      <c r="U678" s="3" t="n"/>
      <c r="V678" s="3" t="n"/>
      <c r="W678" s="3">
        <f>IF(V678="",IFERROR(VLOOKUP($C678,Assumptions!$A$4:$F$7,6,FALSE),0),V678)</f>
        <v/>
      </c>
      <c r="X678" s="3">
        <f>N(O678)*IFERROR(VLOOKUP($C678,Assumptions!$A$4:$F$7,2,FALSE),0)</f>
        <v/>
      </c>
      <c r="Y678" s="3">
        <f>N(S678)*IFERROR(VLOOKUP($C678,Assumptions!$A$4:$F$7,3,FALSE),0)*Assumptions!$B$11</f>
        <v/>
      </c>
      <c r="Z678" s="3">
        <f>N(N678)*IFERROR(VLOOKUP($C678,Assumptions!$A$4:$F$7,4,FALSE),0)</f>
        <v/>
      </c>
      <c r="AA678" s="3">
        <f>N(T678)*IFERROR(VLOOKUP($C678,Assumptions!$A$4:$F$7,5,FALSE),0)</f>
        <v/>
      </c>
      <c r="AB678" s="3">
        <f>N(U678)</f>
        <v/>
      </c>
      <c r="AC678" s="3">
        <f>SUM(W678:AB678)</f>
        <v/>
      </c>
      <c r="AD678" s="3">
        <f>N(AC678)*N(M678)/90</f>
        <v/>
      </c>
      <c r="AE678" s="3">
        <f>IFERROR(AD678-VLOOKUP($C678,Assumptions!$A$29:$C$32,3,FALSE),"")</f>
        <v/>
      </c>
      <c r="AF678" s="3">
        <f>IFERROR(AE678/F678,"")</f>
        <v/>
      </c>
      <c r="AG678">
        <f>IF(AND($E678=TRUE,$C678="GKP"),AD678,"")</f>
        <v/>
      </c>
      <c r="AH678">
        <f>IF(AND($E678=TRUE,$C678="DEF"),AD678,"")</f>
        <v/>
      </c>
      <c r="AI678">
        <f>IF(AND($E678=TRUE,$C678="MID"),AD678,"")</f>
        <v/>
      </c>
      <c r="AJ678">
        <f>IF(AND($E678=TRUE,$C678="FWD"),AD678,"")</f>
        <v/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b">
        <v>1</v>
      </c>
      <c r="F679" s="2" t="n">
        <v>4.5</v>
      </c>
      <c r="G679" t="inlineStr">
        <is>
          <t>i</t>
        </is>
      </c>
      <c r="H679" t="inlineStr">
        <is>
          <t>Thigh injury - Unknown return date</t>
        </is>
      </c>
      <c r="I679" s="2" t="n"/>
      <c r="K679" s="3" t="n">
        <v>88</v>
      </c>
      <c r="L679" t="inlineStr">
        <is>
          <t>flat</t>
        </is>
      </c>
      <c r="M679" s="4" t="n"/>
      <c r="N679" s="4" t="n"/>
      <c r="O679" s="3" t="n"/>
      <c r="P679" t="inlineStr"/>
      <c r="Q679" s="3" t="n"/>
      <c r="R679" s="3" t="n"/>
      <c r="S679" s="3" t="n"/>
      <c r="T679" s="3" t="n"/>
      <c r="U679" s="3" t="n"/>
      <c r="V679" s="3" t="n"/>
      <c r="W679" s="3">
        <f>IF(V679="",IFERROR(VLOOKUP($C679,Assumptions!$A$4:$F$7,6,FALSE),0),V679)</f>
        <v/>
      </c>
      <c r="X679" s="3">
        <f>N(O679)*IFERROR(VLOOKUP($C679,Assumptions!$A$4:$F$7,2,FALSE),0)</f>
        <v/>
      </c>
      <c r="Y679" s="3">
        <f>N(S679)*IFERROR(VLOOKUP($C679,Assumptions!$A$4:$F$7,3,FALSE),0)*Assumptions!$B$11</f>
        <v/>
      </c>
      <c r="Z679" s="3">
        <f>N(N679)*IFERROR(VLOOKUP($C679,Assumptions!$A$4:$F$7,4,FALSE),0)</f>
        <v/>
      </c>
      <c r="AA679" s="3">
        <f>N(T679)*IFERROR(VLOOKUP($C679,Assumptions!$A$4:$F$7,5,FALSE),0)</f>
        <v/>
      </c>
      <c r="AB679" s="3">
        <f>N(U679)</f>
        <v/>
      </c>
      <c r="AC679" s="3">
        <f>SUM(W679:AB679)</f>
        <v/>
      </c>
      <c r="AD679" s="3">
        <f>N(AC679)*N(M679)/90</f>
        <v/>
      </c>
      <c r="AE679" s="3">
        <f>IFERROR(AD679-VLOOKUP($C679,Assumptions!$A$29:$C$32,3,FALSE),"")</f>
        <v/>
      </c>
      <c r="AF679" s="3">
        <f>IFERROR(AE679/F679,"")</f>
        <v/>
      </c>
      <c r="AG679">
        <f>IF(AND($E679=TRUE,$C679="GKP"),AD679,"")</f>
        <v/>
      </c>
      <c r="AH679">
        <f>IF(AND($E679=TRUE,$C679="DEF"),AD679,"")</f>
        <v/>
      </c>
      <c r="AI679">
        <f>IF(AND($E679=TRUE,$C679="MID"),AD679,"")</f>
        <v/>
      </c>
      <c r="AJ679">
        <f>IF(AND($E679=TRUE,$C679="FWD"),AD679,"")</f>
        <v/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b">
        <v>1</v>
      </c>
      <c r="F680" s="2" t="n">
        <v>4.5</v>
      </c>
      <c r="G680" t="inlineStr">
        <is>
          <t>a</t>
        </is>
      </c>
      <c r="I680" s="2" t="n"/>
      <c r="K680" s="3" t="n">
        <v>34</v>
      </c>
      <c r="L680" t="inlineStr">
        <is>
          <t>flat</t>
        </is>
      </c>
      <c r="M680" s="4" t="n"/>
      <c r="N680" s="4" t="n">
        <v>0.21</v>
      </c>
      <c r="O680" s="3" t="n"/>
      <c r="P680" t="inlineStr"/>
      <c r="Q680" s="3" t="n"/>
      <c r="R680" s="3" t="n"/>
      <c r="S680" s="3" t="n"/>
      <c r="T680" s="3" t="n">
        <v>0</v>
      </c>
      <c r="U680" s="3" t="n"/>
      <c r="V680" s="3" t="n"/>
      <c r="W680" s="3">
        <f>IF(V680="",IFERROR(VLOOKUP($C680,Assumptions!$A$4:$F$7,6,FALSE),0),V680)</f>
        <v/>
      </c>
      <c r="X680" s="3">
        <f>N(O680)*IFERROR(VLOOKUP($C680,Assumptions!$A$4:$F$7,2,FALSE),0)</f>
        <v/>
      </c>
      <c r="Y680" s="3">
        <f>N(S680)*IFERROR(VLOOKUP($C680,Assumptions!$A$4:$F$7,3,FALSE),0)*Assumptions!$B$11</f>
        <v/>
      </c>
      <c r="Z680" s="3">
        <f>N(N680)*IFERROR(VLOOKUP($C680,Assumptions!$A$4:$F$7,4,FALSE),0)</f>
        <v/>
      </c>
      <c r="AA680" s="3">
        <f>N(T680)*IFERROR(VLOOKUP($C680,Assumptions!$A$4:$F$7,5,FALSE),0)</f>
        <v/>
      </c>
      <c r="AB680" s="3">
        <f>N(U680)</f>
        <v/>
      </c>
      <c r="AC680" s="3">
        <f>SUM(W680:AB680)</f>
        <v/>
      </c>
      <c r="AD680" s="3">
        <f>N(AC680)*N(M680)/90</f>
        <v/>
      </c>
      <c r="AE680" s="3">
        <f>IFERROR(AD680-VLOOKUP($C680,Assumptions!$A$29:$C$32,3,FALSE),"")</f>
        <v/>
      </c>
      <c r="AF680" s="3">
        <f>IFERROR(AE680/F680,"")</f>
        <v/>
      </c>
      <c r="AG680">
        <f>IF(AND($E680=TRUE,$C680="GKP"),AD680,"")</f>
        <v/>
      </c>
      <c r="AH680">
        <f>IF(AND($E680=TRUE,$C680="DEF"),AD680,"")</f>
        <v/>
      </c>
      <c r="AI680">
        <f>IF(AND($E680=TRUE,$C680="MID"),AD680,"")</f>
        <v/>
      </c>
      <c r="AJ680">
        <f>IF(AND($E680=TRUE,$C680="FWD"),AD680,"")</f>
        <v/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b">
        <v>1</v>
      </c>
      <c r="F681" s="2" t="n">
        <v>4.5</v>
      </c>
      <c r="G681" t="inlineStr">
        <is>
          <t>a</t>
        </is>
      </c>
      <c r="I681" s="2" t="n"/>
      <c r="K681" s="3" t="n">
        <v>616</v>
      </c>
      <c r="L681" t="inlineStr">
        <is>
          <t>flat</t>
        </is>
      </c>
      <c r="M681" s="4" t="n"/>
      <c r="N681" s="4" t="n"/>
      <c r="O681" s="3" t="n"/>
      <c r="P681" t="inlineStr"/>
      <c r="Q681" s="3" t="n"/>
      <c r="R681" s="3" t="n"/>
      <c r="S681" s="3" t="n"/>
      <c r="T681" s="3" t="n"/>
      <c r="U681" s="3" t="n"/>
      <c r="V681" s="3" t="n"/>
      <c r="W681" s="3">
        <f>IF(V681="",IFERROR(VLOOKUP($C681,Assumptions!$A$4:$F$7,6,FALSE),0),V681)</f>
        <v/>
      </c>
      <c r="X681" s="3">
        <f>N(O681)*IFERROR(VLOOKUP($C681,Assumptions!$A$4:$F$7,2,FALSE),0)</f>
        <v/>
      </c>
      <c r="Y681" s="3">
        <f>N(S681)*IFERROR(VLOOKUP($C681,Assumptions!$A$4:$F$7,3,FALSE),0)*Assumptions!$B$11</f>
        <v/>
      </c>
      <c r="Z681" s="3">
        <f>N(N681)*IFERROR(VLOOKUP($C681,Assumptions!$A$4:$F$7,4,FALSE),0)</f>
        <v/>
      </c>
      <c r="AA681" s="3">
        <f>N(T681)*IFERROR(VLOOKUP($C681,Assumptions!$A$4:$F$7,5,FALSE),0)</f>
        <v/>
      </c>
      <c r="AB681" s="3">
        <f>N(U681)</f>
        <v/>
      </c>
      <c r="AC681" s="3">
        <f>SUM(W681:AB681)</f>
        <v/>
      </c>
      <c r="AD681" s="3">
        <f>N(AC681)*N(M681)/90</f>
        <v/>
      </c>
      <c r="AE681" s="3">
        <f>IFERROR(AD681-VLOOKUP($C681,Assumptions!$A$29:$C$32,3,FALSE),"")</f>
        <v/>
      </c>
      <c r="AF681" s="3">
        <f>IFERROR(AE681/F681,"")</f>
        <v/>
      </c>
      <c r="AG681">
        <f>IF(AND($E681=TRUE,$C681="GKP"),AD681,"")</f>
        <v/>
      </c>
      <c r="AH681">
        <f>IF(AND($E681=TRUE,$C681="DEF"),AD681,"")</f>
        <v/>
      </c>
      <c r="AI681">
        <f>IF(AND($E681=TRUE,$C681="MID"),AD681,"")</f>
        <v/>
      </c>
      <c r="AJ681">
        <f>IF(AND($E681=TRUE,$C681="FWD"),AD681,"")</f>
        <v/>
      </c>
    </row>
    <row r="682">
      <c r="A682" t="inlineStr">
        <is>
          <t>Jamaldeen Jimoh-Aloba</t>
        </is>
      </c>
      <c r="D682" t="inlineStr">
        <is>
          <t>MID</t>
        </is>
      </c>
      <c r="E682" t="b">
        <v>0</v>
      </c>
      <c r="F682" s="2" t="n"/>
      <c r="I682" s="2" t="n">
        <v>8</v>
      </c>
      <c r="K682" s="3" t="n"/>
      <c r="M682" s="4" t="n">
        <v>8</v>
      </c>
      <c r="N682" s="4" t="n"/>
      <c r="O682" s="3" t="n"/>
      <c r="P682" t="inlineStr"/>
      <c r="Q682" s="3" t="n">
        <v>1</v>
      </c>
      <c r="R682" s="3" t="n">
        <v>0</v>
      </c>
      <c r="S682" s="3" t="n"/>
      <c r="T682" s="3" t="n"/>
      <c r="U682" s="3" t="n">
        <v>0</v>
      </c>
      <c r="V682" s="3" t="n">
        <v>11.25</v>
      </c>
      <c r="W682" s="3">
        <f>IF(V682="",IFERROR(VLOOKUP($C682,Assumptions!$A$4:$F$7,6,FALSE),0),V682)</f>
        <v/>
      </c>
      <c r="X682" s="3">
        <f>N(O682)*IFERROR(VLOOKUP($C682,Assumptions!$A$4:$F$7,2,FALSE),0)</f>
        <v/>
      </c>
      <c r="Y682" s="3">
        <f>N(S682)*IFERROR(VLOOKUP($C682,Assumptions!$A$4:$F$7,3,FALSE),0)*Assumptions!$B$11</f>
        <v/>
      </c>
      <c r="Z682" s="3">
        <f>N(N682)*IFERROR(VLOOKUP($C682,Assumptions!$A$4:$F$7,4,FALSE),0)</f>
        <v/>
      </c>
      <c r="AA682" s="3">
        <f>N(T682)*IFERROR(VLOOKUP($C682,Assumptions!$A$4:$F$7,5,FALSE),0)</f>
        <v/>
      </c>
      <c r="AB682" s="3">
        <f>N(U682)</f>
        <v/>
      </c>
      <c r="AC682" s="3">
        <f>SUM(W682:AB682)</f>
        <v/>
      </c>
      <c r="AD682" s="3">
        <f>N(AC682)*N(M682)/90</f>
        <v/>
      </c>
      <c r="AE682" s="3">
        <f>IFERROR(AD682-VLOOKUP($C682,Assumptions!$A$29:$C$32,3,FALSE),"")</f>
        <v/>
      </c>
      <c r="AF682" s="3">
        <f>IFERROR(AE682/F682,"")</f>
        <v/>
      </c>
      <c r="AG682">
        <f>IF(AND($E682=TRUE,$C682="GKP"),AD682,"")</f>
        <v/>
      </c>
      <c r="AH682">
        <f>IF(AND($E682=TRUE,$C682="DEF"),AD682,"")</f>
        <v/>
      </c>
      <c r="AI682">
        <f>IF(AND($E682=TRUE,$C682="MID"),AD682,"")</f>
        <v/>
      </c>
      <c r="AJ682">
        <f>IF(AND($E682=TRUE,$C682="FWD"),AD682,"")</f>
        <v/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b">
        <v>1</v>
      </c>
      <c r="F683" s="2" t="n">
        <v>6</v>
      </c>
      <c r="G683" t="inlineStr">
        <is>
          <t>a</t>
        </is>
      </c>
      <c r="I683" s="2" t="n"/>
      <c r="K683" s="3" t="n">
        <v>719</v>
      </c>
      <c r="L683" t="inlineStr">
        <is>
          <t>flat</t>
        </is>
      </c>
      <c r="M683" s="4" t="n"/>
      <c r="N683" s="4" t="n">
        <v>0.29</v>
      </c>
      <c r="O683" s="3" t="n"/>
      <c r="P683" t="inlineStr"/>
      <c r="Q683" s="3" t="n"/>
      <c r="R683" s="3" t="n"/>
      <c r="S683" s="3" t="n"/>
      <c r="T683" s="3" t="n"/>
      <c r="U683" s="3" t="n"/>
      <c r="V683" s="3" t="n"/>
      <c r="W683" s="3">
        <f>IF(V683="",IFERROR(VLOOKUP($C683,Assumptions!$A$4:$F$7,6,FALSE),0),V683)</f>
        <v/>
      </c>
      <c r="X683" s="3">
        <f>N(O683)*IFERROR(VLOOKUP($C683,Assumptions!$A$4:$F$7,2,FALSE),0)</f>
        <v/>
      </c>
      <c r="Y683" s="3">
        <f>N(S683)*IFERROR(VLOOKUP($C683,Assumptions!$A$4:$F$7,3,FALSE),0)*Assumptions!$B$11</f>
        <v/>
      </c>
      <c r="Z683" s="3">
        <f>N(N683)*IFERROR(VLOOKUP($C683,Assumptions!$A$4:$F$7,4,FALSE),0)</f>
        <v/>
      </c>
      <c r="AA683" s="3">
        <f>N(T683)*IFERROR(VLOOKUP($C683,Assumptions!$A$4:$F$7,5,FALSE),0)</f>
        <v/>
      </c>
      <c r="AB683" s="3">
        <f>N(U683)</f>
        <v/>
      </c>
      <c r="AC683" s="3">
        <f>SUM(W683:AB683)</f>
        <v/>
      </c>
      <c r="AD683" s="3">
        <f>N(AC683)*N(M683)/90</f>
        <v/>
      </c>
      <c r="AE683" s="3">
        <f>IFERROR(AD683-VLOOKUP($C683,Assumptions!$A$29:$C$32,3,FALSE),"")</f>
        <v/>
      </c>
      <c r="AF683" s="3">
        <f>IFERROR(AE683/F683,"")</f>
        <v/>
      </c>
      <c r="AG683">
        <f>IF(AND($E683=TRUE,$C683="GKP"),AD683,"")</f>
        <v/>
      </c>
      <c r="AH683">
        <f>IF(AND($E683=TRUE,$C683="DEF"),AD683,"")</f>
        <v/>
      </c>
      <c r="AI683">
        <f>IF(AND($E683=TRUE,$C683="MID"),AD683,"")</f>
        <v/>
      </c>
      <c r="AJ683">
        <f>IF(AND($E683=TRUE,$C683="FWD"),AD683,"")</f>
        <v/>
      </c>
    </row>
    <row r="684">
      <c r="A684" t="inlineStr">
        <is>
          <t>Eliezer Mayenda</t>
        </is>
      </c>
      <c r="D684" t="inlineStr">
        <is>
          <t>FWD</t>
        </is>
      </c>
      <c r="E684" t="b">
        <v>0</v>
      </c>
      <c r="F684" s="2" t="n"/>
      <c r="I684" s="2" t="n">
        <v>756</v>
      </c>
      <c r="K684" s="3" t="n"/>
      <c r="M684" s="4" t="n">
        <v>756</v>
      </c>
      <c r="N684" s="4" t="n"/>
      <c r="O684" s="3" t="n">
        <v>0.2954</v>
      </c>
      <c r="P684" t="inlineStr">
        <is>
          <t>adjusted xGOT</t>
        </is>
      </c>
      <c r="Q684" s="3" t="n">
        <v>1.165</v>
      </c>
      <c r="R684" s="3" t="n">
        <v>2.1</v>
      </c>
      <c r="S684" s="3" t="n">
        <v>0.08840000000000001</v>
      </c>
      <c r="T684" s="3" t="n">
        <v>0</v>
      </c>
      <c r="U684" s="3" t="n">
        <v>0.5952</v>
      </c>
      <c r="V684" s="3" t="n">
        <v>3.214</v>
      </c>
      <c r="W684" s="3">
        <f>IF(V684="",IFERROR(VLOOKUP($C684,Assumptions!$A$4:$F$7,6,FALSE),0),V684)</f>
        <v/>
      </c>
      <c r="X684" s="3">
        <f>N(O684)*IFERROR(VLOOKUP($C684,Assumptions!$A$4:$F$7,2,FALSE),0)</f>
        <v/>
      </c>
      <c r="Y684" s="3">
        <f>N(S684)*IFERROR(VLOOKUP($C684,Assumptions!$A$4:$F$7,3,FALSE),0)*Assumptions!$B$11</f>
        <v/>
      </c>
      <c r="Z684" s="3">
        <f>N(N684)*IFERROR(VLOOKUP($C684,Assumptions!$A$4:$F$7,4,FALSE),0)</f>
        <v/>
      </c>
      <c r="AA684" s="3">
        <f>N(T684)*IFERROR(VLOOKUP($C684,Assumptions!$A$4:$F$7,5,FALSE),0)</f>
        <v/>
      </c>
      <c r="AB684" s="3">
        <f>N(U684)</f>
        <v/>
      </c>
      <c r="AC684" s="3">
        <f>SUM(W684:AB684)</f>
        <v/>
      </c>
      <c r="AD684" s="3">
        <f>N(AC684)*N(M684)/90</f>
        <v/>
      </c>
      <c r="AE684" s="3">
        <f>IFERROR(AD684-VLOOKUP($C684,Assumptions!$A$29:$C$32,3,FALSE),"")</f>
        <v/>
      </c>
      <c r="AF684" s="3">
        <f>IFERROR(AE684/F684,"")</f>
        <v/>
      </c>
      <c r="AG684">
        <f>IF(AND($E684=TRUE,$C684="GKP"),AD684,"")</f>
        <v/>
      </c>
      <c r="AH684">
        <f>IF(AND($E684=TRUE,$C684="DEF"),AD684,"")</f>
        <v/>
      </c>
      <c r="AI684">
        <f>IF(AND($E684=TRUE,$C684="MID"),AD684,"")</f>
        <v/>
      </c>
      <c r="AJ684">
        <f>IF(AND($E684=TRUE,$C684="FWD"),AD684,"")</f>
        <v/>
      </c>
    </row>
    <row r="685">
      <c r="A685" t="inlineStr">
        <is>
          <t>Soungoutou Magassa</t>
        </is>
      </c>
      <c r="D685" t="inlineStr">
        <is>
          <t>MID</t>
        </is>
      </c>
      <c r="E685" t="b">
        <v>0</v>
      </c>
      <c r="F685" s="2" t="n"/>
      <c r="I685" s="2" t="n">
        <v>979</v>
      </c>
      <c r="K685" s="3" t="n"/>
      <c r="M685" s="4" t="n">
        <v>979</v>
      </c>
      <c r="N685" s="4" t="n"/>
      <c r="O685" s="3" t="n">
        <v>0.0431</v>
      </c>
      <c r="P685" t="inlineStr">
        <is>
          <t>adjusted xGOT</t>
        </is>
      </c>
      <c r="Q685" s="3" t="n">
        <v>1.066</v>
      </c>
      <c r="R685" s="3" t="n">
        <v>0.4</v>
      </c>
      <c r="S685" s="3" t="n">
        <v>0.06859999999999999</v>
      </c>
      <c r="T685" s="3" t="n">
        <v>0.364</v>
      </c>
      <c r="U685" s="3" t="n">
        <v>0.1839</v>
      </c>
      <c r="V685" s="3" t="n">
        <v>2.85</v>
      </c>
      <c r="W685" s="3">
        <f>IF(V685="",IFERROR(VLOOKUP($C685,Assumptions!$A$4:$F$7,6,FALSE),0),V685)</f>
        <v/>
      </c>
      <c r="X685" s="3">
        <f>N(O685)*IFERROR(VLOOKUP($C685,Assumptions!$A$4:$F$7,2,FALSE),0)</f>
        <v/>
      </c>
      <c r="Y685" s="3">
        <f>N(S685)*IFERROR(VLOOKUP($C685,Assumptions!$A$4:$F$7,3,FALSE),0)*Assumptions!$B$11</f>
        <v/>
      </c>
      <c r="Z685" s="3">
        <f>N(N685)*IFERROR(VLOOKUP($C685,Assumptions!$A$4:$F$7,4,FALSE),0)</f>
        <v/>
      </c>
      <c r="AA685" s="3">
        <f>N(T685)*IFERROR(VLOOKUP($C685,Assumptions!$A$4:$F$7,5,FALSE),0)</f>
        <v/>
      </c>
      <c r="AB685" s="3">
        <f>N(U685)</f>
        <v/>
      </c>
      <c r="AC685" s="3">
        <f>SUM(W685:AB685)</f>
        <v/>
      </c>
      <c r="AD685" s="3">
        <f>N(AC685)*N(M685)/90</f>
        <v/>
      </c>
      <c r="AE685" s="3">
        <f>IFERROR(AD685-VLOOKUP($C685,Assumptions!$A$29:$C$32,3,FALSE),"")</f>
        <v/>
      </c>
      <c r="AF685" s="3">
        <f>IFERROR(AE685/F685,"")</f>
        <v/>
      </c>
      <c r="AG685">
        <f>IF(AND($E685=TRUE,$C685="GKP"),AD685,"")</f>
        <v/>
      </c>
      <c r="AH685">
        <f>IF(AND($E685=TRUE,$C685="DEF"),AD685,"")</f>
        <v/>
      </c>
      <c r="AI685">
        <f>IF(AND($E685=TRUE,$C685="MID"),AD685,"")</f>
        <v/>
      </c>
      <c r="AJ685">
        <f>IF(AND($E685=TRUE,$C685="FWD"),AD685,"")</f>
        <v/>
      </c>
    </row>
    <row r="686">
      <c r="A686" t="inlineStr">
        <is>
          <t>Callum Marshall</t>
        </is>
      </c>
      <c r="D686" t="inlineStr">
        <is>
          <t>FWD</t>
        </is>
      </c>
      <c r="E686" t="b">
        <v>0</v>
      </c>
      <c r="F686" s="2" t="n"/>
      <c r="I686" s="2" t="n">
        <v>58</v>
      </c>
      <c r="K686" s="3" t="n"/>
      <c r="M686" s="4" t="n">
        <v>58</v>
      </c>
      <c r="N686" s="4" t="n"/>
      <c r="O686" s="3" t="n">
        <v>0.1986</v>
      </c>
      <c r="P686" t="inlineStr">
        <is>
          <t>adjusted xGOT</t>
        </is>
      </c>
      <c r="Q686" s="3" t="n">
        <v>0.984</v>
      </c>
      <c r="R686" s="3" t="n">
        <v>0.1</v>
      </c>
      <c r="S686" s="3" t="n">
        <v>0</v>
      </c>
      <c r="T686" s="3" t="n"/>
      <c r="U686" s="3" t="n">
        <v>0</v>
      </c>
      <c r="V686" s="3" t="n">
        <v>3.103</v>
      </c>
      <c r="W686" s="3">
        <f>IF(V686="",IFERROR(VLOOKUP($C686,Assumptions!$A$4:$F$7,6,FALSE),0),V686)</f>
        <v/>
      </c>
      <c r="X686" s="3">
        <f>N(O686)*IFERROR(VLOOKUP($C686,Assumptions!$A$4:$F$7,2,FALSE),0)</f>
        <v/>
      </c>
      <c r="Y686" s="3">
        <f>N(S686)*IFERROR(VLOOKUP($C686,Assumptions!$A$4:$F$7,3,FALSE),0)*Assumptions!$B$11</f>
        <v/>
      </c>
      <c r="Z686" s="3">
        <f>N(N686)*IFERROR(VLOOKUP($C686,Assumptions!$A$4:$F$7,4,FALSE),0)</f>
        <v/>
      </c>
      <c r="AA686" s="3">
        <f>N(T686)*IFERROR(VLOOKUP($C686,Assumptions!$A$4:$F$7,5,FALSE),0)</f>
        <v/>
      </c>
      <c r="AB686" s="3">
        <f>N(U686)</f>
        <v/>
      </c>
      <c r="AC686" s="3">
        <f>SUM(W686:AB686)</f>
        <v/>
      </c>
      <c r="AD686" s="3">
        <f>N(AC686)*N(M686)/90</f>
        <v/>
      </c>
      <c r="AE686" s="3">
        <f>IFERROR(AD686-VLOOKUP($C686,Assumptions!$A$29:$C$32,3,FALSE),"")</f>
        <v/>
      </c>
      <c r="AF686" s="3">
        <f>IFERROR(AE686/F686,"")</f>
        <v/>
      </c>
      <c r="AG686">
        <f>IF(AND($E686=TRUE,$C686="GKP"),AD686,"")</f>
        <v/>
      </c>
      <c r="AH686">
        <f>IF(AND($E686=TRUE,$C686="DEF"),AD686,"")</f>
        <v/>
      </c>
      <c r="AI686">
        <f>IF(AND($E686=TRUE,$C686="MID"),AD686,"")</f>
        <v/>
      </c>
      <c r="AJ686">
        <f>IF(AND($E686=TRUE,$C686="FWD"),AD686,"")</f>
        <v/>
      </c>
    </row>
    <row r="687">
      <c r="A687" t="inlineStr">
        <is>
          <t>Joe Knight</t>
        </is>
      </c>
      <c r="D687" t="inlineStr">
        <is>
          <t>MID</t>
        </is>
      </c>
      <c r="E687" t="b">
        <v>0</v>
      </c>
      <c r="F687" s="2" t="n"/>
      <c r="I687" s="2" t="n">
        <v>1</v>
      </c>
      <c r="K687" s="3" t="n"/>
      <c r="M687" s="4" t="n">
        <v>1</v>
      </c>
      <c r="N687" s="4" t="n"/>
      <c r="O687" s="3" t="n">
        <v>0</v>
      </c>
      <c r="P687" t="inlineStr">
        <is>
          <t>blended xG</t>
        </is>
      </c>
      <c r="Q687" s="3" t="n">
        <v>1</v>
      </c>
      <c r="R687" s="3" t="n">
        <v>0</v>
      </c>
      <c r="S687" s="3" t="n">
        <v>0</v>
      </c>
      <c r="T687" s="3" t="n"/>
      <c r="U687" s="3" t="n">
        <v>0</v>
      </c>
      <c r="V687" s="3" t="n">
        <v>90</v>
      </c>
      <c r="W687" s="3">
        <f>IF(V687="",IFERROR(VLOOKUP($C687,Assumptions!$A$4:$F$7,6,FALSE),0),V687)</f>
        <v/>
      </c>
      <c r="X687" s="3">
        <f>N(O687)*IFERROR(VLOOKUP($C687,Assumptions!$A$4:$F$7,2,FALSE),0)</f>
        <v/>
      </c>
      <c r="Y687" s="3">
        <f>N(S687)*IFERROR(VLOOKUP($C687,Assumptions!$A$4:$F$7,3,FALSE),0)*Assumptions!$B$11</f>
        <v/>
      </c>
      <c r="Z687" s="3">
        <f>N(N687)*IFERROR(VLOOKUP($C687,Assumptions!$A$4:$F$7,4,FALSE),0)</f>
        <v/>
      </c>
      <c r="AA687" s="3">
        <f>N(T687)*IFERROR(VLOOKUP($C687,Assumptions!$A$4:$F$7,5,FALSE),0)</f>
        <v/>
      </c>
      <c r="AB687" s="3">
        <f>N(U687)</f>
        <v/>
      </c>
      <c r="AC687" s="3">
        <f>SUM(W687:AB687)</f>
        <v/>
      </c>
      <c r="AD687" s="3">
        <f>N(AC687)*N(M687)/90</f>
        <v/>
      </c>
      <c r="AE687" s="3">
        <f>IFERROR(AD687-VLOOKUP($C687,Assumptions!$A$29:$C$32,3,FALSE),"")</f>
        <v/>
      </c>
      <c r="AF687" s="3">
        <f>IFERROR(AE687/F687,"")</f>
        <v/>
      </c>
      <c r="AG687">
        <f>IF(AND($E687=TRUE,$C687="GKP"),AD687,"")</f>
        <v/>
      </c>
      <c r="AH687">
        <f>IF(AND($E687=TRUE,$C687="DEF"),AD687,"")</f>
        <v/>
      </c>
      <c r="AI687">
        <f>IF(AND($E687=TRUE,$C687="MID"),AD687,"")</f>
        <v/>
      </c>
      <c r="AJ687">
        <f>IF(AND($E687=TRUE,$C687="FWD"),AD687,"")</f>
        <v/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b">
        <v>1</v>
      </c>
      <c r="F688" s="2" t="n">
        <v>5.5</v>
      </c>
      <c r="G688" t="inlineStr">
        <is>
          <t>a</t>
        </is>
      </c>
      <c r="I688" s="2" t="n"/>
      <c r="K688" s="3" t="n">
        <v>2861</v>
      </c>
      <c r="L688" t="inlineStr">
        <is>
          <t>flat</t>
        </is>
      </c>
      <c r="M688" s="4" t="n"/>
      <c r="N688" s="4" t="n">
        <v>0.237</v>
      </c>
      <c r="O688" s="3" t="n"/>
      <c r="P688" t="inlineStr"/>
      <c r="Q688" s="3" t="n"/>
      <c r="R688" s="3" t="n"/>
      <c r="S688" s="3" t="n"/>
      <c r="T688" s="3" t="n"/>
      <c r="U688" s="3" t="n"/>
      <c r="V688" s="3" t="n"/>
      <c r="W688" s="3">
        <f>IF(V688="",IFERROR(VLOOKUP($C688,Assumptions!$A$4:$F$7,6,FALSE),0),V688)</f>
        <v/>
      </c>
      <c r="X688" s="3">
        <f>N(O688)*IFERROR(VLOOKUP($C688,Assumptions!$A$4:$F$7,2,FALSE),0)</f>
        <v/>
      </c>
      <c r="Y688" s="3">
        <f>N(S688)*IFERROR(VLOOKUP($C688,Assumptions!$A$4:$F$7,3,FALSE),0)*Assumptions!$B$11</f>
        <v/>
      </c>
      <c r="Z688" s="3">
        <f>N(N688)*IFERROR(VLOOKUP($C688,Assumptions!$A$4:$F$7,4,FALSE),0)</f>
        <v/>
      </c>
      <c r="AA688" s="3">
        <f>N(T688)*IFERROR(VLOOKUP($C688,Assumptions!$A$4:$F$7,5,FALSE),0)</f>
        <v/>
      </c>
      <c r="AB688" s="3">
        <f>N(U688)</f>
        <v/>
      </c>
      <c r="AC688" s="3">
        <f>SUM(W688:AB688)</f>
        <v/>
      </c>
      <c r="AD688" s="3">
        <f>N(AC688)*N(M688)/90</f>
        <v/>
      </c>
      <c r="AE688" s="3">
        <f>IFERROR(AD688-VLOOKUP($C688,Assumptions!$A$29:$C$32,3,FALSE),"")</f>
        <v/>
      </c>
      <c r="AF688" s="3">
        <f>IFERROR(AE688/F688,"")</f>
        <v/>
      </c>
      <c r="AG688">
        <f>IF(AND($E688=TRUE,$C688="GKP"),AD688,"")</f>
        <v/>
      </c>
      <c r="AH688">
        <f>IF(AND($E688=TRUE,$C688="DEF"),AD688,"")</f>
        <v/>
      </c>
      <c r="AI688">
        <f>IF(AND($E688=TRUE,$C688="MID"),AD688,"")</f>
        <v/>
      </c>
      <c r="AJ688">
        <f>IF(AND($E688=TRUE,$C688="FWD"),AD688,"")</f>
        <v/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b">
        <v>1</v>
      </c>
      <c r="F689" s="2" t="n">
        <v>5.5</v>
      </c>
      <c r="G689" t="inlineStr">
        <is>
          <t>a</t>
        </is>
      </c>
      <c r="I689" s="2" t="n"/>
      <c r="K689" s="3" t="n">
        <v>1072</v>
      </c>
      <c r="L689" t="inlineStr">
        <is>
          <t>flat</t>
        </is>
      </c>
      <c r="M689" s="4" t="n"/>
      <c r="N689" s="4" t="n">
        <v>0.237</v>
      </c>
      <c r="O689" s="3" t="n"/>
      <c r="P689" t="inlineStr"/>
      <c r="Q689" s="3" t="n"/>
      <c r="R689" s="3" t="n"/>
      <c r="S689" s="3" t="n"/>
      <c r="T689" s="3" t="n"/>
      <c r="U689" s="3" t="n"/>
      <c r="V689" s="3" t="n"/>
      <c r="W689" s="3">
        <f>IF(V689="",IFERROR(VLOOKUP($C689,Assumptions!$A$4:$F$7,6,FALSE),0),V689)</f>
        <v/>
      </c>
      <c r="X689" s="3">
        <f>N(O689)*IFERROR(VLOOKUP($C689,Assumptions!$A$4:$F$7,2,FALSE),0)</f>
        <v/>
      </c>
      <c r="Y689" s="3">
        <f>N(S689)*IFERROR(VLOOKUP($C689,Assumptions!$A$4:$F$7,3,FALSE),0)*Assumptions!$B$11</f>
        <v/>
      </c>
      <c r="Z689" s="3">
        <f>N(N689)*IFERROR(VLOOKUP($C689,Assumptions!$A$4:$F$7,4,FALSE),0)</f>
        <v/>
      </c>
      <c r="AA689" s="3">
        <f>N(T689)*IFERROR(VLOOKUP($C689,Assumptions!$A$4:$F$7,5,FALSE),0)</f>
        <v/>
      </c>
      <c r="AB689" s="3">
        <f>N(U689)</f>
        <v/>
      </c>
      <c r="AC689" s="3">
        <f>SUM(W689:AB689)</f>
        <v/>
      </c>
      <c r="AD689" s="3">
        <f>N(AC689)*N(M689)/90</f>
        <v/>
      </c>
      <c r="AE689" s="3">
        <f>IFERROR(AD689-VLOOKUP($C689,Assumptions!$A$29:$C$32,3,FALSE),"")</f>
        <v/>
      </c>
      <c r="AF689" s="3">
        <f>IFERROR(AE689/F689,"")</f>
        <v/>
      </c>
      <c r="AG689">
        <f>IF(AND($E689=TRUE,$C689="GKP"),AD689,"")</f>
        <v/>
      </c>
      <c r="AH689">
        <f>IF(AND($E689=TRUE,$C689="DEF"),AD689,"")</f>
        <v/>
      </c>
      <c r="AI689">
        <f>IF(AND($E689=TRUE,$C689="MID"),AD689,"")</f>
        <v/>
      </c>
      <c r="AJ689">
        <f>IF(AND($E689=TRUE,$C689="FWD"),AD689,"")</f>
        <v/>
      </c>
    </row>
    <row r="690">
      <c r="A690" t="inlineStr">
        <is>
          <t>Luis Guilherme</t>
        </is>
      </c>
      <c r="D690" t="inlineStr">
        <is>
          <t>MID</t>
        </is>
      </c>
      <c r="E690" t="b">
        <v>0</v>
      </c>
      <c r="F690" s="2" t="n"/>
      <c r="I690" s="2" t="n">
        <v>121</v>
      </c>
      <c r="K690" s="3" t="n"/>
      <c r="M690" s="4" t="n">
        <v>121</v>
      </c>
      <c r="N690" s="4" t="n"/>
      <c r="O690" s="3" t="n">
        <v>0.0498</v>
      </c>
      <c r="P690" t="inlineStr">
        <is>
          <t>adjusted xGOT</t>
        </is>
      </c>
      <c r="Q690" s="3" t="n">
        <v>0.954</v>
      </c>
      <c r="R690" s="3" t="n">
        <v>0.5</v>
      </c>
      <c r="S690" s="3" t="n">
        <v>0.0385</v>
      </c>
      <c r="T690" s="3" t="n">
        <v>0</v>
      </c>
      <c r="U690" s="3" t="n">
        <v>0</v>
      </c>
      <c r="V690" s="3" t="n">
        <v>3.719</v>
      </c>
      <c r="W690" s="3">
        <f>IF(V690="",IFERROR(VLOOKUP($C690,Assumptions!$A$4:$F$7,6,FALSE),0),V690)</f>
        <v/>
      </c>
      <c r="X690" s="3">
        <f>N(O690)*IFERROR(VLOOKUP($C690,Assumptions!$A$4:$F$7,2,FALSE),0)</f>
        <v/>
      </c>
      <c r="Y690" s="3">
        <f>N(S690)*IFERROR(VLOOKUP($C690,Assumptions!$A$4:$F$7,3,FALSE),0)*Assumptions!$B$11</f>
        <v/>
      </c>
      <c r="Z690" s="3">
        <f>N(N690)*IFERROR(VLOOKUP($C690,Assumptions!$A$4:$F$7,4,FALSE),0)</f>
        <v/>
      </c>
      <c r="AA690" s="3">
        <f>N(T690)*IFERROR(VLOOKUP($C690,Assumptions!$A$4:$F$7,5,FALSE),0)</f>
        <v/>
      </c>
      <c r="AB690" s="3">
        <f>N(U690)</f>
        <v/>
      </c>
      <c r="AC690" s="3">
        <f>SUM(W690:AB690)</f>
        <v/>
      </c>
      <c r="AD690" s="3">
        <f>N(AC690)*N(M690)/90</f>
        <v/>
      </c>
      <c r="AE690" s="3">
        <f>IFERROR(AD690-VLOOKUP($C690,Assumptions!$A$29:$C$32,3,FALSE),"")</f>
        <v/>
      </c>
      <c r="AF690" s="3">
        <f>IFERROR(AE690/F690,"")</f>
        <v/>
      </c>
      <c r="AG690">
        <f>IF(AND($E690=TRUE,$C690="GKP"),AD690,"")</f>
        <v/>
      </c>
      <c r="AH690">
        <f>IF(AND($E690=TRUE,$C690="DEF"),AD690,"")</f>
        <v/>
      </c>
      <c r="AI690">
        <f>IF(AND($E690=TRUE,$C690="MID"),AD690,"")</f>
        <v/>
      </c>
      <c r="AJ690">
        <f>IF(AND($E690=TRUE,$C690="FWD"),AD690,"")</f>
        <v/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b">
        <v>1</v>
      </c>
      <c r="F691" s="2" t="n">
        <v>4</v>
      </c>
      <c r="G691" t="inlineStr">
        <is>
          <t>a</t>
        </is>
      </c>
      <c r="I691" s="2" t="n"/>
      <c r="K691" s="3" t="n">
        <v>0</v>
      </c>
      <c r="L691" t="inlineStr">
        <is>
          <t>flat</t>
        </is>
      </c>
      <c r="M691" s="4" t="n"/>
      <c r="N691" s="4" t="n"/>
      <c r="O691" s="3" t="n"/>
      <c r="P691" t="inlineStr"/>
      <c r="Q691" s="3" t="n"/>
      <c r="R691" s="3" t="n"/>
      <c r="S691" s="3" t="n"/>
      <c r="T691" s="3" t="n"/>
      <c r="U691" s="3" t="n"/>
      <c r="V691" s="3" t="n"/>
      <c r="W691" s="3">
        <f>IF(V691="",IFERROR(VLOOKUP($C691,Assumptions!$A$4:$F$7,6,FALSE),0),V691)</f>
        <v/>
      </c>
      <c r="X691" s="3">
        <f>N(O691)*IFERROR(VLOOKUP($C691,Assumptions!$A$4:$F$7,2,FALSE),0)</f>
        <v/>
      </c>
      <c r="Y691" s="3">
        <f>N(S691)*IFERROR(VLOOKUP($C691,Assumptions!$A$4:$F$7,3,FALSE),0)*Assumptions!$B$11</f>
        <v/>
      </c>
      <c r="Z691" s="3">
        <f>N(N691)*IFERROR(VLOOKUP($C691,Assumptions!$A$4:$F$7,4,FALSE),0)</f>
        <v/>
      </c>
      <c r="AA691" s="3">
        <f>N(T691)*IFERROR(VLOOKUP($C691,Assumptions!$A$4:$F$7,5,FALSE),0)</f>
        <v/>
      </c>
      <c r="AB691" s="3">
        <f>N(U691)</f>
        <v/>
      </c>
      <c r="AC691" s="3">
        <f>SUM(W691:AB691)</f>
        <v/>
      </c>
      <c r="AD691" s="3">
        <f>N(AC691)*N(M691)/90</f>
        <v/>
      </c>
      <c r="AE691" s="3">
        <f>IFERROR(AD691-VLOOKUP($C691,Assumptions!$A$29:$C$32,3,FALSE),"")</f>
        <v/>
      </c>
      <c r="AF691" s="3">
        <f>IFERROR(AE691/F691,"")</f>
        <v/>
      </c>
      <c r="AG691">
        <f>IF(AND($E691=TRUE,$C691="GKP"),AD691,"")</f>
        <v/>
      </c>
      <c r="AH691">
        <f>IF(AND($E691=TRUE,$C691="DEF"),AD691,"")</f>
        <v/>
      </c>
      <c r="AI691">
        <f>IF(AND($E691=TRUE,$C691="MID"),AD691,"")</f>
        <v/>
      </c>
      <c r="AJ691">
        <f>IF(AND($E691=TRUE,$C691="FWD"),AD691,"")</f>
        <v/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b">
        <v>1</v>
      </c>
      <c r="F692" s="2" t="n">
        <v>4</v>
      </c>
      <c r="G692" t="inlineStr">
        <is>
          <t>a</t>
        </is>
      </c>
      <c r="I692" s="2" t="n"/>
      <c r="K692" s="3" t="n">
        <v>0</v>
      </c>
      <c r="L692" t="inlineStr">
        <is>
          <t>flat</t>
        </is>
      </c>
      <c r="M692" s="4" t="n"/>
      <c r="N692" s="4" t="n">
        <v>0.237</v>
      </c>
      <c r="O692" s="3" t="n"/>
      <c r="P692" t="inlineStr"/>
      <c r="Q692" s="3" t="n"/>
      <c r="R692" s="3" t="n"/>
      <c r="S692" s="3" t="n"/>
      <c r="T692" s="3" t="n"/>
      <c r="U692" s="3" t="n"/>
      <c r="V692" s="3" t="n"/>
      <c r="W692" s="3">
        <f>IF(V692="",IFERROR(VLOOKUP($C692,Assumptions!$A$4:$F$7,6,FALSE),0),V692)</f>
        <v/>
      </c>
      <c r="X692" s="3">
        <f>N(O692)*IFERROR(VLOOKUP($C692,Assumptions!$A$4:$F$7,2,FALSE),0)</f>
        <v/>
      </c>
      <c r="Y692" s="3">
        <f>N(S692)*IFERROR(VLOOKUP($C692,Assumptions!$A$4:$F$7,3,FALSE),0)*Assumptions!$B$11</f>
        <v/>
      </c>
      <c r="Z692" s="3">
        <f>N(N692)*IFERROR(VLOOKUP($C692,Assumptions!$A$4:$F$7,4,FALSE),0)</f>
        <v/>
      </c>
      <c r="AA692" s="3">
        <f>N(T692)*IFERROR(VLOOKUP($C692,Assumptions!$A$4:$F$7,5,FALSE),0)</f>
        <v/>
      </c>
      <c r="AB692" s="3">
        <f>N(U692)</f>
        <v/>
      </c>
      <c r="AC692" s="3">
        <f>SUM(W692:AB692)</f>
        <v/>
      </c>
      <c r="AD692" s="3">
        <f>N(AC692)*N(M692)/90</f>
        <v/>
      </c>
      <c r="AE692" s="3">
        <f>IFERROR(AD692-VLOOKUP($C692,Assumptions!$A$29:$C$32,3,FALSE),"")</f>
        <v/>
      </c>
      <c r="AF692" s="3">
        <f>IFERROR(AE692/F692,"")</f>
        <v/>
      </c>
      <c r="AG692">
        <f>IF(AND($E692=TRUE,$C692="GKP"),AD692,"")</f>
        <v/>
      </c>
      <c r="AH692">
        <f>IF(AND($E692=TRUE,$C692="DEF"),AD692,"")</f>
        <v/>
      </c>
      <c r="AI692">
        <f>IF(AND($E692=TRUE,$C692="MID"),AD692,"")</f>
        <v/>
      </c>
      <c r="AJ692">
        <f>IF(AND($E692=TRUE,$C692="FWD"),AD692,"")</f>
        <v/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b">
        <v>1</v>
      </c>
      <c r="F693" s="2" t="n">
        <v>5.5</v>
      </c>
      <c r="G693" t="inlineStr">
        <is>
          <t>a</t>
        </is>
      </c>
      <c r="I693" s="2" t="n"/>
      <c r="K693" s="3" t="n">
        <v>866</v>
      </c>
      <c r="L693" t="inlineStr">
        <is>
          <t>flat</t>
        </is>
      </c>
      <c r="M693" s="4" t="n"/>
      <c r="N693" s="4" t="n">
        <v>0.237</v>
      </c>
      <c r="O693" s="3" t="n"/>
      <c r="P693" t="inlineStr"/>
      <c r="Q693" s="3" t="n"/>
      <c r="R693" s="3" t="n"/>
      <c r="S693" s="3" t="n"/>
      <c r="T693" s="3" t="n"/>
      <c r="U693" s="3" t="n"/>
      <c r="V693" s="3" t="n"/>
      <c r="W693" s="3">
        <f>IF(V693="",IFERROR(VLOOKUP($C693,Assumptions!$A$4:$F$7,6,FALSE),0),V693)</f>
        <v/>
      </c>
      <c r="X693" s="3">
        <f>N(O693)*IFERROR(VLOOKUP($C693,Assumptions!$A$4:$F$7,2,FALSE),0)</f>
        <v/>
      </c>
      <c r="Y693" s="3">
        <f>N(S693)*IFERROR(VLOOKUP($C693,Assumptions!$A$4:$F$7,3,FALSE),0)*Assumptions!$B$11</f>
        <v/>
      </c>
      <c r="Z693" s="3">
        <f>N(N693)*IFERROR(VLOOKUP($C693,Assumptions!$A$4:$F$7,4,FALSE),0)</f>
        <v/>
      </c>
      <c r="AA693" s="3">
        <f>N(T693)*IFERROR(VLOOKUP($C693,Assumptions!$A$4:$F$7,5,FALSE),0)</f>
        <v/>
      </c>
      <c r="AB693" s="3">
        <f>N(U693)</f>
        <v/>
      </c>
      <c r="AC693" s="3">
        <f>SUM(W693:AB693)</f>
        <v/>
      </c>
      <c r="AD693" s="3">
        <f>N(AC693)*N(M693)/90</f>
        <v/>
      </c>
      <c r="AE693" s="3">
        <f>IFERROR(AD693-VLOOKUP($C693,Assumptions!$A$29:$C$32,3,FALSE),"")</f>
        <v/>
      </c>
      <c r="AF693" s="3">
        <f>IFERROR(AE693/F693,"")</f>
        <v/>
      </c>
      <c r="AG693">
        <f>IF(AND($E693=TRUE,$C693="GKP"),AD693,"")</f>
        <v/>
      </c>
      <c r="AH693">
        <f>IF(AND($E693=TRUE,$C693="DEF"),AD693,"")</f>
        <v/>
      </c>
      <c r="AI693">
        <f>IF(AND($E693=TRUE,$C693="MID"),AD693,"")</f>
        <v/>
      </c>
      <c r="AJ693">
        <f>IF(AND($E693=TRUE,$C693="FWD"),AD693,"")</f>
        <v/>
      </c>
    </row>
    <row r="694">
      <c r="A694" t="inlineStr">
        <is>
          <t>Tom Edozie</t>
        </is>
      </c>
      <c r="D694" t="inlineStr">
        <is>
          <t>MID</t>
        </is>
      </c>
      <c r="E694" t="b">
        <v>0</v>
      </c>
      <c r="F694" s="2" t="n"/>
      <c r="I694" s="2" t="n">
        <v>12</v>
      </c>
      <c r="K694" s="3" t="n"/>
      <c r="M694" s="4" t="n">
        <v>12</v>
      </c>
      <c r="N694" s="4" t="n"/>
      <c r="O694" s="3" t="n">
        <v>1.845</v>
      </c>
      <c r="P694" t="inlineStr">
        <is>
          <t>adjusted xGOT</t>
        </is>
      </c>
      <c r="Q694" s="3" t="n">
        <v>1.069</v>
      </c>
      <c r="R694" s="3" t="n">
        <v>0.2</v>
      </c>
      <c r="S694" s="3" t="n"/>
      <c r="T694" s="3" t="n"/>
      <c r="U694" s="3" t="n">
        <v>0</v>
      </c>
      <c r="V694" s="3" t="n">
        <v>22.5</v>
      </c>
      <c r="W694" s="3">
        <f>IF(V694="",IFERROR(VLOOKUP($C694,Assumptions!$A$4:$F$7,6,FALSE),0),V694)</f>
        <v/>
      </c>
      <c r="X694" s="3">
        <f>N(O694)*IFERROR(VLOOKUP($C694,Assumptions!$A$4:$F$7,2,FALSE),0)</f>
        <v/>
      </c>
      <c r="Y694" s="3">
        <f>N(S694)*IFERROR(VLOOKUP($C694,Assumptions!$A$4:$F$7,3,FALSE),0)*Assumptions!$B$11</f>
        <v/>
      </c>
      <c r="Z694" s="3">
        <f>N(N694)*IFERROR(VLOOKUP($C694,Assumptions!$A$4:$F$7,4,FALSE),0)</f>
        <v/>
      </c>
      <c r="AA694" s="3">
        <f>N(T694)*IFERROR(VLOOKUP($C694,Assumptions!$A$4:$F$7,5,FALSE),0)</f>
        <v/>
      </c>
      <c r="AB694" s="3">
        <f>N(U694)</f>
        <v/>
      </c>
      <c r="AC694" s="3">
        <f>SUM(W694:AB694)</f>
        <v/>
      </c>
      <c r="AD694" s="3">
        <f>N(AC694)*N(M694)/90</f>
        <v/>
      </c>
      <c r="AE694" s="3">
        <f>IFERROR(AD694-VLOOKUP($C694,Assumptions!$A$29:$C$32,3,FALSE),"")</f>
        <v/>
      </c>
      <c r="AF694" s="3">
        <f>IFERROR(AE694/F694,"")</f>
        <v/>
      </c>
      <c r="AG694">
        <f>IF(AND($E694=TRUE,$C694="GKP"),AD694,"")</f>
        <v/>
      </c>
      <c r="AH694">
        <f>IF(AND($E694=TRUE,$C694="DEF"),AD694,"")</f>
        <v/>
      </c>
      <c r="AI694">
        <f>IF(AND($E694=TRUE,$C694="MID"),AD694,"")</f>
        <v/>
      </c>
      <c r="AJ694">
        <f>IF(AND($E694=TRUE,$C694="FWD"),AD694,"")</f>
        <v/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b">
        <v>1</v>
      </c>
      <c r="F695" s="2" t="n">
        <v>4</v>
      </c>
      <c r="G695" t="inlineStr">
        <is>
          <t>a</t>
        </is>
      </c>
      <c r="I695" s="2" t="n"/>
      <c r="K695" s="3" t="n">
        <v>0</v>
      </c>
      <c r="L695" t="inlineStr">
        <is>
          <t>flat</t>
        </is>
      </c>
      <c r="M695" s="4" t="n"/>
      <c r="N695" s="4" t="n"/>
      <c r="O695" s="3" t="n"/>
      <c r="P695" t="inlineStr"/>
      <c r="Q695" s="3" t="n"/>
      <c r="R695" s="3" t="n"/>
      <c r="S695" s="3" t="n"/>
      <c r="T695" s="3" t="n"/>
      <c r="U695" s="3" t="n"/>
      <c r="V695" s="3" t="n"/>
      <c r="W695" s="3">
        <f>IF(V695="",IFERROR(VLOOKUP($C695,Assumptions!$A$4:$F$7,6,FALSE),0),V695)</f>
        <v/>
      </c>
      <c r="X695" s="3">
        <f>N(O695)*IFERROR(VLOOKUP($C695,Assumptions!$A$4:$F$7,2,FALSE),0)</f>
        <v/>
      </c>
      <c r="Y695" s="3">
        <f>N(S695)*IFERROR(VLOOKUP($C695,Assumptions!$A$4:$F$7,3,FALSE),0)*Assumptions!$B$11</f>
        <v/>
      </c>
      <c r="Z695" s="3">
        <f>N(N695)*IFERROR(VLOOKUP($C695,Assumptions!$A$4:$F$7,4,FALSE),0)</f>
        <v/>
      </c>
      <c r="AA695" s="3">
        <f>N(T695)*IFERROR(VLOOKUP($C695,Assumptions!$A$4:$F$7,5,FALSE),0)</f>
        <v/>
      </c>
      <c r="AB695" s="3">
        <f>N(U695)</f>
        <v/>
      </c>
      <c r="AC695" s="3">
        <f>SUM(W695:AB695)</f>
        <v/>
      </c>
      <c r="AD695" s="3">
        <f>N(AC695)*N(M695)/90</f>
        <v/>
      </c>
      <c r="AE695" s="3">
        <f>IFERROR(AD695-VLOOKUP($C695,Assumptions!$A$29:$C$32,3,FALSE),"")</f>
        <v/>
      </c>
      <c r="AF695" s="3">
        <f>IFERROR(AE695/F695,"")</f>
        <v/>
      </c>
      <c r="AG695">
        <f>IF(AND($E695=TRUE,$C695="GKP"),AD695,"")</f>
        <v/>
      </c>
      <c r="AH695">
        <f>IF(AND($E695=TRUE,$C695="DEF"),AD695,"")</f>
        <v/>
      </c>
      <c r="AI695">
        <f>IF(AND($E695=TRUE,$C695="MID"),AD695,"")</f>
        <v/>
      </c>
      <c r="AJ695">
        <f>IF(AND($E695=TRUE,$C695="FWD"),AD695,"")</f>
        <v/>
      </c>
    </row>
    <row r="696">
      <c r="A696" t="inlineStr">
        <is>
          <t>Ezra Mayers</t>
        </is>
      </c>
      <c r="D696" t="inlineStr">
        <is>
          <t>DEF</t>
        </is>
      </c>
      <c r="E696" t="b">
        <v>0</v>
      </c>
      <c r="F696" s="2" t="n"/>
      <c r="I696" s="2" t="n">
        <v>113</v>
      </c>
      <c r="K696" s="3" t="n"/>
      <c r="M696" s="4" t="n">
        <v>113</v>
      </c>
      <c r="N696" s="4" t="n"/>
      <c r="O696" s="3" t="n">
        <v>0.094</v>
      </c>
      <c r="P696" t="inlineStr">
        <is>
          <t>adjusted xGOT</t>
        </is>
      </c>
      <c r="Q696" s="3" t="n">
        <v>0.985</v>
      </c>
      <c r="R696" s="3" t="n">
        <v>0.1</v>
      </c>
      <c r="S696" s="3" t="n">
        <v>0.0927</v>
      </c>
      <c r="T696" s="3" t="n"/>
      <c r="U696" s="3" t="n">
        <v>0</v>
      </c>
      <c r="V696" s="3" t="n">
        <v>4.779</v>
      </c>
      <c r="W696" s="3">
        <f>IF(V696="",IFERROR(VLOOKUP($C696,Assumptions!$A$4:$F$7,6,FALSE),0),V696)</f>
        <v/>
      </c>
      <c r="X696" s="3">
        <f>N(O696)*IFERROR(VLOOKUP($C696,Assumptions!$A$4:$F$7,2,FALSE),0)</f>
        <v/>
      </c>
      <c r="Y696" s="3">
        <f>N(S696)*IFERROR(VLOOKUP($C696,Assumptions!$A$4:$F$7,3,FALSE),0)*Assumptions!$B$11</f>
        <v/>
      </c>
      <c r="Z696" s="3">
        <f>N(N696)*IFERROR(VLOOKUP($C696,Assumptions!$A$4:$F$7,4,FALSE),0)</f>
        <v/>
      </c>
      <c r="AA696" s="3">
        <f>N(T696)*IFERROR(VLOOKUP($C696,Assumptions!$A$4:$F$7,5,FALSE),0)</f>
        <v/>
      </c>
      <c r="AB696" s="3">
        <f>N(U696)</f>
        <v/>
      </c>
      <c r="AC696" s="3">
        <f>SUM(W696:AB696)</f>
        <v/>
      </c>
      <c r="AD696" s="3">
        <f>N(AC696)*N(M696)/90</f>
        <v/>
      </c>
      <c r="AE696" s="3">
        <f>IFERROR(AD696-VLOOKUP($C696,Assumptions!$A$29:$C$32,3,FALSE),"")</f>
        <v/>
      </c>
      <c r="AF696" s="3">
        <f>IFERROR(AE696/F696,"")</f>
        <v/>
      </c>
      <c r="AG696">
        <f>IF(AND($E696=TRUE,$C696="GKP"),AD696,"")</f>
        <v/>
      </c>
      <c r="AH696">
        <f>IF(AND($E696=TRUE,$C696="DEF"),AD696,"")</f>
        <v/>
      </c>
      <c r="AI696">
        <f>IF(AND($E696=TRUE,$C696="MID"),AD696,"")</f>
        <v/>
      </c>
      <c r="AJ696">
        <f>IF(AND($E696=TRUE,$C696="FWD"),AD696,"")</f>
        <v/>
      </c>
    </row>
    <row r="697">
      <c r="A697" t="inlineStr">
        <is>
          <t>Romelle Donovan</t>
        </is>
      </c>
      <c r="D697" t="inlineStr">
        <is>
          <t>MID</t>
        </is>
      </c>
      <c r="E697" t="b">
        <v>0</v>
      </c>
      <c r="F697" s="2" t="n"/>
      <c r="I697" s="2" t="n">
        <v>38</v>
      </c>
      <c r="K697" s="3" t="n"/>
      <c r="M697" s="4" t="n">
        <v>38</v>
      </c>
      <c r="N697" s="4" t="n"/>
      <c r="O697" s="3" t="n">
        <v>0.2108</v>
      </c>
      <c r="P697" t="inlineStr">
        <is>
          <t>adjusted xGOT</t>
        </is>
      </c>
      <c r="Q697" s="3" t="n">
        <v>0.989</v>
      </c>
      <c r="R697" s="3" t="n">
        <v>0.1</v>
      </c>
      <c r="S697" s="3" t="n">
        <v>0.0759</v>
      </c>
      <c r="T697" s="3" t="n"/>
      <c r="U697" s="3" t="n">
        <v>0</v>
      </c>
      <c r="V697" s="3" t="n">
        <v>9.474</v>
      </c>
      <c r="W697" s="3">
        <f>IF(V697="",IFERROR(VLOOKUP($C697,Assumptions!$A$4:$F$7,6,FALSE),0),V697)</f>
        <v/>
      </c>
      <c r="X697" s="3">
        <f>N(O697)*IFERROR(VLOOKUP($C697,Assumptions!$A$4:$F$7,2,FALSE),0)</f>
        <v/>
      </c>
      <c r="Y697" s="3">
        <f>N(S697)*IFERROR(VLOOKUP($C697,Assumptions!$A$4:$F$7,3,FALSE),0)*Assumptions!$B$11</f>
        <v/>
      </c>
      <c r="Z697" s="3">
        <f>N(N697)*IFERROR(VLOOKUP($C697,Assumptions!$A$4:$F$7,4,FALSE),0)</f>
        <v/>
      </c>
      <c r="AA697" s="3">
        <f>N(T697)*IFERROR(VLOOKUP($C697,Assumptions!$A$4:$F$7,5,FALSE),0)</f>
        <v/>
      </c>
      <c r="AB697" s="3">
        <f>N(U697)</f>
        <v/>
      </c>
      <c r="AC697" s="3">
        <f>SUM(W697:AB697)</f>
        <v/>
      </c>
      <c r="AD697" s="3">
        <f>N(AC697)*N(M697)/90</f>
        <v/>
      </c>
      <c r="AE697" s="3">
        <f>IFERROR(AD697-VLOOKUP($C697,Assumptions!$A$29:$C$32,3,FALSE),"")</f>
        <v/>
      </c>
      <c r="AF697" s="3">
        <f>IFERROR(AE697/F697,"")</f>
        <v/>
      </c>
      <c r="AG697">
        <f>IF(AND($E697=TRUE,$C697="GKP"),AD697,"")</f>
        <v/>
      </c>
      <c r="AH697">
        <f>IF(AND($E697=TRUE,$C697="DEF"),AD697,"")</f>
        <v/>
      </c>
      <c r="AI697">
        <f>IF(AND($E697=TRUE,$C697="MID"),AD697,"")</f>
        <v/>
      </c>
      <c r="AJ697">
        <f>IF(AND($E697=TRUE,$C697="FWD"),AD697,"")</f>
        <v/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b">
        <v>1</v>
      </c>
      <c r="F698" s="2" t="n">
        <v>5</v>
      </c>
      <c r="G698" t="inlineStr">
        <is>
          <t>a</t>
        </is>
      </c>
      <c r="I698" s="2" t="n"/>
      <c r="K698" s="3" t="n">
        <v>1442</v>
      </c>
      <c r="L698" t="inlineStr">
        <is>
          <t>flat</t>
        </is>
      </c>
      <c r="M698" s="4" t="n"/>
      <c r="N698" s="4" t="n">
        <v>0.263</v>
      </c>
      <c r="O698" s="3" t="n"/>
      <c r="P698" t="inlineStr"/>
      <c r="Q698" s="3" t="n"/>
      <c r="R698" s="3" t="n"/>
      <c r="S698" s="3" t="n"/>
      <c r="T698" s="3" t="n"/>
      <c r="U698" s="3" t="n"/>
      <c r="V698" s="3" t="n"/>
      <c r="W698" s="3">
        <f>IF(V698="",IFERROR(VLOOKUP($C698,Assumptions!$A$4:$F$7,6,FALSE),0),V698)</f>
        <v/>
      </c>
      <c r="X698" s="3">
        <f>N(O698)*IFERROR(VLOOKUP($C698,Assumptions!$A$4:$F$7,2,FALSE),0)</f>
        <v/>
      </c>
      <c r="Y698" s="3">
        <f>N(S698)*IFERROR(VLOOKUP($C698,Assumptions!$A$4:$F$7,3,FALSE),0)*Assumptions!$B$11</f>
        <v/>
      </c>
      <c r="Z698" s="3">
        <f>N(N698)*IFERROR(VLOOKUP($C698,Assumptions!$A$4:$F$7,4,FALSE),0)</f>
        <v/>
      </c>
      <c r="AA698" s="3">
        <f>N(T698)*IFERROR(VLOOKUP($C698,Assumptions!$A$4:$F$7,5,FALSE),0)</f>
        <v/>
      </c>
      <c r="AB698" s="3">
        <f>N(U698)</f>
        <v/>
      </c>
      <c r="AC698" s="3">
        <f>SUM(W698:AB698)</f>
        <v/>
      </c>
      <c r="AD698" s="3">
        <f>N(AC698)*N(M698)/90</f>
        <v/>
      </c>
      <c r="AE698" s="3">
        <f>IFERROR(AD698-VLOOKUP($C698,Assumptions!$A$29:$C$32,3,FALSE),"")</f>
        <v/>
      </c>
      <c r="AF698" s="3">
        <f>IFERROR(AE698/F698,"")</f>
        <v/>
      </c>
      <c r="AG698">
        <f>IF(AND($E698=TRUE,$C698="GKP"),AD698,"")</f>
        <v/>
      </c>
      <c r="AH698">
        <f>IF(AND($E698=TRUE,$C698="DEF"),AD698,"")</f>
        <v/>
      </c>
      <c r="AI698">
        <f>IF(AND($E698=TRUE,$C698="MID"),AD698,"")</f>
        <v/>
      </c>
      <c r="AJ698">
        <f>IF(AND($E698=TRUE,$C698="FWD"),AD698,"")</f>
        <v/>
      </c>
    </row>
    <row r="699">
      <c r="A699" t="inlineStr">
        <is>
          <t>Ben Winterburn</t>
        </is>
      </c>
      <c r="D699" t="inlineStr">
        <is>
          <t>MID</t>
        </is>
      </c>
      <c r="E699" t="b">
        <v>0</v>
      </c>
      <c r="F699" s="2" t="n"/>
      <c r="I699" s="2" t="n">
        <v>6</v>
      </c>
      <c r="K699" s="3" t="n"/>
      <c r="M699" s="4" t="n">
        <v>6</v>
      </c>
      <c r="N699" s="4" t="n"/>
      <c r="O699" s="3" t="n"/>
      <c r="P699" t="inlineStr"/>
      <c r="Q699" s="3" t="n">
        <v>1</v>
      </c>
      <c r="R699" s="3" t="n">
        <v>0</v>
      </c>
      <c r="S699" s="3" t="n"/>
      <c r="T699" s="3" t="n"/>
      <c r="U699" s="3" t="n">
        <v>0</v>
      </c>
      <c r="V699" s="3" t="n">
        <v>15</v>
      </c>
      <c r="W699" s="3">
        <f>IF(V699="",IFERROR(VLOOKUP($C699,Assumptions!$A$4:$F$7,6,FALSE),0),V699)</f>
        <v/>
      </c>
      <c r="X699" s="3">
        <f>N(O699)*IFERROR(VLOOKUP($C699,Assumptions!$A$4:$F$7,2,FALSE),0)</f>
        <v/>
      </c>
      <c r="Y699" s="3">
        <f>N(S699)*IFERROR(VLOOKUP($C699,Assumptions!$A$4:$F$7,3,FALSE),0)*Assumptions!$B$11</f>
        <v/>
      </c>
      <c r="Z699" s="3">
        <f>N(N699)*IFERROR(VLOOKUP($C699,Assumptions!$A$4:$F$7,4,FALSE),0)</f>
        <v/>
      </c>
      <c r="AA699" s="3">
        <f>N(T699)*IFERROR(VLOOKUP($C699,Assumptions!$A$4:$F$7,5,FALSE),0)</f>
        <v/>
      </c>
      <c r="AB699" s="3">
        <f>N(U699)</f>
        <v/>
      </c>
      <c r="AC699" s="3">
        <f>SUM(W699:AB699)</f>
        <v/>
      </c>
      <c r="AD699" s="3">
        <f>N(AC699)*N(M699)/90</f>
        <v/>
      </c>
      <c r="AE699" s="3">
        <f>IFERROR(AD699-VLOOKUP($C699,Assumptions!$A$29:$C$32,3,FALSE),"")</f>
        <v/>
      </c>
      <c r="AF699" s="3">
        <f>IFERROR(AE699/F699,"")</f>
        <v/>
      </c>
      <c r="AG699">
        <f>IF(AND($E699=TRUE,$C699="GKP"),AD699,"")</f>
        <v/>
      </c>
      <c r="AH699">
        <f>IF(AND($E699=TRUE,$C699="DEF"),AD699,"")</f>
        <v/>
      </c>
      <c r="AI699">
        <f>IF(AND($E699=TRUE,$C699="MID"),AD699,"")</f>
        <v/>
      </c>
      <c r="AJ699">
        <f>IF(AND($E699=TRUE,$C699="FWD"),AD699,"")</f>
        <v/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b">
        <v>1</v>
      </c>
      <c r="F700" s="2" t="n">
        <v>4</v>
      </c>
      <c r="G700" t="inlineStr">
        <is>
          <t>a</t>
        </is>
      </c>
      <c r="I700" s="2" t="n"/>
      <c r="K700" s="3" t="n">
        <v>0</v>
      </c>
      <c r="L700" t="inlineStr">
        <is>
          <t>flat</t>
        </is>
      </c>
      <c r="M700" s="4" t="n"/>
      <c r="N700" s="4" t="n"/>
      <c r="O700" s="3" t="n"/>
      <c r="P700" t="inlineStr"/>
      <c r="Q700" s="3" t="n"/>
      <c r="R700" s="3" t="n"/>
      <c r="S700" s="3" t="n"/>
      <c r="T700" s="3" t="n"/>
      <c r="U700" s="3" t="n"/>
      <c r="V700" s="3" t="n"/>
      <c r="W700" s="3">
        <f>IF(V700="",IFERROR(VLOOKUP($C700,Assumptions!$A$4:$F$7,6,FALSE),0),V700)</f>
        <v/>
      </c>
      <c r="X700" s="3">
        <f>N(O700)*IFERROR(VLOOKUP($C700,Assumptions!$A$4:$F$7,2,FALSE),0)</f>
        <v/>
      </c>
      <c r="Y700" s="3">
        <f>N(S700)*IFERROR(VLOOKUP($C700,Assumptions!$A$4:$F$7,3,FALSE),0)*Assumptions!$B$11</f>
        <v/>
      </c>
      <c r="Z700" s="3">
        <f>N(N700)*IFERROR(VLOOKUP($C700,Assumptions!$A$4:$F$7,4,FALSE),0)</f>
        <v/>
      </c>
      <c r="AA700" s="3">
        <f>N(T700)*IFERROR(VLOOKUP($C700,Assumptions!$A$4:$F$7,5,FALSE),0)</f>
        <v/>
      </c>
      <c r="AB700" s="3">
        <f>N(U700)</f>
        <v/>
      </c>
      <c r="AC700" s="3">
        <f>SUM(W700:AB700)</f>
        <v/>
      </c>
      <c r="AD700" s="3">
        <f>N(AC700)*N(M700)/90</f>
        <v/>
      </c>
      <c r="AE700" s="3">
        <f>IFERROR(AD700-VLOOKUP($C700,Assumptions!$A$29:$C$32,3,FALSE),"")</f>
        <v/>
      </c>
      <c r="AF700" s="3">
        <f>IFERROR(AE700/F700,"")</f>
        <v/>
      </c>
      <c r="AG700">
        <f>IF(AND($E700=TRUE,$C700="GKP"),AD700,"")</f>
        <v/>
      </c>
      <c r="AH700">
        <f>IF(AND($E700=TRUE,$C700="DEF"),AD700,"")</f>
        <v/>
      </c>
      <c r="AI700">
        <f>IF(AND($E700=TRUE,$C700="MID"),AD700,"")</f>
        <v/>
      </c>
      <c r="AJ700">
        <f>IF(AND($E700=TRUE,$C700="FWD"),AD700,"")</f>
        <v/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b">
        <v>1</v>
      </c>
      <c r="F701" s="2" t="n">
        <v>5</v>
      </c>
      <c r="G701" t="inlineStr">
        <is>
          <t>a</t>
        </is>
      </c>
      <c r="I701" s="2" t="n"/>
      <c r="K701" s="3" t="n">
        <v>2554</v>
      </c>
      <c r="L701" t="inlineStr">
        <is>
          <t>flat</t>
        </is>
      </c>
      <c r="M701" s="4" t="n"/>
      <c r="N701" s="4" t="n"/>
      <c r="O701" s="3" t="n"/>
      <c r="P701" t="inlineStr"/>
      <c r="Q701" s="3" t="n"/>
      <c r="R701" s="3" t="n"/>
      <c r="S701" s="3" t="n"/>
      <c r="T701" s="3" t="n"/>
      <c r="U701" s="3" t="n"/>
      <c r="V701" s="3" t="n"/>
      <c r="W701" s="3">
        <f>IF(V701="",IFERROR(VLOOKUP($C701,Assumptions!$A$4:$F$7,6,FALSE),0),V701)</f>
        <v/>
      </c>
      <c r="X701" s="3">
        <f>N(O701)*IFERROR(VLOOKUP($C701,Assumptions!$A$4:$F$7,2,FALSE),0)</f>
        <v/>
      </c>
      <c r="Y701" s="3">
        <f>N(S701)*IFERROR(VLOOKUP($C701,Assumptions!$A$4:$F$7,3,FALSE),0)*Assumptions!$B$11</f>
        <v/>
      </c>
      <c r="Z701" s="3">
        <f>N(N701)*IFERROR(VLOOKUP($C701,Assumptions!$A$4:$F$7,4,FALSE),0)</f>
        <v/>
      </c>
      <c r="AA701" s="3">
        <f>N(T701)*IFERROR(VLOOKUP($C701,Assumptions!$A$4:$F$7,5,FALSE),0)</f>
        <v/>
      </c>
      <c r="AB701" s="3">
        <f>N(U701)</f>
        <v/>
      </c>
      <c r="AC701" s="3">
        <f>SUM(W701:AB701)</f>
        <v/>
      </c>
      <c r="AD701" s="3">
        <f>N(AC701)*N(M701)/90</f>
        <v/>
      </c>
      <c r="AE701" s="3">
        <f>IFERROR(AD701-VLOOKUP($C701,Assumptions!$A$29:$C$32,3,FALSE),"")</f>
        <v/>
      </c>
      <c r="AF701" s="3">
        <f>IFERROR(AE701/F701,"")</f>
        <v/>
      </c>
      <c r="AG701">
        <f>IF(AND($E701=TRUE,$C701="GKP"),AD701,"")</f>
        <v/>
      </c>
      <c r="AH701">
        <f>IF(AND($E701=TRUE,$C701="DEF"),AD701,"")</f>
        <v/>
      </c>
      <c r="AI701">
        <f>IF(AND($E701=TRUE,$C701="MID"),AD701,"")</f>
        <v/>
      </c>
      <c r="AJ701">
        <f>IF(AND($E701=TRUE,$C701="FWD"),AD701,"")</f>
        <v/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b">
        <v>1</v>
      </c>
      <c r="F702" s="2" t="n">
        <v>6</v>
      </c>
      <c r="G702" t="inlineStr">
        <is>
          <t>a</t>
        </is>
      </c>
      <c r="I702" s="2" t="n"/>
      <c r="K702" s="3" t="n">
        <v>1197</v>
      </c>
      <c r="L702" t="inlineStr">
        <is>
          <t>flat</t>
        </is>
      </c>
      <c r="M702" s="4" t="n"/>
      <c r="N702" s="4" t="n">
        <v>0.21</v>
      </c>
      <c r="O702" s="3" t="n"/>
      <c r="P702" t="inlineStr"/>
      <c r="Q702" s="3" t="n"/>
      <c r="R702" s="3" t="n"/>
      <c r="S702" s="3" t="n"/>
      <c r="T702" s="3" t="n"/>
      <c r="U702" s="3" t="n"/>
      <c r="V702" s="3" t="n"/>
      <c r="W702" s="3">
        <f>IF(V702="",IFERROR(VLOOKUP($C702,Assumptions!$A$4:$F$7,6,FALSE),0),V702)</f>
        <v/>
      </c>
      <c r="X702" s="3">
        <f>N(O702)*IFERROR(VLOOKUP($C702,Assumptions!$A$4:$F$7,2,FALSE),0)</f>
        <v/>
      </c>
      <c r="Y702" s="3">
        <f>N(S702)*IFERROR(VLOOKUP($C702,Assumptions!$A$4:$F$7,3,FALSE),0)*Assumptions!$B$11</f>
        <v/>
      </c>
      <c r="Z702" s="3">
        <f>N(N702)*IFERROR(VLOOKUP($C702,Assumptions!$A$4:$F$7,4,FALSE),0)</f>
        <v/>
      </c>
      <c r="AA702" s="3">
        <f>N(T702)*IFERROR(VLOOKUP($C702,Assumptions!$A$4:$F$7,5,FALSE),0)</f>
        <v/>
      </c>
      <c r="AB702" s="3">
        <f>N(U702)</f>
        <v/>
      </c>
      <c r="AC702" s="3">
        <f>SUM(W702:AB702)</f>
        <v/>
      </c>
      <c r="AD702" s="3">
        <f>N(AC702)*N(M702)/90</f>
        <v/>
      </c>
      <c r="AE702" s="3">
        <f>IFERROR(AD702-VLOOKUP($C702,Assumptions!$A$29:$C$32,3,FALSE),"")</f>
        <v/>
      </c>
      <c r="AF702" s="3">
        <f>IFERROR(AE702/F702,"")</f>
        <v/>
      </c>
      <c r="AG702">
        <f>IF(AND($E702=TRUE,$C702="GKP"),AD702,"")</f>
        <v/>
      </c>
      <c r="AH702">
        <f>IF(AND($E702=TRUE,$C702="DEF"),AD702,"")</f>
        <v/>
      </c>
      <c r="AI702">
        <f>IF(AND($E702=TRUE,$C702="MID"),AD702,"")</f>
        <v/>
      </c>
      <c r="AJ702">
        <f>IF(AND($E702=TRUE,$C702="FWD"),AD702,"")</f>
        <v/>
      </c>
    </row>
    <row r="703">
      <c r="A703" t="inlineStr">
        <is>
          <t>El Hadji Malick Diouf</t>
        </is>
      </c>
      <c r="D703" t="inlineStr">
        <is>
          <t>DEF</t>
        </is>
      </c>
      <c r="E703" t="b">
        <v>0</v>
      </c>
      <c r="F703" s="2" t="n"/>
      <c r="I703" s="2" t="n">
        <v>2711</v>
      </c>
      <c r="K703" s="3" t="n"/>
      <c r="M703" s="4" t="n">
        <v>2711</v>
      </c>
      <c r="N703" s="4" t="n"/>
      <c r="O703" s="3" t="n">
        <v>0.0179</v>
      </c>
      <c r="P703" t="inlineStr">
        <is>
          <t>adjusted xGOT</t>
        </is>
      </c>
      <c r="Q703" s="3" t="n">
        <v>0.945</v>
      </c>
      <c r="R703" s="3" t="n">
        <v>0.6</v>
      </c>
      <c r="S703" s="3" t="n">
        <v>0.108</v>
      </c>
      <c r="T703" s="3" t="n">
        <v>0.133</v>
      </c>
      <c r="U703" s="3" t="n">
        <v>0.09959999999999999</v>
      </c>
      <c r="V703" s="3" t="n">
        <v>2.058</v>
      </c>
      <c r="W703" s="3">
        <f>IF(V703="",IFERROR(VLOOKUP($C703,Assumptions!$A$4:$F$7,6,FALSE),0),V703)</f>
        <v/>
      </c>
      <c r="X703" s="3">
        <f>N(O703)*IFERROR(VLOOKUP($C703,Assumptions!$A$4:$F$7,2,FALSE),0)</f>
        <v/>
      </c>
      <c r="Y703" s="3">
        <f>N(S703)*IFERROR(VLOOKUP($C703,Assumptions!$A$4:$F$7,3,FALSE),0)*Assumptions!$B$11</f>
        <v/>
      </c>
      <c r="Z703" s="3">
        <f>N(N703)*IFERROR(VLOOKUP($C703,Assumptions!$A$4:$F$7,4,FALSE),0)</f>
        <v/>
      </c>
      <c r="AA703" s="3">
        <f>N(T703)*IFERROR(VLOOKUP($C703,Assumptions!$A$4:$F$7,5,FALSE),0)</f>
        <v/>
      </c>
      <c r="AB703" s="3">
        <f>N(U703)</f>
        <v/>
      </c>
      <c r="AC703" s="3">
        <f>SUM(W703:AB703)</f>
        <v/>
      </c>
      <c r="AD703" s="3">
        <f>N(AC703)*N(M703)/90</f>
        <v/>
      </c>
      <c r="AE703" s="3">
        <f>IFERROR(AD703-VLOOKUP($C703,Assumptions!$A$29:$C$32,3,FALSE),"")</f>
        <v/>
      </c>
      <c r="AF703" s="3">
        <f>IFERROR(AE703/F703,"")</f>
        <v/>
      </c>
      <c r="AG703">
        <f>IF(AND($E703=TRUE,$C703="GKP"),AD703,"")</f>
        <v/>
      </c>
      <c r="AH703">
        <f>IF(AND($E703=TRUE,$C703="DEF"),AD703,"")</f>
        <v/>
      </c>
      <c r="AI703">
        <f>IF(AND($E703=TRUE,$C703="MID"),AD703,"")</f>
        <v/>
      </c>
      <c r="AJ703">
        <f>IF(AND($E703=TRUE,$C703="FWD"),AD703,"")</f>
        <v/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b">
        <v>1</v>
      </c>
      <c r="F704" s="2" t="n">
        <v>6</v>
      </c>
      <c r="G704" t="inlineStr">
        <is>
          <t>a</t>
        </is>
      </c>
      <c r="I704" s="2" t="n"/>
      <c r="K704" s="3" t="n">
        <v>2069</v>
      </c>
      <c r="L704" t="inlineStr">
        <is>
          <t>flat</t>
        </is>
      </c>
      <c r="M704" s="4" t="n"/>
      <c r="N704" s="4" t="n">
        <v>0.237</v>
      </c>
      <c r="O704" s="3" t="n"/>
      <c r="P704" t="inlineStr"/>
      <c r="Q704" s="3" t="n"/>
      <c r="R704" s="3" t="n"/>
      <c r="S704" s="3" t="n"/>
      <c r="T704" s="3" t="n"/>
      <c r="U704" s="3" t="n"/>
      <c r="V704" s="3" t="n"/>
      <c r="W704" s="3">
        <f>IF(V704="",IFERROR(VLOOKUP($C704,Assumptions!$A$4:$F$7,6,FALSE),0),V704)</f>
        <v/>
      </c>
      <c r="X704" s="3">
        <f>N(O704)*IFERROR(VLOOKUP($C704,Assumptions!$A$4:$F$7,2,FALSE),0)</f>
        <v/>
      </c>
      <c r="Y704" s="3">
        <f>N(S704)*IFERROR(VLOOKUP($C704,Assumptions!$A$4:$F$7,3,FALSE),0)*Assumptions!$B$11</f>
        <v/>
      </c>
      <c r="Z704" s="3">
        <f>N(N704)*IFERROR(VLOOKUP($C704,Assumptions!$A$4:$F$7,4,FALSE),0)</f>
        <v/>
      </c>
      <c r="AA704" s="3">
        <f>N(T704)*IFERROR(VLOOKUP($C704,Assumptions!$A$4:$F$7,5,FALSE),0)</f>
        <v/>
      </c>
      <c r="AB704" s="3">
        <f>N(U704)</f>
        <v/>
      </c>
      <c r="AC704" s="3">
        <f>SUM(W704:AB704)</f>
        <v/>
      </c>
      <c r="AD704" s="3">
        <f>N(AC704)*N(M704)/90</f>
        <v/>
      </c>
      <c r="AE704" s="3">
        <f>IFERROR(AD704-VLOOKUP($C704,Assumptions!$A$29:$C$32,3,FALSE),"")</f>
        <v/>
      </c>
      <c r="AF704" s="3">
        <f>IFERROR(AE704/F704,"")</f>
        <v/>
      </c>
      <c r="AG704">
        <f>IF(AND($E704=TRUE,$C704="GKP"),AD704,"")</f>
        <v/>
      </c>
      <c r="AH704">
        <f>IF(AND($E704=TRUE,$C704="DEF"),AD704,"")</f>
        <v/>
      </c>
      <c r="AI704">
        <f>IF(AND($E704=TRUE,$C704="MID"),AD704,"")</f>
        <v/>
      </c>
      <c r="AJ704">
        <f>IF(AND($E704=TRUE,$C704="FWD"),AD704,"")</f>
        <v/>
      </c>
    </row>
    <row r="705">
      <c r="A705" t="inlineStr">
        <is>
          <t>Jesse Derry</t>
        </is>
      </c>
      <c r="D705" t="inlineStr">
        <is>
          <t>MID</t>
        </is>
      </c>
      <c r="E705" t="b">
        <v>0</v>
      </c>
      <c r="F705" s="2" t="n"/>
      <c r="I705" s="2" t="n">
        <v>44</v>
      </c>
      <c r="K705" s="3" t="n"/>
      <c r="M705" s="4" t="n">
        <v>44</v>
      </c>
      <c r="N705" s="4" t="n"/>
      <c r="O705" s="3" t="n">
        <v>0.2045</v>
      </c>
      <c r="P705" t="inlineStr">
        <is>
          <t>adjusted xGOT</t>
        </is>
      </c>
      <c r="Q705" s="3" t="n">
        <v>1</v>
      </c>
      <c r="R705" s="3" t="n">
        <v>0.1</v>
      </c>
      <c r="S705" s="3" t="n">
        <v>0</v>
      </c>
      <c r="T705" s="3" t="n">
        <v>0</v>
      </c>
      <c r="U705" s="3" t="n">
        <v>0</v>
      </c>
      <c r="V705" s="3" t="n">
        <v>2.045</v>
      </c>
      <c r="W705" s="3">
        <f>IF(V705="",IFERROR(VLOOKUP($C705,Assumptions!$A$4:$F$7,6,FALSE),0),V705)</f>
        <v/>
      </c>
      <c r="X705" s="3">
        <f>N(O705)*IFERROR(VLOOKUP($C705,Assumptions!$A$4:$F$7,2,FALSE),0)</f>
        <v/>
      </c>
      <c r="Y705" s="3">
        <f>N(S705)*IFERROR(VLOOKUP($C705,Assumptions!$A$4:$F$7,3,FALSE),0)*Assumptions!$B$11</f>
        <v/>
      </c>
      <c r="Z705" s="3">
        <f>N(N705)*IFERROR(VLOOKUP($C705,Assumptions!$A$4:$F$7,4,FALSE),0)</f>
        <v/>
      </c>
      <c r="AA705" s="3">
        <f>N(T705)*IFERROR(VLOOKUP($C705,Assumptions!$A$4:$F$7,5,FALSE),0)</f>
        <v/>
      </c>
      <c r="AB705" s="3">
        <f>N(U705)</f>
        <v/>
      </c>
      <c r="AC705" s="3">
        <f>SUM(W705:AB705)</f>
        <v/>
      </c>
      <c r="AD705" s="3">
        <f>N(AC705)*N(M705)/90</f>
        <v/>
      </c>
      <c r="AE705" s="3">
        <f>IFERROR(AD705-VLOOKUP($C705,Assumptions!$A$29:$C$32,3,FALSE),"")</f>
        <v/>
      </c>
      <c r="AF705" s="3">
        <f>IFERROR(AE705/F705,"")</f>
        <v/>
      </c>
      <c r="AG705">
        <f>IF(AND($E705=TRUE,$C705="GKP"),AD705,"")</f>
        <v/>
      </c>
      <c r="AH705">
        <f>IF(AND($E705=TRUE,$C705="DEF"),AD705,"")</f>
        <v/>
      </c>
      <c r="AI705">
        <f>IF(AND($E705=TRUE,$C705="MID"),AD705,"")</f>
        <v/>
      </c>
      <c r="AJ705">
        <f>IF(AND($E705=TRUE,$C705="FWD"),AD705,"")</f>
        <v/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b">
        <v>1</v>
      </c>
      <c r="F706" s="2" t="n">
        <v>5.5</v>
      </c>
      <c r="G706" t="inlineStr">
        <is>
          <t>a</t>
        </is>
      </c>
      <c r="I706" s="2" t="n"/>
      <c r="K706" s="3" t="n">
        <v>2588</v>
      </c>
      <c r="L706" t="inlineStr">
        <is>
          <t>flat</t>
        </is>
      </c>
      <c r="M706" s="4" t="n"/>
      <c r="N706" s="4" t="n">
        <v>0.237</v>
      </c>
      <c r="O706" s="3" t="n"/>
      <c r="P706" t="inlineStr"/>
      <c r="Q706" s="3" t="n"/>
      <c r="R706" s="3" t="n"/>
      <c r="S706" s="3" t="n"/>
      <c r="T706" s="3" t="n"/>
      <c r="U706" s="3" t="n"/>
      <c r="V706" s="3" t="n"/>
      <c r="W706" s="3">
        <f>IF(V706="",IFERROR(VLOOKUP($C706,Assumptions!$A$4:$F$7,6,FALSE),0),V706)</f>
        <v/>
      </c>
      <c r="X706" s="3">
        <f>N(O706)*IFERROR(VLOOKUP($C706,Assumptions!$A$4:$F$7,2,FALSE),0)</f>
        <v/>
      </c>
      <c r="Y706" s="3">
        <f>N(S706)*IFERROR(VLOOKUP($C706,Assumptions!$A$4:$F$7,3,FALSE),0)*Assumptions!$B$11</f>
        <v/>
      </c>
      <c r="Z706" s="3">
        <f>N(N706)*IFERROR(VLOOKUP($C706,Assumptions!$A$4:$F$7,4,FALSE),0)</f>
        <v/>
      </c>
      <c r="AA706" s="3">
        <f>N(T706)*IFERROR(VLOOKUP($C706,Assumptions!$A$4:$F$7,5,FALSE),0)</f>
        <v/>
      </c>
      <c r="AB706" s="3">
        <f>N(U706)</f>
        <v/>
      </c>
      <c r="AC706" s="3">
        <f>SUM(W706:AB706)</f>
        <v/>
      </c>
      <c r="AD706" s="3">
        <f>N(AC706)*N(M706)/90</f>
        <v/>
      </c>
      <c r="AE706" s="3">
        <f>IFERROR(AD706-VLOOKUP($C706,Assumptions!$A$29:$C$32,3,FALSE),"")</f>
        <v/>
      </c>
      <c r="AF706" s="3">
        <f>IFERROR(AE706/F706,"")</f>
        <v/>
      </c>
      <c r="AG706">
        <f>IF(AND($E706=TRUE,$C706="GKP"),AD706,"")</f>
        <v/>
      </c>
      <c r="AH706">
        <f>IF(AND($E706=TRUE,$C706="DEF"),AD706,"")</f>
        <v/>
      </c>
      <c r="AI706">
        <f>IF(AND($E706=TRUE,$C706="MID"),AD706,"")</f>
        <v/>
      </c>
      <c r="AJ706">
        <f>IF(AND($E706=TRUE,$C706="FWD"),AD706,"")</f>
        <v/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b">
        <v>1</v>
      </c>
      <c r="F707" s="2" t="n">
        <v>4.5</v>
      </c>
      <c r="G707" t="inlineStr">
        <is>
          <t>a</t>
        </is>
      </c>
      <c r="I707" s="2" t="n"/>
      <c r="K707" s="3" t="n">
        <v>0</v>
      </c>
      <c r="L707" t="inlineStr">
        <is>
          <t>flat</t>
        </is>
      </c>
      <c r="M707" s="4" t="n"/>
      <c r="N707" s="4" t="n"/>
      <c r="O707" s="3" t="n"/>
      <c r="P707" t="inlineStr"/>
      <c r="Q707" s="3" t="n"/>
      <c r="R707" s="3" t="n"/>
      <c r="S707" s="3" t="n"/>
      <c r="T707" s="3" t="n"/>
      <c r="U707" s="3" t="n"/>
      <c r="V707" s="3" t="n"/>
      <c r="W707" s="3">
        <f>IF(V707="",IFERROR(VLOOKUP($C707,Assumptions!$A$4:$F$7,6,FALSE),0),V707)</f>
        <v/>
      </c>
      <c r="X707" s="3">
        <f>N(O707)*IFERROR(VLOOKUP($C707,Assumptions!$A$4:$F$7,2,FALSE),0)</f>
        <v/>
      </c>
      <c r="Y707" s="3">
        <f>N(S707)*IFERROR(VLOOKUP($C707,Assumptions!$A$4:$F$7,3,FALSE),0)*Assumptions!$B$11</f>
        <v/>
      </c>
      <c r="Z707" s="3">
        <f>N(N707)*IFERROR(VLOOKUP($C707,Assumptions!$A$4:$F$7,4,FALSE),0)</f>
        <v/>
      </c>
      <c r="AA707" s="3">
        <f>N(T707)*IFERROR(VLOOKUP($C707,Assumptions!$A$4:$F$7,5,FALSE),0)</f>
        <v/>
      </c>
      <c r="AB707" s="3">
        <f>N(U707)</f>
        <v/>
      </c>
      <c r="AC707" s="3">
        <f>SUM(W707:AB707)</f>
        <v/>
      </c>
      <c r="AD707" s="3">
        <f>N(AC707)*N(M707)/90</f>
        <v/>
      </c>
      <c r="AE707" s="3">
        <f>IFERROR(AD707-VLOOKUP($C707,Assumptions!$A$29:$C$32,3,FALSE),"")</f>
        <v/>
      </c>
      <c r="AF707" s="3">
        <f>IFERROR(AE707/F707,"")</f>
        <v/>
      </c>
      <c r="AG707">
        <f>IF(AND($E707=TRUE,$C707="GKP"),AD707,"")</f>
        <v/>
      </c>
      <c r="AH707">
        <f>IF(AND($E707=TRUE,$C707="DEF"),AD707,"")</f>
        <v/>
      </c>
      <c r="AI707">
        <f>IF(AND($E707=TRUE,$C707="MID"),AD707,"")</f>
        <v/>
      </c>
      <c r="AJ707">
        <f>IF(AND($E707=TRUE,$C707="FWD"),AD707,"")</f>
        <v/>
      </c>
    </row>
    <row r="708">
      <c r="A708" t="inlineStr">
        <is>
          <t>Mohamadou Kanté</t>
        </is>
      </c>
      <c r="D708" t="inlineStr">
        <is>
          <t>MID</t>
        </is>
      </c>
      <c r="E708" t="b">
        <v>0</v>
      </c>
      <c r="F708" s="2" t="n"/>
      <c r="I708" s="2" t="n">
        <v>67</v>
      </c>
      <c r="K708" s="3" t="n"/>
      <c r="M708" s="4" t="n">
        <v>67</v>
      </c>
      <c r="N708" s="4" t="n"/>
      <c r="O708" s="3" t="n">
        <v>0.0927</v>
      </c>
      <c r="P708" t="inlineStr">
        <is>
          <t>adjusted xGOT</t>
        </is>
      </c>
      <c r="Q708" s="3" t="n">
        <v>0.991</v>
      </c>
      <c r="R708" s="3" t="n">
        <v>0.1</v>
      </c>
      <c r="S708" s="3" t="n">
        <v>0.1476</v>
      </c>
      <c r="T708" s="3" t="n"/>
      <c r="U708" s="3" t="n">
        <v>0</v>
      </c>
      <c r="V708" s="3" t="n">
        <v>14.776</v>
      </c>
      <c r="W708" s="3">
        <f>IF(V708="",IFERROR(VLOOKUP($C708,Assumptions!$A$4:$F$7,6,FALSE),0),V708)</f>
        <v/>
      </c>
      <c r="X708" s="3">
        <f>N(O708)*IFERROR(VLOOKUP($C708,Assumptions!$A$4:$F$7,2,FALSE),0)</f>
        <v/>
      </c>
      <c r="Y708" s="3">
        <f>N(S708)*IFERROR(VLOOKUP($C708,Assumptions!$A$4:$F$7,3,FALSE),0)*Assumptions!$B$11</f>
        <v/>
      </c>
      <c r="Z708" s="3">
        <f>N(N708)*IFERROR(VLOOKUP($C708,Assumptions!$A$4:$F$7,4,FALSE),0)</f>
        <v/>
      </c>
      <c r="AA708" s="3">
        <f>N(T708)*IFERROR(VLOOKUP($C708,Assumptions!$A$4:$F$7,5,FALSE),0)</f>
        <v/>
      </c>
      <c r="AB708" s="3">
        <f>N(U708)</f>
        <v/>
      </c>
      <c r="AC708" s="3">
        <f>SUM(W708:AB708)</f>
        <v/>
      </c>
      <c r="AD708" s="3">
        <f>N(AC708)*N(M708)/90</f>
        <v/>
      </c>
      <c r="AE708" s="3">
        <f>IFERROR(AD708-VLOOKUP($C708,Assumptions!$A$29:$C$32,3,FALSE),"")</f>
        <v/>
      </c>
      <c r="AF708" s="3">
        <f>IFERROR(AE708/F708,"")</f>
        <v/>
      </c>
      <c r="AG708">
        <f>IF(AND($E708=TRUE,$C708="GKP"),AD708,"")</f>
        <v/>
      </c>
      <c r="AH708">
        <f>IF(AND($E708=TRUE,$C708="DEF"),AD708,"")</f>
        <v/>
      </c>
      <c r="AI708">
        <f>IF(AND($E708=TRUE,$C708="MID"),AD708,"")</f>
        <v/>
      </c>
      <c r="AJ708">
        <f>IF(AND($E708=TRUE,$C708="FWD"),AD708,"")</f>
        <v/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b">
        <v>1</v>
      </c>
      <c r="F709" s="2" t="n">
        <v>5</v>
      </c>
      <c r="G709" t="inlineStr">
        <is>
          <t>a</t>
        </is>
      </c>
      <c r="I709" s="2" t="n"/>
      <c r="K709" s="3" t="n">
        <v>2018</v>
      </c>
      <c r="L709" t="inlineStr">
        <is>
          <t>flat</t>
        </is>
      </c>
      <c r="M709" s="4" t="n"/>
      <c r="N709" s="4" t="n">
        <v>0.21</v>
      </c>
      <c r="O709" s="3" t="n"/>
      <c r="P709" t="inlineStr"/>
      <c r="Q709" s="3" t="n"/>
      <c r="R709" s="3" t="n"/>
      <c r="S709" s="3" t="n"/>
      <c r="T709" s="3" t="n"/>
      <c r="U709" s="3" t="n"/>
      <c r="V709" s="3" t="n"/>
      <c r="W709" s="3">
        <f>IF(V709="",IFERROR(VLOOKUP($C709,Assumptions!$A$4:$F$7,6,FALSE),0),V709)</f>
        <v/>
      </c>
      <c r="X709" s="3">
        <f>N(O709)*IFERROR(VLOOKUP($C709,Assumptions!$A$4:$F$7,2,FALSE),0)</f>
        <v/>
      </c>
      <c r="Y709" s="3">
        <f>N(S709)*IFERROR(VLOOKUP($C709,Assumptions!$A$4:$F$7,3,FALSE),0)*Assumptions!$B$11</f>
        <v/>
      </c>
      <c r="Z709" s="3">
        <f>N(N709)*IFERROR(VLOOKUP($C709,Assumptions!$A$4:$F$7,4,FALSE),0)</f>
        <v/>
      </c>
      <c r="AA709" s="3">
        <f>N(T709)*IFERROR(VLOOKUP($C709,Assumptions!$A$4:$F$7,5,FALSE),0)</f>
        <v/>
      </c>
      <c r="AB709" s="3">
        <f>N(U709)</f>
        <v/>
      </c>
      <c r="AC709" s="3">
        <f>SUM(W709:AB709)</f>
        <v/>
      </c>
      <c r="AD709" s="3">
        <f>N(AC709)*N(M709)/90</f>
        <v/>
      </c>
      <c r="AE709" s="3">
        <f>IFERROR(AD709-VLOOKUP($C709,Assumptions!$A$29:$C$32,3,FALSE),"")</f>
        <v/>
      </c>
      <c r="AF709" s="3">
        <f>IFERROR(AE709/F709,"")</f>
        <v/>
      </c>
      <c r="AG709">
        <f>IF(AND($E709=TRUE,$C709="GKP"),AD709,"")</f>
        <v/>
      </c>
      <c r="AH709">
        <f>IF(AND($E709=TRUE,$C709="DEF"),AD709,"")</f>
        <v/>
      </c>
      <c r="AI709">
        <f>IF(AND($E709=TRUE,$C709="MID"),AD709,"")</f>
        <v/>
      </c>
      <c r="AJ709">
        <f>IF(AND($E709=TRUE,$C709="FWD"),AD709,"")</f>
        <v/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b">
        <v>1</v>
      </c>
      <c r="F710" s="2" t="n">
        <v>5</v>
      </c>
      <c r="G710" t="inlineStr">
        <is>
          <t>a</t>
        </is>
      </c>
      <c r="I710" s="2" t="n"/>
      <c r="K710" s="3" t="n">
        <v>1379</v>
      </c>
      <c r="L710" t="inlineStr">
        <is>
          <t>flat</t>
        </is>
      </c>
      <c r="M710" s="4" t="n"/>
      <c r="N710" s="4" t="n">
        <v>0.21</v>
      </c>
      <c r="O710" s="3" t="n"/>
      <c r="P710" t="inlineStr"/>
      <c r="Q710" s="3" t="n"/>
      <c r="R710" s="3" t="n"/>
      <c r="S710" s="3" t="n"/>
      <c r="T710" s="3" t="n"/>
      <c r="U710" s="3" t="n"/>
      <c r="V710" s="3" t="n"/>
      <c r="W710" s="3">
        <f>IF(V710="",IFERROR(VLOOKUP($C710,Assumptions!$A$4:$F$7,6,FALSE),0),V710)</f>
        <v/>
      </c>
      <c r="X710" s="3">
        <f>N(O710)*IFERROR(VLOOKUP($C710,Assumptions!$A$4:$F$7,2,FALSE),0)</f>
        <v/>
      </c>
      <c r="Y710" s="3">
        <f>N(S710)*IFERROR(VLOOKUP($C710,Assumptions!$A$4:$F$7,3,FALSE),0)*Assumptions!$B$11</f>
        <v/>
      </c>
      <c r="Z710" s="3">
        <f>N(N710)*IFERROR(VLOOKUP($C710,Assumptions!$A$4:$F$7,4,FALSE),0)</f>
        <v/>
      </c>
      <c r="AA710" s="3">
        <f>N(T710)*IFERROR(VLOOKUP($C710,Assumptions!$A$4:$F$7,5,FALSE),0)</f>
        <v/>
      </c>
      <c r="AB710" s="3">
        <f>N(U710)</f>
        <v/>
      </c>
      <c r="AC710" s="3">
        <f>SUM(W710:AB710)</f>
        <v/>
      </c>
      <c r="AD710" s="3">
        <f>N(AC710)*N(M710)/90</f>
        <v/>
      </c>
      <c r="AE710" s="3">
        <f>IFERROR(AD710-VLOOKUP($C710,Assumptions!$A$29:$C$32,3,FALSE),"")</f>
        <v/>
      </c>
      <c r="AF710" s="3">
        <f>IFERROR(AE710/F710,"")</f>
        <v/>
      </c>
      <c r="AG710">
        <f>IF(AND($E710=TRUE,$C710="GKP"),AD710,"")</f>
        <v/>
      </c>
      <c r="AH710">
        <f>IF(AND($E710=TRUE,$C710="DEF"),AD710,"")</f>
        <v/>
      </c>
      <c r="AI710">
        <f>IF(AND($E710=TRUE,$C710="MID"),AD710,"")</f>
        <v/>
      </c>
      <c r="AJ710">
        <f>IF(AND($E710=TRUE,$C710="FWD"),AD710,"")</f>
        <v/>
      </c>
    </row>
    <row r="711">
      <c r="A711" t="inlineStr">
        <is>
          <t>Pedro Lima</t>
        </is>
      </c>
      <c r="D711" t="inlineStr">
        <is>
          <t>DEF</t>
        </is>
      </c>
      <c r="E711" t="b">
        <v>0</v>
      </c>
      <c r="F711" s="2" t="n"/>
      <c r="I711" s="2" t="n">
        <v>259</v>
      </c>
      <c r="K711" s="3" t="n"/>
      <c r="M711" s="4" t="n">
        <v>259</v>
      </c>
      <c r="N711" s="4" t="n"/>
      <c r="O711" s="3" t="n">
        <v>0.1216</v>
      </c>
      <c r="P711" t="inlineStr">
        <is>
          <t>adjusted xGOT</t>
        </is>
      </c>
      <c r="Q711" s="3" t="n">
        <v>0.999</v>
      </c>
      <c r="R711" s="3" t="n">
        <v>0.4</v>
      </c>
      <c r="S711" s="3" t="n">
        <v>0.07530000000000001</v>
      </c>
      <c r="T711" s="3" t="n">
        <v>0</v>
      </c>
      <c r="U711" s="3" t="n">
        <v>0</v>
      </c>
      <c r="V711" s="3" t="n">
        <v>3.822</v>
      </c>
      <c r="W711" s="3">
        <f>IF(V711="",IFERROR(VLOOKUP($C711,Assumptions!$A$4:$F$7,6,FALSE),0),V711)</f>
        <v/>
      </c>
      <c r="X711" s="3">
        <f>N(O711)*IFERROR(VLOOKUP($C711,Assumptions!$A$4:$F$7,2,FALSE),0)</f>
        <v/>
      </c>
      <c r="Y711" s="3">
        <f>N(S711)*IFERROR(VLOOKUP($C711,Assumptions!$A$4:$F$7,3,FALSE),0)*Assumptions!$B$11</f>
        <v/>
      </c>
      <c r="Z711" s="3">
        <f>N(N711)*IFERROR(VLOOKUP($C711,Assumptions!$A$4:$F$7,4,FALSE),0)</f>
        <v/>
      </c>
      <c r="AA711" s="3">
        <f>N(T711)*IFERROR(VLOOKUP($C711,Assumptions!$A$4:$F$7,5,FALSE),0)</f>
        <v/>
      </c>
      <c r="AB711" s="3">
        <f>N(U711)</f>
        <v/>
      </c>
      <c r="AC711" s="3">
        <f>SUM(W711:AB711)</f>
        <v/>
      </c>
      <c r="AD711" s="3">
        <f>N(AC711)*N(M711)/90</f>
        <v/>
      </c>
      <c r="AE711" s="3">
        <f>IFERROR(AD711-VLOOKUP($C711,Assumptions!$A$29:$C$32,3,FALSE),"")</f>
        <v/>
      </c>
      <c r="AF711" s="3">
        <f>IFERROR(AE711/F711,"")</f>
        <v/>
      </c>
      <c r="AG711">
        <f>IF(AND($E711=TRUE,$C711="GKP"),AD711,"")</f>
        <v/>
      </c>
      <c r="AH711">
        <f>IF(AND($E711=TRUE,$C711="DEF"),AD711,"")</f>
        <v/>
      </c>
      <c r="AI711">
        <f>IF(AND($E711=TRUE,$C711="MID"),AD711,"")</f>
        <v/>
      </c>
      <c r="AJ711">
        <f>IF(AND($E711=TRUE,$C711="FWD"),AD711,"")</f>
        <v/>
      </c>
    </row>
    <row r="712">
      <c r="A712" t="inlineStr">
        <is>
          <t>Fer López</t>
        </is>
      </c>
      <c r="D712" t="inlineStr">
        <is>
          <t>MID</t>
        </is>
      </c>
      <c r="E712" t="b">
        <v>0</v>
      </c>
      <c r="F712" s="2" t="n"/>
      <c r="I712" s="2" t="n">
        <v>229</v>
      </c>
      <c r="K712" s="3" t="n"/>
      <c r="M712" s="4" t="n">
        <v>229</v>
      </c>
      <c r="N712" s="4" t="n"/>
      <c r="O712" s="3" t="n">
        <v>0.0633</v>
      </c>
      <c r="P712" t="inlineStr">
        <is>
          <t>adjusted xGOT</t>
        </is>
      </c>
      <c r="Q712" s="3" t="n">
        <v>1.005</v>
      </c>
      <c r="R712" s="3" t="n">
        <v>0.2</v>
      </c>
      <c r="S712" s="3" t="n">
        <v>0.2012</v>
      </c>
      <c r="T712" s="3" t="n">
        <v>0</v>
      </c>
      <c r="U712" s="3" t="n">
        <v>0</v>
      </c>
      <c r="V712" s="3" t="n">
        <v>3.93</v>
      </c>
      <c r="W712" s="3">
        <f>IF(V712="",IFERROR(VLOOKUP($C712,Assumptions!$A$4:$F$7,6,FALSE),0),V712)</f>
        <v/>
      </c>
      <c r="X712" s="3">
        <f>N(O712)*IFERROR(VLOOKUP($C712,Assumptions!$A$4:$F$7,2,FALSE),0)</f>
        <v/>
      </c>
      <c r="Y712" s="3">
        <f>N(S712)*IFERROR(VLOOKUP($C712,Assumptions!$A$4:$F$7,3,FALSE),0)*Assumptions!$B$11</f>
        <v/>
      </c>
      <c r="Z712" s="3">
        <f>N(N712)*IFERROR(VLOOKUP($C712,Assumptions!$A$4:$F$7,4,FALSE),0)</f>
        <v/>
      </c>
      <c r="AA712" s="3">
        <f>N(T712)*IFERROR(VLOOKUP($C712,Assumptions!$A$4:$F$7,5,FALSE),0)</f>
        <v/>
      </c>
      <c r="AB712" s="3">
        <f>N(U712)</f>
        <v/>
      </c>
      <c r="AC712" s="3">
        <f>SUM(W712:AB712)</f>
        <v/>
      </c>
      <c r="AD712" s="3">
        <f>N(AC712)*N(M712)/90</f>
        <v/>
      </c>
      <c r="AE712" s="3">
        <f>IFERROR(AD712-VLOOKUP($C712,Assumptions!$A$29:$C$32,3,FALSE),"")</f>
        <v/>
      </c>
      <c r="AF712" s="3">
        <f>IFERROR(AE712/F712,"")</f>
        <v/>
      </c>
      <c r="AG712">
        <f>IF(AND($E712=TRUE,$C712="GKP"),AD712,"")</f>
        <v/>
      </c>
      <c r="AH712">
        <f>IF(AND($E712=TRUE,$C712="DEF"),AD712,"")</f>
        <v/>
      </c>
      <c r="AI712">
        <f>IF(AND($E712=TRUE,$C712="MID"),AD712,"")</f>
        <v/>
      </c>
      <c r="AJ712">
        <f>IF(AND($E712=TRUE,$C712="FWD"),AD712,"")</f>
        <v/>
      </c>
    </row>
    <row r="713">
      <c r="A713" t="inlineStr">
        <is>
          <t>Mateus Mané</t>
        </is>
      </c>
      <c r="D713" t="inlineStr">
        <is>
          <t>FWD</t>
        </is>
      </c>
      <c r="E713" t="b">
        <v>0</v>
      </c>
      <c r="F713" s="2" t="n"/>
      <c r="I713" s="2" t="n">
        <v>1790</v>
      </c>
      <c r="K713" s="3" t="n"/>
      <c r="M713" s="4" t="n">
        <v>1790</v>
      </c>
      <c r="N713" s="4" t="n"/>
      <c r="O713" s="3" t="n">
        <v>0.1151</v>
      </c>
      <c r="P713" t="inlineStr">
        <is>
          <t>adjusted xGOT</t>
        </is>
      </c>
      <c r="Q713" s="3" t="n">
        <v>1.139</v>
      </c>
      <c r="R713" s="3" t="n">
        <v>2</v>
      </c>
      <c r="S713" s="3" t="n">
        <v>0.165</v>
      </c>
      <c r="T713" s="3" t="n">
        <v>0.263</v>
      </c>
      <c r="U713" s="3" t="n">
        <v>0.4525</v>
      </c>
      <c r="V713" s="3" t="n">
        <v>2.263</v>
      </c>
      <c r="W713" s="3">
        <f>IF(V713="",IFERROR(VLOOKUP($C713,Assumptions!$A$4:$F$7,6,FALSE),0),V713)</f>
        <v/>
      </c>
      <c r="X713" s="3">
        <f>N(O713)*IFERROR(VLOOKUP($C713,Assumptions!$A$4:$F$7,2,FALSE),0)</f>
        <v/>
      </c>
      <c r="Y713" s="3">
        <f>N(S713)*IFERROR(VLOOKUP($C713,Assumptions!$A$4:$F$7,3,FALSE),0)*Assumptions!$B$11</f>
        <v/>
      </c>
      <c r="Z713" s="3">
        <f>N(N713)*IFERROR(VLOOKUP($C713,Assumptions!$A$4:$F$7,4,FALSE),0)</f>
        <v/>
      </c>
      <c r="AA713" s="3">
        <f>N(T713)*IFERROR(VLOOKUP($C713,Assumptions!$A$4:$F$7,5,FALSE),0)</f>
        <v/>
      </c>
      <c r="AB713" s="3">
        <f>N(U713)</f>
        <v/>
      </c>
      <c r="AC713" s="3">
        <f>SUM(W713:AB713)</f>
        <v/>
      </c>
      <c r="AD713" s="3">
        <f>N(AC713)*N(M713)/90</f>
        <v/>
      </c>
      <c r="AE713" s="3">
        <f>IFERROR(AD713-VLOOKUP($C713,Assumptions!$A$29:$C$32,3,FALSE),"")</f>
        <v/>
      </c>
      <c r="AF713" s="3">
        <f>IFERROR(AE713/F713,"")</f>
        <v/>
      </c>
      <c r="AG713">
        <f>IF(AND($E713=TRUE,$C713="GKP"),AD713,"")</f>
        <v/>
      </c>
      <c r="AH713">
        <f>IF(AND($E713=TRUE,$C713="DEF"),AD713,"")</f>
        <v/>
      </c>
      <c r="AI713">
        <f>IF(AND($E713=TRUE,$C713="MID"),AD713,"")</f>
        <v/>
      </c>
      <c r="AJ713">
        <f>IF(AND($E713=TRUE,$C713="FWD"),AD713,"")</f>
        <v/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b">
        <v>1</v>
      </c>
      <c r="F714" s="2" t="n">
        <v>5</v>
      </c>
      <c r="G714" t="inlineStr">
        <is>
          <t>a</t>
        </is>
      </c>
      <c r="I714" s="2" t="n"/>
      <c r="K714" s="3" t="n">
        <v>0</v>
      </c>
      <c r="L714" t="inlineStr">
        <is>
          <t>flat</t>
        </is>
      </c>
      <c r="M714" s="4" t="n"/>
      <c r="N714" s="4" t="n">
        <v>0.421</v>
      </c>
      <c r="O714" s="3" t="n"/>
      <c r="P714" t="inlineStr"/>
      <c r="Q714" s="3" t="n"/>
      <c r="R714" s="3" t="n"/>
      <c r="S714" s="3" t="n"/>
      <c r="T714" s="3" t="n"/>
      <c r="U714" s="3" t="n"/>
      <c r="V714" s="3" t="n"/>
      <c r="W714" s="3">
        <f>IF(V714="",IFERROR(VLOOKUP($C714,Assumptions!$A$4:$F$7,6,FALSE),0),V714)</f>
        <v/>
      </c>
      <c r="X714" s="3">
        <f>N(O714)*IFERROR(VLOOKUP($C714,Assumptions!$A$4:$F$7,2,FALSE),0)</f>
        <v/>
      </c>
      <c r="Y714" s="3">
        <f>N(S714)*IFERROR(VLOOKUP($C714,Assumptions!$A$4:$F$7,3,FALSE),0)*Assumptions!$B$11</f>
        <v/>
      </c>
      <c r="Z714" s="3">
        <f>N(N714)*IFERROR(VLOOKUP($C714,Assumptions!$A$4:$F$7,4,FALSE),0)</f>
        <v/>
      </c>
      <c r="AA714" s="3">
        <f>N(T714)*IFERROR(VLOOKUP($C714,Assumptions!$A$4:$F$7,5,FALSE),0)</f>
        <v/>
      </c>
      <c r="AB714" s="3">
        <f>N(U714)</f>
        <v/>
      </c>
      <c r="AC714" s="3">
        <f>SUM(W714:AB714)</f>
        <v/>
      </c>
      <c r="AD714" s="3">
        <f>N(AC714)*N(M714)/90</f>
        <v/>
      </c>
      <c r="AE714" s="3">
        <f>IFERROR(AD714-VLOOKUP($C714,Assumptions!$A$29:$C$32,3,FALSE),"")</f>
        <v/>
      </c>
      <c r="AF714" s="3">
        <f>IFERROR(AE714/F714,"")</f>
        <v/>
      </c>
      <c r="AG714">
        <f>IF(AND($E714=TRUE,$C714="GKP"),AD714,"")</f>
        <v/>
      </c>
      <c r="AH714">
        <f>IF(AND($E714=TRUE,$C714="DEF"),AD714,"")</f>
        <v/>
      </c>
      <c r="AI714">
        <f>IF(AND($E714=TRUE,$C714="MID"),AD714,"")</f>
        <v/>
      </c>
      <c r="AJ714">
        <f>IF(AND($E714=TRUE,$C714="FWD"),AD714,"")</f>
        <v/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b">
        <v>1</v>
      </c>
      <c r="F715" s="2" t="n">
        <v>4</v>
      </c>
      <c r="G715" t="inlineStr">
        <is>
          <t>a</t>
        </is>
      </c>
      <c r="I715" s="2" t="n"/>
      <c r="K715" s="3" t="n">
        <v>10</v>
      </c>
      <c r="L715" t="inlineStr">
        <is>
          <t>flat</t>
        </is>
      </c>
      <c r="M715" s="4" t="n"/>
      <c r="N715" s="4" t="n"/>
      <c r="O715" s="3" t="n"/>
      <c r="P715" t="inlineStr"/>
      <c r="Q715" s="3" t="n"/>
      <c r="R715" s="3" t="n"/>
      <c r="S715" s="3" t="n"/>
      <c r="T715" s="3" t="n"/>
      <c r="U715" s="3" t="n"/>
      <c r="V715" s="3" t="n"/>
      <c r="W715" s="3">
        <f>IF(V715="",IFERROR(VLOOKUP($C715,Assumptions!$A$4:$F$7,6,FALSE),0),V715)</f>
        <v/>
      </c>
      <c r="X715" s="3">
        <f>N(O715)*IFERROR(VLOOKUP($C715,Assumptions!$A$4:$F$7,2,FALSE),0)</f>
        <v/>
      </c>
      <c r="Y715" s="3">
        <f>N(S715)*IFERROR(VLOOKUP($C715,Assumptions!$A$4:$F$7,3,FALSE),0)*Assumptions!$B$11</f>
        <v/>
      </c>
      <c r="Z715" s="3">
        <f>N(N715)*IFERROR(VLOOKUP($C715,Assumptions!$A$4:$F$7,4,FALSE),0)</f>
        <v/>
      </c>
      <c r="AA715" s="3">
        <f>N(T715)*IFERROR(VLOOKUP($C715,Assumptions!$A$4:$F$7,5,FALSE),0)</f>
        <v/>
      </c>
      <c r="AB715" s="3">
        <f>N(U715)</f>
        <v/>
      </c>
      <c r="AC715" s="3">
        <f>SUM(W715:AB715)</f>
        <v/>
      </c>
      <c r="AD715" s="3">
        <f>N(AC715)*N(M715)/90</f>
        <v/>
      </c>
      <c r="AE715" s="3">
        <f>IFERROR(AD715-VLOOKUP($C715,Assumptions!$A$29:$C$32,3,FALSE),"")</f>
        <v/>
      </c>
      <c r="AF715" s="3">
        <f>IFERROR(AE715/F715,"")</f>
        <v/>
      </c>
      <c r="AG715">
        <f>IF(AND($E715=TRUE,$C715="GKP"),AD715,"")</f>
        <v/>
      </c>
      <c r="AH715">
        <f>IF(AND($E715=TRUE,$C715="DEF"),AD715,"")</f>
        <v/>
      </c>
      <c r="AI715">
        <f>IF(AND($E715=TRUE,$C715="MID"),AD715,"")</f>
        <v/>
      </c>
      <c r="AJ715">
        <f>IF(AND($E715=TRUE,$C715="FWD"),AD715,"")</f>
        <v/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b">
        <v>1</v>
      </c>
      <c r="F716" s="2" t="n">
        <v>5</v>
      </c>
      <c r="G716" t="inlineStr">
        <is>
          <t>a</t>
        </is>
      </c>
      <c r="I716" s="2" t="n"/>
      <c r="K716" s="3" t="n">
        <v>2696</v>
      </c>
      <c r="L716" t="inlineStr">
        <is>
          <t>flat</t>
        </is>
      </c>
      <c r="M716" s="4" t="n"/>
      <c r="N716" s="4" t="n"/>
      <c r="O716" s="3" t="n"/>
      <c r="P716" t="inlineStr"/>
      <c r="Q716" s="3" t="n"/>
      <c r="R716" s="3" t="n"/>
      <c r="S716" s="3" t="n"/>
      <c r="T716" s="3" t="n"/>
      <c r="U716" s="3" t="n"/>
      <c r="V716" s="3" t="n"/>
      <c r="W716" s="3">
        <f>IF(V716="",IFERROR(VLOOKUP($C716,Assumptions!$A$4:$F$7,6,FALSE),0),V716)</f>
        <v/>
      </c>
      <c r="X716" s="3">
        <f>N(O716)*IFERROR(VLOOKUP($C716,Assumptions!$A$4:$F$7,2,FALSE),0)</f>
        <v/>
      </c>
      <c r="Y716" s="3">
        <f>N(S716)*IFERROR(VLOOKUP($C716,Assumptions!$A$4:$F$7,3,FALSE),0)*Assumptions!$B$11</f>
        <v/>
      </c>
      <c r="Z716" s="3">
        <f>N(N716)*IFERROR(VLOOKUP($C716,Assumptions!$A$4:$F$7,4,FALSE),0)</f>
        <v/>
      </c>
      <c r="AA716" s="3">
        <f>N(T716)*IFERROR(VLOOKUP($C716,Assumptions!$A$4:$F$7,5,FALSE),0)</f>
        <v/>
      </c>
      <c r="AB716" s="3">
        <f>N(U716)</f>
        <v/>
      </c>
      <c r="AC716" s="3">
        <f>SUM(W716:AB716)</f>
        <v/>
      </c>
      <c r="AD716" s="3">
        <f>N(AC716)*N(M716)/90</f>
        <v/>
      </c>
      <c r="AE716" s="3">
        <f>IFERROR(AD716-VLOOKUP($C716,Assumptions!$A$29:$C$32,3,FALSE),"")</f>
        <v/>
      </c>
      <c r="AF716" s="3">
        <f>IFERROR(AE716/F716,"")</f>
        <v/>
      </c>
      <c r="AG716">
        <f>IF(AND($E716=TRUE,$C716="GKP"),AD716,"")</f>
        <v/>
      </c>
      <c r="AH716">
        <f>IF(AND($E716=TRUE,$C716="DEF"),AD716,"")</f>
        <v/>
      </c>
      <c r="AI716">
        <f>IF(AND($E716=TRUE,$C716="MID"),AD716,"")</f>
        <v/>
      </c>
      <c r="AJ716">
        <f>IF(AND($E716=TRUE,$C716="FWD"),AD716,"")</f>
        <v/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b">
        <v>1</v>
      </c>
      <c r="F717" s="2" t="n">
        <v>4.5</v>
      </c>
      <c r="G717" t="inlineStr">
        <is>
          <t>a</t>
        </is>
      </c>
      <c r="I717" s="2" t="n"/>
      <c r="K717" s="3" t="n">
        <v>0</v>
      </c>
      <c r="L717" t="inlineStr">
        <is>
          <t>flat</t>
        </is>
      </c>
      <c r="M717" s="4" t="n"/>
      <c r="N717" s="4" t="n"/>
      <c r="O717" s="3" t="n"/>
      <c r="P717" t="inlineStr"/>
      <c r="Q717" s="3" t="n"/>
      <c r="R717" s="3" t="n"/>
      <c r="S717" s="3" t="n"/>
      <c r="T717" s="3" t="n"/>
      <c r="U717" s="3" t="n"/>
      <c r="V717" s="3" t="n"/>
      <c r="W717" s="3">
        <f>IF(V717="",IFERROR(VLOOKUP($C717,Assumptions!$A$4:$F$7,6,FALSE),0),V717)</f>
        <v/>
      </c>
      <c r="X717" s="3">
        <f>N(O717)*IFERROR(VLOOKUP($C717,Assumptions!$A$4:$F$7,2,FALSE),0)</f>
        <v/>
      </c>
      <c r="Y717" s="3">
        <f>N(S717)*IFERROR(VLOOKUP($C717,Assumptions!$A$4:$F$7,3,FALSE),0)*Assumptions!$B$11</f>
        <v/>
      </c>
      <c r="Z717" s="3">
        <f>N(N717)*IFERROR(VLOOKUP($C717,Assumptions!$A$4:$F$7,4,FALSE),0)</f>
        <v/>
      </c>
      <c r="AA717" s="3">
        <f>N(T717)*IFERROR(VLOOKUP($C717,Assumptions!$A$4:$F$7,5,FALSE),0)</f>
        <v/>
      </c>
      <c r="AB717" s="3">
        <f>N(U717)</f>
        <v/>
      </c>
      <c r="AC717" s="3">
        <f>SUM(W717:AB717)</f>
        <v/>
      </c>
      <c r="AD717" s="3">
        <f>N(AC717)*N(M717)/90</f>
        <v/>
      </c>
      <c r="AE717" s="3">
        <f>IFERROR(AD717-VLOOKUP($C717,Assumptions!$A$29:$C$32,3,FALSE),"")</f>
        <v/>
      </c>
      <c r="AF717" s="3">
        <f>IFERROR(AE717/F717,"")</f>
        <v/>
      </c>
      <c r="AG717">
        <f>IF(AND($E717=TRUE,$C717="GKP"),AD717,"")</f>
        <v/>
      </c>
      <c r="AH717">
        <f>IF(AND($E717=TRUE,$C717="DEF"),AD717,"")</f>
        <v/>
      </c>
      <c r="AI717">
        <f>IF(AND($E717=TRUE,$C717="MID"),AD717,"")</f>
        <v/>
      </c>
      <c r="AJ717">
        <f>IF(AND($E717=TRUE,$C717="FWD"),AD717,"")</f>
        <v/>
      </c>
    </row>
    <row r="718">
      <c r="A718" t="inlineStr">
        <is>
          <t>Jerome Abbey</t>
        </is>
      </c>
      <c r="D718" t="inlineStr">
        <is>
          <t>MID</t>
        </is>
      </c>
      <c r="E718" t="b">
        <v>0</v>
      </c>
      <c r="F718" s="2" t="n"/>
      <c r="I718" s="2" t="n">
        <v>16</v>
      </c>
      <c r="K718" s="3" t="n"/>
      <c r="M718" s="4" t="n">
        <v>16</v>
      </c>
      <c r="N718" s="4" t="n"/>
      <c r="O718" s="3" t="n"/>
      <c r="P718" t="inlineStr"/>
      <c r="Q718" s="3" t="n">
        <v>1</v>
      </c>
      <c r="R718" s="3" t="n">
        <v>0</v>
      </c>
      <c r="S718" s="3" t="n"/>
      <c r="T718" s="3" t="n"/>
      <c r="U718" s="3" t="n">
        <v>0</v>
      </c>
      <c r="V718" s="3" t="n">
        <v>5.625</v>
      </c>
      <c r="W718" s="3">
        <f>IF(V718="",IFERROR(VLOOKUP($C718,Assumptions!$A$4:$F$7,6,FALSE),0),V718)</f>
        <v/>
      </c>
      <c r="X718" s="3">
        <f>N(O718)*IFERROR(VLOOKUP($C718,Assumptions!$A$4:$F$7,2,FALSE),0)</f>
        <v/>
      </c>
      <c r="Y718" s="3">
        <f>N(S718)*IFERROR(VLOOKUP($C718,Assumptions!$A$4:$F$7,3,FALSE),0)*Assumptions!$B$11</f>
        <v/>
      </c>
      <c r="Z718" s="3">
        <f>N(N718)*IFERROR(VLOOKUP($C718,Assumptions!$A$4:$F$7,4,FALSE),0)</f>
        <v/>
      </c>
      <c r="AA718" s="3">
        <f>N(T718)*IFERROR(VLOOKUP($C718,Assumptions!$A$4:$F$7,5,FALSE),0)</f>
        <v/>
      </c>
      <c r="AB718" s="3">
        <f>N(U718)</f>
        <v/>
      </c>
      <c r="AC718" s="3">
        <f>SUM(W718:AB718)</f>
        <v/>
      </c>
      <c r="AD718" s="3">
        <f>N(AC718)*N(M718)/90</f>
        <v/>
      </c>
      <c r="AE718" s="3">
        <f>IFERROR(AD718-VLOOKUP($C718,Assumptions!$A$29:$C$32,3,FALSE),"")</f>
        <v/>
      </c>
      <c r="AF718" s="3">
        <f>IFERROR(AE718/F718,"")</f>
        <v/>
      </c>
      <c r="AG718">
        <f>IF(AND($E718=TRUE,$C718="GKP"),AD718,"")</f>
        <v/>
      </c>
      <c r="AH718">
        <f>IF(AND($E718=TRUE,$C718="DEF"),AD718,"")</f>
        <v/>
      </c>
      <c r="AI718">
        <f>IF(AND($E718=TRUE,$C718="MID"),AD718,"")</f>
        <v/>
      </c>
      <c r="AJ718">
        <f>IF(AND($E718=TRUE,$C718="FWD"),AD718,"")</f>
        <v/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b">
        <v>1</v>
      </c>
      <c r="F719" s="2" t="n">
        <v>5.5</v>
      </c>
      <c r="G719" t="inlineStr">
        <is>
          <t>a</t>
        </is>
      </c>
      <c r="I719" s="2" t="n"/>
      <c r="K719" s="3" t="n">
        <v>247</v>
      </c>
      <c r="L719" t="inlineStr">
        <is>
          <t>flat</t>
        </is>
      </c>
      <c r="M719" s="4" t="n"/>
      <c r="N719" s="4" t="n">
        <v>0.237</v>
      </c>
      <c r="O719" s="3" t="n"/>
      <c r="P719" t="inlineStr"/>
      <c r="Q719" s="3" t="n"/>
      <c r="R719" s="3" t="n"/>
      <c r="S719" s="3" t="n"/>
      <c r="T719" s="3" t="n"/>
      <c r="U719" s="3" t="n"/>
      <c r="V719" s="3" t="n"/>
      <c r="W719" s="3">
        <f>IF(V719="",IFERROR(VLOOKUP($C719,Assumptions!$A$4:$F$7,6,FALSE),0),V719)</f>
        <v/>
      </c>
      <c r="X719" s="3">
        <f>N(O719)*IFERROR(VLOOKUP($C719,Assumptions!$A$4:$F$7,2,FALSE),0)</f>
        <v/>
      </c>
      <c r="Y719" s="3">
        <f>N(S719)*IFERROR(VLOOKUP($C719,Assumptions!$A$4:$F$7,3,FALSE),0)*Assumptions!$B$11</f>
        <v/>
      </c>
      <c r="Z719" s="3">
        <f>N(N719)*IFERROR(VLOOKUP($C719,Assumptions!$A$4:$F$7,4,FALSE),0)</f>
        <v/>
      </c>
      <c r="AA719" s="3">
        <f>N(T719)*IFERROR(VLOOKUP($C719,Assumptions!$A$4:$F$7,5,FALSE),0)</f>
        <v/>
      </c>
      <c r="AB719" s="3">
        <f>N(U719)</f>
        <v/>
      </c>
      <c r="AC719" s="3">
        <f>SUM(W719:AB719)</f>
        <v/>
      </c>
      <c r="AD719" s="3">
        <f>N(AC719)*N(M719)/90</f>
        <v/>
      </c>
      <c r="AE719" s="3">
        <f>IFERROR(AD719-VLOOKUP($C719,Assumptions!$A$29:$C$32,3,FALSE),"")</f>
        <v/>
      </c>
      <c r="AF719" s="3">
        <f>IFERROR(AE719/F719,"")</f>
        <v/>
      </c>
      <c r="AG719">
        <f>IF(AND($E719=TRUE,$C719="GKP"),AD719,"")</f>
        <v/>
      </c>
      <c r="AH719">
        <f>IF(AND($E719=TRUE,$C719="DEF"),AD719,"")</f>
        <v/>
      </c>
      <c r="AI719">
        <f>IF(AND($E719=TRUE,$C719="MID"),AD719,"")</f>
        <v/>
      </c>
      <c r="AJ719">
        <f>IF(AND($E719=TRUE,$C719="FWD"),AD719,"")</f>
        <v/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b">
        <v>1</v>
      </c>
      <c r="F720" s="2" t="n">
        <v>5</v>
      </c>
      <c r="G720" t="inlineStr">
        <is>
          <t>a</t>
        </is>
      </c>
      <c r="I720" s="2" t="n"/>
      <c r="K720" s="3" t="n">
        <v>162</v>
      </c>
      <c r="L720" t="inlineStr">
        <is>
          <t>flat</t>
        </is>
      </c>
      <c r="M720" s="4" t="n"/>
      <c r="N720" s="4" t="n">
        <v>0.263</v>
      </c>
      <c r="O720" s="3" t="n"/>
      <c r="P720" t="inlineStr"/>
      <c r="Q720" s="3" t="n"/>
      <c r="R720" s="3" t="n"/>
      <c r="S720" s="3" t="n"/>
      <c r="T720" s="3" t="n"/>
      <c r="U720" s="3" t="n"/>
      <c r="V720" s="3" t="n"/>
      <c r="W720" s="3">
        <f>IF(V720="",IFERROR(VLOOKUP($C720,Assumptions!$A$4:$F$7,6,FALSE),0),V720)</f>
        <v/>
      </c>
      <c r="X720" s="3">
        <f>N(O720)*IFERROR(VLOOKUP($C720,Assumptions!$A$4:$F$7,2,FALSE),0)</f>
        <v/>
      </c>
      <c r="Y720" s="3">
        <f>N(S720)*IFERROR(VLOOKUP($C720,Assumptions!$A$4:$F$7,3,FALSE),0)*Assumptions!$B$11</f>
        <v/>
      </c>
      <c r="Z720" s="3">
        <f>N(N720)*IFERROR(VLOOKUP($C720,Assumptions!$A$4:$F$7,4,FALSE),0)</f>
        <v/>
      </c>
      <c r="AA720" s="3">
        <f>N(T720)*IFERROR(VLOOKUP($C720,Assumptions!$A$4:$F$7,5,FALSE),0)</f>
        <v/>
      </c>
      <c r="AB720" s="3">
        <f>N(U720)</f>
        <v/>
      </c>
      <c r="AC720" s="3">
        <f>SUM(W720:AB720)</f>
        <v/>
      </c>
      <c r="AD720" s="3">
        <f>N(AC720)*N(M720)/90</f>
        <v/>
      </c>
      <c r="AE720" s="3">
        <f>IFERROR(AD720-VLOOKUP($C720,Assumptions!$A$29:$C$32,3,FALSE),"")</f>
        <v/>
      </c>
      <c r="AF720" s="3">
        <f>IFERROR(AE720/F720,"")</f>
        <v/>
      </c>
      <c r="AG720">
        <f>IF(AND($E720=TRUE,$C720="GKP"),AD720,"")</f>
        <v/>
      </c>
      <c r="AH720">
        <f>IF(AND($E720=TRUE,$C720="DEF"),AD720,"")</f>
        <v/>
      </c>
      <c r="AI720">
        <f>IF(AND($E720=TRUE,$C720="MID"),AD720,"")</f>
        <v/>
      </c>
      <c r="AJ720">
        <f>IF(AND($E720=TRUE,$C720="FWD"),AD720,"")</f>
        <v/>
      </c>
    </row>
  </sheetData>
  <autoFilter ref="A1:AJ7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5" t="inlineStr">
        <is>
          <t>Scoring (FPL 2026/27, read from the game's own config)</t>
        </is>
      </c>
    </row>
    <row r="3">
      <c r="A3" s="6" t="inlineStr">
        <is>
          <t>Pos</t>
        </is>
      </c>
      <c r="B3" s="6" t="inlineStr">
        <is>
          <t>Goal</t>
        </is>
      </c>
      <c r="C3" s="6" t="inlineStr">
        <is>
          <t>Assist</t>
        </is>
      </c>
      <c r="D3" s="6" t="inlineStr">
        <is>
          <t>Clean sheet</t>
        </is>
      </c>
      <c r="E3" s="6" t="inlineStr">
        <is>
          <t>DefCon</t>
        </is>
      </c>
      <c r="F3" s="6" t="inlineStr">
        <is>
          <t>Appearance 60+</t>
        </is>
      </c>
    </row>
    <row r="4">
      <c r="A4" t="inlineStr">
        <is>
          <t>GKP</t>
        </is>
      </c>
      <c r="B4" t="n">
        <v>10</v>
      </c>
      <c r="C4" t="n">
        <v>3</v>
      </c>
      <c r="D4" t="n">
        <v>4</v>
      </c>
      <c r="E4" t="n">
        <v>0</v>
      </c>
      <c r="F4" t="n">
        <v>2</v>
      </c>
    </row>
    <row r="5">
      <c r="A5" t="inlineStr">
        <is>
          <t>DEF</t>
        </is>
      </c>
      <c r="B5" t="n">
        <v>6</v>
      </c>
      <c r="C5" t="n">
        <v>3</v>
      </c>
      <c r="D5" t="n">
        <v>4</v>
      </c>
      <c r="E5" t="n">
        <v>2</v>
      </c>
      <c r="F5" t="n">
        <v>2</v>
      </c>
    </row>
    <row r="6">
      <c r="A6" t="inlineStr">
        <is>
          <t>MID</t>
        </is>
      </c>
      <c r="B6" t="n">
        <v>5</v>
      </c>
      <c r="C6" t="n">
        <v>3</v>
      </c>
      <c r="D6" t="n">
        <v>1</v>
      </c>
      <c r="E6" t="n">
        <v>2</v>
      </c>
      <c r="F6" t="n">
        <v>2</v>
      </c>
    </row>
    <row r="7">
      <c r="A7" t="inlineStr">
        <is>
          <t>FWD</t>
        </is>
      </c>
      <c r="B7" t="n">
        <v>4</v>
      </c>
      <c r="C7" t="n">
        <v>3</v>
      </c>
      <c r="D7" t="n">
        <v>0</v>
      </c>
      <c r="E7" t="n">
        <v>2</v>
      </c>
      <c r="F7" t="n">
        <v>2</v>
      </c>
    </row>
    <row r="10">
      <c r="A10" s="5" t="inlineStr">
        <is>
          <t>Global inputs</t>
        </is>
      </c>
    </row>
    <row r="11">
      <c r="A11" t="inlineStr">
        <is>
          <t>Assist uplift (FPL assists / Opta assists)</t>
        </is>
      </c>
      <c r="B11" s="4" t="n">
        <v>1.32</v>
      </c>
    </row>
    <row r="12">
      <c r="A12" t="inlineStr">
        <is>
          <t>DefCon points per qualifying match</t>
        </is>
      </c>
      <c r="B12" t="n">
        <v>2</v>
      </c>
    </row>
    <row r="15">
      <c r="A15" s="5" t="inlineStr">
        <is>
          <t>Notes</t>
        </is>
      </c>
    </row>
    <row r="16" ht="46" customHeight="1">
      <c r="A16" s="5" t="inlineStr">
        <is>
          <t>xMins</t>
        </is>
      </c>
      <c r="B16" s="7" t="inlineStr">
        <is>
          <t>Your minutes forecast for 2026/27. Defaults to 2025/26 minutes. This is the single biggest lever in the model and the one number no dataset can give you.</t>
        </is>
      </c>
    </row>
    <row r="17" ht="46" customHeight="1">
      <c r="A17" s="5" t="inlineStr">
        <is>
          <t>P(CS)</t>
        </is>
      </c>
      <c r="B17" s="7" t="inlineStr">
        <is>
          <t>Probability the player's club keeps a clean sheet in a given match. Defaults to the club's 2025/26 clean sheet rate. Promoted clubs are blank on purpose. Reference values, including the rate implied by expected goals against, are on the Teams sheet.</t>
        </is>
      </c>
    </row>
    <row r="18" ht="46" customHeight="1">
      <c r="A18" s="5" t="inlineStr">
        <is>
          <t>Assist uplift</t>
        </is>
      </c>
      <c r="B18" s="7" t="inlineStr">
        <is>
          <t>FPL awards assists more loosely than Opta (rebounds, deflections, won penalties). Across 2025/26 that was 765 FPL assists vs 580 Opta assists, so 1.32. Both xG models measure the Opta definition, so xA needs this to become FPL assists. Set to 1 to switch it off.</t>
        </is>
      </c>
    </row>
    <row r="19" ht="46" customHeight="1">
      <c r="A19" s="5" t="inlineStr">
        <is>
          <t>xG source</t>
        </is>
      </c>
      <c r="B19" s="7" t="inlineStr">
        <is>
          <t>Adjusted xGOT where a player has shot-placement history, otherwise blended xG. Column 'xG basis' says which was used.</t>
        </is>
      </c>
    </row>
    <row r="20" ht="46" customHeight="1">
      <c r="A20" s="5" t="inlineStr">
        <is>
          <t>DefCon rate</t>
        </is>
      </c>
      <c r="B20" s="7" t="inlineStr">
        <is>
          <t>Share of starts that cleared the threshold in 2025/26, re-scored at the 2026/27 threshold for the player's 2026/27 position (10 for DEF, 12 for MID and FWD). Ten players were reclassified, so this differs from what they actually scored.</t>
        </is>
      </c>
    </row>
    <row r="21" ht="46" customHeight="1">
      <c r="A21" s="5" t="inlineStr">
        <is>
          <t>Bonus</t>
        </is>
      </c>
      <c r="B21" s="7" t="inlineStr">
        <is>
          <t>Bonus per 90 from 2025/26 replayed under the 2026/27 BPS weighting. Modelled as a rate rather than a share of points, so it does not depend on the rest of the model.</t>
        </is>
      </c>
    </row>
    <row r="22" ht="46" customHeight="1">
      <c r="A22" s="5" t="inlineStr">
        <is>
          <t>VORP</t>
        </is>
      </c>
      <c r="B22" s="7" t="inlineStr">
        <is>
          <t>xPts season minus the replacement level at that position — the best player still on the board once every team has filled its slots. Set the league size and slots below. Raw xPts asks who scores most; VORP asks who scores most above what you would get at that slot anyway.</t>
        </is>
      </c>
    </row>
    <row r="23" ht="46" customHeight="1">
      <c r="A23" s="5" t="inlineStr">
        <is>
          <t>VORP per £m</t>
        </is>
      </c>
      <c r="B23" s="7" t="inlineStr">
        <is>
          <t>VORP divided by price. Pure VORP measures scarcity alone; this measures scarcity against the £100m budget that still binds you in a normal FPL season.</t>
        </is>
      </c>
    </row>
    <row r="24" ht="46" customHeight="1">
      <c r="A24" s="5" t="inlineStr">
        <is>
          <t>Appearance</t>
        </is>
      </c>
      <c r="B24" s="7" t="inlineStr">
        <is>
          <t>2 points for 60+ minutes, 1 below. Modelled here as the player's actual 2025/26 appearance points per 90, which captures substitutes properly. Regular starters land near 2.</t>
        </is>
      </c>
    </row>
    <row r="25">
      <c r="A25" s="5" t="inlineStr">
        <is>
          <t>VORP settings</t>
        </is>
      </c>
    </row>
    <row r="26">
      <c r="A26" t="inlineStr">
        <is>
          <t>Teams in league</t>
        </is>
      </c>
      <c r="B26" s="4" t="n">
        <v>8</v>
      </c>
    </row>
    <row r="28">
      <c r="A28" s="6" t="inlineStr">
        <is>
          <t>Position</t>
        </is>
      </c>
      <c r="B28" s="6" t="inlineStr">
        <is>
          <t>Squad slots per team</t>
        </is>
      </c>
      <c r="C28" s="6" t="inlineStr">
        <is>
          <t>Replacement xPts</t>
        </is>
      </c>
    </row>
    <row r="29">
      <c r="A29" t="inlineStr">
        <is>
          <t>GKP</t>
        </is>
      </c>
      <c r="B29" s="4" t="n">
        <v>2</v>
      </c>
      <c r="C29" s="8">
        <f>IFERROR(LARGE('xPts model'!$AG$2:$AG$720,$B$26*B29+1),0)</f>
        <v/>
      </c>
    </row>
    <row r="30">
      <c r="A30" t="inlineStr">
        <is>
          <t>DEF</t>
        </is>
      </c>
      <c r="B30" s="4" t="n">
        <v>5</v>
      </c>
      <c r="C30" s="8">
        <f>IFERROR(LARGE('xPts model'!$AH$2:$AH$720,$B$26*B30+1),0)</f>
        <v/>
      </c>
    </row>
    <row r="31">
      <c r="A31" t="inlineStr">
        <is>
          <t>MID</t>
        </is>
      </c>
      <c r="B31" s="4" t="n">
        <v>5</v>
      </c>
      <c r="C31" s="8">
        <f>IFERROR(LARGE('xPts model'!$AI$2:$AI$720,$B$26*B31+1),0)</f>
        <v/>
      </c>
    </row>
    <row r="32">
      <c r="A32" t="inlineStr">
        <is>
          <t>FWD</t>
        </is>
      </c>
      <c r="B32" s="4" t="n">
        <v>3</v>
      </c>
      <c r="C32" s="8">
        <f>IFERROR(LARGE('xPts model'!$AJ$2:$AJ$720,$B$26*B32+1),0)</f>
        <v/>
      </c>
    </row>
    <row r="34" ht="46" customHeight="1">
      <c r="A34" s="7" t="inlineStr">
        <is>
          <t>Replacement level is the best player at that position still available once every team has filled its slots: the (teams x slots + 1)-th best. Only players registered for 2026/27 count toward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Meaning</t>
        </is>
      </c>
      <c r="C1" t="inlineStr">
        <is>
          <t>Source</t>
        </is>
      </c>
    </row>
    <row r="2">
      <c r="A2" t="inlineStr">
        <is>
          <t>Player</t>
        </is>
      </c>
      <c r="B2" t="inlineStr">
        <is>
          <t>Official Premier League display name</t>
        </is>
      </c>
      <c r="C2" t="inlineStr">
        <is>
          <t>PL</t>
        </is>
      </c>
    </row>
    <row r="3">
      <c r="A3" t="inlineStr">
        <is>
          <t>Team 26/27</t>
        </is>
      </c>
      <c r="B3" t="inlineStr">
        <is>
          <t>Club for the season being drafted</t>
        </is>
      </c>
      <c r="C3" t="inlineStr">
        <is>
          <t>FPL</t>
        </is>
      </c>
    </row>
    <row r="4">
      <c r="A4" t="inlineStr">
        <is>
          <t>Pos</t>
        </is>
      </c>
      <c r="B4" t="inlineStr">
        <is>
          <t>FPL position for 2026/27: GKP/DEF/MID/FWD</t>
        </is>
      </c>
      <c r="C4" t="inlineStr">
        <is>
          <t>FPL</t>
        </is>
      </c>
    </row>
    <row r="5">
      <c r="A5" t="inlineStr">
        <is>
          <t>Pos 25/26</t>
        </is>
      </c>
      <c r="B5" t="inlineStr">
        <is>
          <t>Position held last season. If it differs from Pos, last season's DefCon points were earned against a different threshold</t>
        </is>
      </c>
      <c r="C5" t="inlineStr">
        <is>
          <t>gameweek data</t>
        </is>
      </c>
    </row>
    <row r="6">
      <c r="A6" t="inlineStr">
        <is>
          <t>Price 26/27</t>
        </is>
      </c>
      <c r="B6" t="inlineStr">
        <is>
          <t>FPL price at season start (£m)</t>
        </is>
      </c>
      <c r="C6" t="inlineStr">
        <is>
          <t>FPL</t>
        </is>
      </c>
    </row>
    <row r="7">
      <c r="A7" t="inlineStr">
        <is>
          <t>Draftable</t>
        </is>
      </c>
      <c r="B7" t="inlineStr">
        <is>
          <t>Registered in the FPL game for 2026/27</t>
        </is>
      </c>
      <c r="C7" t="inlineStr">
        <is>
          <t>FPL</t>
        </is>
      </c>
    </row>
    <row r="8">
      <c r="A8" t="inlineStr">
        <is>
          <t>Played 25/26</t>
        </is>
      </c>
      <c r="B8" t="inlineStr">
        <is>
          <t>Made at least one PL appearance in 2025/26</t>
        </is>
      </c>
      <c r="C8" t="inlineStr">
        <is>
          <t>PL</t>
        </is>
      </c>
    </row>
    <row r="9">
      <c r="A9" t="inlineStr">
        <is>
          <t>Age</t>
        </is>
      </c>
      <c r="B9" t="inlineStr">
        <is>
          <t>Age in years at 2026/27 GW1</t>
        </is>
      </c>
      <c r="C9" t="inlineStr">
        <is>
          <t>FPL</t>
        </is>
      </c>
    </row>
    <row r="10">
      <c r="A10" t="inlineStr">
        <is>
          <t>Status</t>
        </is>
      </c>
      <c r="B10" t="inlineStr">
        <is>
          <t>a=available, i=injured, s=suspended, d=doubtful, u=unavailable</t>
        </is>
      </c>
      <c r="C10" t="inlineStr">
        <is>
          <t>FPL</t>
        </is>
      </c>
    </row>
    <row r="11">
      <c r="A11" t="inlineStr">
        <is>
          <t>News</t>
        </is>
      </c>
      <c r="B11" t="inlineStr">
        <is>
          <t>FPL injury/availability note</t>
        </is>
      </c>
      <c r="C11" t="inlineStr">
        <is>
          <t>FPL</t>
        </is>
      </c>
    </row>
    <row r="12">
      <c r="A12" t="inlineStr">
        <is>
          <t>Chance next GW %</t>
        </is>
      </c>
      <c r="B12" t="inlineStr">
        <is>
          <t>FPL's stated chance of playing</t>
        </is>
      </c>
      <c r="C12" t="inlineStr">
        <is>
          <t>FPL</t>
        </is>
      </c>
    </row>
    <row r="13">
      <c r="A13" t="inlineStr">
        <is>
          <t>Opta ID</t>
        </is>
      </c>
      <c r="B13" t="inlineStr">
        <is>
          <t>Opta player id; the key every source is joined on</t>
        </is>
      </c>
      <c r="C13" t="inlineStr">
        <is>
          <t>PL/FPL</t>
        </is>
      </c>
    </row>
    <row r="14">
      <c r="A14" t="inlineStr">
        <is>
          <t>FPL ID</t>
        </is>
      </c>
      <c r="B14" t="inlineStr">
        <is>
          <t>FPL element id</t>
        </is>
      </c>
      <c r="C14" t="inlineStr">
        <is>
          <t>FPL</t>
        </is>
      </c>
    </row>
    <row r="15">
      <c r="A15" t="inlineStr">
        <is>
          <t>Pens order</t>
        </is>
      </c>
      <c r="B15" t="inlineStr">
        <is>
          <t>1 = first-choice penalty taker</t>
        </is>
      </c>
      <c r="C15" t="inlineStr">
        <is>
          <t>FPL</t>
        </is>
      </c>
    </row>
    <row r="16">
      <c r="A16" t="inlineStr">
        <is>
          <t>Corners/IFK order</t>
        </is>
      </c>
      <c r="B16" t="inlineStr">
        <is>
          <t>1 = first-choice corner taker</t>
        </is>
      </c>
      <c r="C16" t="inlineStr">
        <is>
          <t>FPL</t>
        </is>
      </c>
    </row>
    <row r="17">
      <c r="A17" t="inlineStr">
        <is>
          <t>Direct FK order</t>
        </is>
      </c>
      <c r="B17" t="inlineStr">
        <is>
          <t>1 = first-choice direct free-kick taker</t>
        </is>
      </c>
      <c r="C17" t="inlineStr">
        <is>
          <t>FPL</t>
        </is>
      </c>
    </row>
    <row r="18">
      <c r="A18" t="inlineStr">
        <is>
          <t>Mins</t>
        </is>
      </c>
      <c r="B18" t="inlineStr">
        <is>
          <t>Minutes played in 2025/26</t>
        </is>
      </c>
      <c r="C18" t="inlineStr">
        <is>
          <t>FPL</t>
        </is>
      </c>
    </row>
    <row r="19">
      <c r="A19" t="inlineStr">
        <is>
          <t>Apps</t>
        </is>
      </c>
      <c r="B19" t="inlineStr">
        <is>
          <t>Appearances in 2025/26</t>
        </is>
      </c>
      <c r="C19" t="inlineStr">
        <is>
          <t>PL</t>
        </is>
      </c>
    </row>
    <row r="20">
      <c r="A20" t="inlineStr">
        <is>
          <t>Starts</t>
        </is>
      </c>
      <c r="B20" t="inlineStr">
        <is>
          <t>Starts in 2025/26</t>
        </is>
      </c>
      <c r="C20" t="inlineStr">
        <is>
          <t>FPL</t>
        </is>
      </c>
    </row>
    <row r="21">
      <c r="A21" t="inlineStr">
        <is>
          <t>90s</t>
        </is>
      </c>
      <c r="B21" t="inlineStr">
        <is>
          <t>Minutes / 90</t>
        </is>
      </c>
      <c r="C21" t="inlineStr">
        <is>
          <t>derived</t>
        </is>
      </c>
    </row>
    <row r="22">
      <c r="A22" t="inlineStr">
        <is>
          <t>Mins per app</t>
        </is>
      </c>
      <c r="B22" t="inlineStr">
        <is>
          <t>Minutes divided by appearances</t>
        </is>
      </c>
      <c r="C22" t="inlineStr">
        <is>
          <t>derived</t>
        </is>
      </c>
    </row>
    <row r="23">
      <c r="A23" t="inlineStr">
        <is>
          <t>FPL points</t>
        </is>
      </c>
      <c r="B23" t="inlineStr">
        <is>
          <t>Total FPL points scored in 2025/26</t>
        </is>
      </c>
      <c r="C23" t="inlineStr">
        <is>
          <t>FPL</t>
        </is>
      </c>
    </row>
    <row r="24">
      <c r="A24" t="inlineStr">
        <is>
          <t>FPL pts/90</t>
        </is>
      </c>
      <c r="B24" t="inlineStr">
        <is>
          <t>FPL points per 90 minutes</t>
        </is>
      </c>
      <c r="C24" t="inlineStr">
        <is>
          <t>derived</t>
        </is>
      </c>
    </row>
    <row r="25">
      <c r="A25" t="inlineStr">
        <is>
          <t>Goals</t>
        </is>
      </c>
      <c r="B25" t="inlineStr">
        <is>
          <t>Goals scored</t>
        </is>
      </c>
      <c r="C25" t="inlineStr">
        <is>
          <t>FPL</t>
        </is>
      </c>
    </row>
    <row r="26">
      <c r="A26" t="inlineStr">
        <is>
          <t>Assists (FPL)</t>
        </is>
      </c>
      <c r="B26" t="inlineStr">
        <is>
          <t>FPL assists - looser than Opta's, and what pays points</t>
        </is>
      </c>
      <c r="C26" t="inlineStr">
        <is>
          <t>FPL</t>
        </is>
      </c>
    </row>
    <row r="27">
      <c r="A27" t="inlineStr">
        <is>
          <t>Assists (Opta)</t>
        </is>
      </c>
      <c r="B27" t="inlineStr">
        <is>
          <t>Opta assists; ~32% fewer than FPL's across the league</t>
        </is>
      </c>
      <c r="C27" t="inlineStr">
        <is>
          <t>PL</t>
        </is>
      </c>
    </row>
    <row r="28">
      <c r="A28" t="inlineStr">
        <is>
          <t>Clean sheets</t>
        </is>
      </c>
      <c r="B28" t="inlineStr">
        <is>
          <t>Clean sheets credited by FPL</t>
        </is>
      </c>
      <c r="C28" t="inlineStr">
        <is>
          <t>FPL</t>
        </is>
      </c>
    </row>
    <row r="29">
      <c r="A29" t="inlineStr">
        <is>
          <t>Goals conceded</t>
        </is>
      </c>
      <c r="B29" t="inlineStr">
        <is>
          <t>Goals conceded while on the pitch</t>
        </is>
      </c>
      <c r="C29" t="inlineStr">
        <is>
          <t>FPL</t>
        </is>
      </c>
    </row>
    <row r="30">
      <c r="A30" t="inlineStr">
        <is>
          <t>Bonus</t>
        </is>
      </c>
      <c r="B30" t="inlineStr">
        <is>
          <t>Bonus points actually earned in 2025/26</t>
        </is>
      </c>
      <c r="C30" t="inlineStr">
        <is>
          <t>FPL</t>
        </is>
      </c>
    </row>
    <row r="31">
      <c r="A31" t="inlineStr">
        <is>
          <t>Bonus (new rules)</t>
        </is>
      </c>
      <c r="B31" t="inlineStr">
        <is>
          <t>Bonus if 2025/26 were replayed under the 2026/27 CBI weighting</t>
        </is>
      </c>
      <c r="C31" t="inlineStr">
        <is>
          <t>BPS re-model</t>
        </is>
      </c>
    </row>
    <row r="32">
      <c r="A32" t="inlineStr">
        <is>
          <t>Bonus change</t>
        </is>
      </c>
      <c r="B32" t="inlineStr">
        <is>
          <t>Bonus (new rules) minus Bonus</t>
        </is>
      </c>
      <c r="C32" t="inlineStr">
        <is>
          <t>BPS re-model</t>
        </is>
      </c>
    </row>
    <row r="33">
      <c r="A33" t="inlineStr">
        <is>
          <t>BPS</t>
        </is>
      </c>
      <c r="B33" t="inlineStr">
        <is>
          <t>Bonus points system total as scored in 2025/26</t>
        </is>
      </c>
      <c r="C33" t="inlineStr">
        <is>
          <t>FPL</t>
        </is>
      </c>
    </row>
    <row r="34">
      <c r="A34" t="inlineStr">
        <is>
          <t>BPS (new rules)</t>
        </is>
      </c>
      <c r="B34" t="inlineStr">
        <is>
          <t>BPS total under the 2026/27 CBI weighting (1 per 3 actions, was 1 per 2)</t>
        </is>
      </c>
      <c r="C34" t="inlineStr">
        <is>
          <t>BPS re-model</t>
        </is>
      </c>
    </row>
    <row r="35">
      <c r="A35" t="inlineStr">
        <is>
          <t>BPS change</t>
        </is>
      </c>
      <c r="B35" t="inlineStr">
        <is>
          <t>BPS (new rules) minus BPS</t>
        </is>
      </c>
      <c r="C35" t="inlineStr">
        <is>
          <t>BPS re-model</t>
        </is>
      </c>
    </row>
    <row r="36">
      <c r="A36" t="inlineStr">
        <is>
          <t>Points (new rules)</t>
        </is>
      </c>
      <c r="B36" t="inlineStr">
        <is>
          <t>2025/26 total points restated with the new bonus</t>
        </is>
      </c>
      <c r="C36" t="inlineStr">
        <is>
          <t>BPS re-model</t>
        </is>
      </c>
    </row>
    <row r="37">
      <c r="A37" t="inlineStr">
        <is>
          <t>Bonus per point</t>
        </is>
      </c>
      <c r="B37" t="inlineStr">
        <is>
          <t>Bonus divided by total points</t>
        </is>
      </c>
      <c r="C37" t="inlineStr">
        <is>
          <t>derived</t>
        </is>
      </c>
    </row>
    <row r="38">
      <c r="A38" t="inlineStr">
        <is>
          <t>Bonus per non-bonus point</t>
        </is>
      </c>
      <c r="B38" t="inlineStr">
        <is>
          <t>Bonus divided by (total points - bonus). The consistent multiplier to apply to a bonus-exclusive xPts</t>
        </is>
      </c>
      <c r="C38" t="inlineStr">
        <is>
          <t>derived</t>
        </is>
      </c>
    </row>
    <row r="39">
      <c r="A39" t="inlineStr">
        <is>
          <t>DefCon actions</t>
        </is>
      </c>
      <c r="B39" t="inlineStr">
        <is>
          <t>Qualifying defensive actions: CBI+tackles for DEF, plus recoveries for MID/FWD. NOT points</t>
        </is>
      </c>
      <c r="C39" t="inlineStr">
        <is>
          <t>FPL</t>
        </is>
      </c>
    </row>
    <row r="40">
      <c r="A40" t="inlineStr">
        <is>
          <t>DefCon actions/90</t>
        </is>
      </c>
      <c r="B40" t="inlineStr">
        <is>
          <t>Qualifying defensive actions per 90; the threshold is 10 (DEF) / 12 (MID,FWD) per match</t>
        </is>
      </c>
      <c r="C40" t="inlineStr">
        <is>
          <t>derived</t>
        </is>
      </c>
    </row>
    <row r="41">
      <c r="A41" t="inlineStr">
        <is>
          <t>DefCon matches</t>
        </is>
      </c>
      <c r="B41" t="inlineStr">
        <is>
          <t>Matches that actually cleared the threshold - this is what paid points</t>
        </is>
      </c>
      <c r="C41" t="inlineStr">
        <is>
          <t>gameweek data</t>
        </is>
      </c>
    </row>
    <row r="42">
      <c r="A42" t="inlineStr">
        <is>
          <t>DefCon points</t>
        </is>
      </c>
      <c r="B42" t="inlineStr">
        <is>
          <t>2 x DefCon matches: the points the DefCon rule actually delivered in 2025/26</t>
        </is>
      </c>
      <c r="C42" t="inlineStr">
        <is>
          <t>gameweek data</t>
        </is>
      </c>
    </row>
    <row r="43">
      <c r="A43" t="inlineStr">
        <is>
          <t>DefCon hit rate</t>
        </is>
      </c>
      <c r="B43" t="inlineStr">
        <is>
          <t>DefCon matches divided by starts, at the threshold the player faced in 2025/26</t>
        </is>
      </c>
      <c r="C43" t="inlineStr">
        <is>
          <t>gameweek data</t>
        </is>
      </c>
    </row>
    <row r="44">
      <c r="A44" t="inlineStr">
        <is>
          <t>DefCon rate at 10</t>
        </is>
      </c>
      <c r="B44" t="inlineStr">
        <is>
          <t>Share of starts clearing 10 actions - the defender threshold</t>
        </is>
      </c>
      <c r="C44" t="inlineStr">
        <is>
          <t>gameweek data</t>
        </is>
      </c>
    </row>
    <row r="45">
      <c r="A45" t="inlineStr">
        <is>
          <t>DefCon rate at 12</t>
        </is>
      </c>
      <c r="B45" t="inlineStr">
        <is>
          <t>Share of starts clearing 12 actions - the midfielder/forward threshold</t>
        </is>
      </c>
      <c r="C45" t="inlineStr">
        <is>
          <t>gameweek data</t>
        </is>
      </c>
    </row>
    <row r="46">
      <c r="A46" t="inlineStr">
        <is>
          <t>Start rate</t>
        </is>
      </c>
      <c r="B46" t="inlineStr">
        <is>
          <t>Starts divided by 38</t>
        </is>
      </c>
      <c r="C46" t="inlineStr">
        <is>
          <t>gameweek data</t>
        </is>
      </c>
    </row>
    <row r="47">
      <c r="A47" t="inlineStr">
        <is>
          <t>60+ min rate</t>
        </is>
      </c>
      <c r="B47" t="inlineStr">
        <is>
          <t>Share of appearances lasting 60+ minutes (the 2-point threshold)</t>
        </is>
      </c>
      <c r="C47" t="inlineStr">
        <is>
          <t>gameweek data</t>
        </is>
      </c>
    </row>
    <row r="48">
      <c r="A48" t="inlineStr">
        <is>
          <t>Blanks</t>
        </is>
      </c>
      <c r="B48" t="inlineStr">
        <is>
          <t>Matches played returning 2 points or fewer</t>
        </is>
      </c>
      <c r="C48" t="inlineStr">
        <is>
          <t>gameweek data</t>
        </is>
      </c>
    </row>
    <row r="49">
      <c r="A49" t="inlineStr">
        <is>
          <t>Hauls</t>
        </is>
      </c>
      <c r="B49" t="inlineStr">
        <is>
          <t>Matches returning 10+ points</t>
        </is>
      </c>
      <c r="C49" t="inlineStr">
        <is>
          <t>gameweek data</t>
        </is>
      </c>
    </row>
    <row r="50">
      <c r="A50" t="inlineStr">
        <is>
          <t>Points SD</t>
        </is>
      </c>
      <c r="B50" t="inlineStr">
        <is>
          <t>Standard deviation of gameweek points</t>
        </is>
      </c>
      <c r="C50" t="inlineStr">
        <is>
          <t>gameweek data</t>
        </is>
      </c>
    </row>
    <row r="51">
      <c r="A51" t="inlineStr">
        <is>
          <t>Best GW</t>
        </is>
      </c>
      <c r="B51" t="inlineStr">
        <is>
          <t>Highest single-gameweek score</t>
        </is>
      </c>
      <c r="C51" t="inlineStr">
        <is>
          <t>gameweek data</t>
        </is>
      </c>
    </row>
    <row r="52">
      <c r="A52" t="inlineStr">
        <is>
          <t>xG (Opta)</t>
        </is>
      </c>
      <c r="B52" t="inlineStr">
        <is>
          <t>Opta expected goals - best next-season goal predictor tested</t>
        </is>
      </c>
      <c r="C52" t="inlineStr">
        <is>
          <t>FPL</t>
        </is>
      </c>
    </row>
    <row r="53">
      <c r="A53" t="inlineStr">
        <is>
          <t>xG (Understat)</t>
        </is>
      </c>
      <c r="B53" t="inlineStr">
        <is>
          <t>Understat expected goals - runs ~8-15% high vs actual</t>
        </is>
      </c>
      <c r="C53" t="inlineStr">
        <is>
          <t>Understat</t>
        </is>
      </c>
    </row>
    <row r="54">
      <c r="A54" t="inlineStr">
        <is>
          <t>xG (blend)</t>
        </is>
      </c>
      <c r="B54" t="inlineStr">
        <is>
          <t>Mean of the two xG models</t>
        </is>
      </c>
      <c r="C54" t="inlineStr">
        <is>
          <t>derived</t>
        </is>
      </c>
    </row>
    <row r="55">
      <c r="A55" t="inlineStr">
        <is>
          <t>npxG (Understat)</t>
        </is>
      </c>
      <c r="B55" t="inlineStr">
        <is>
          <t>Non-penalty expected goals</t>
        </is>
      </c>
      <c r="C55" t="inlineStr">
        <is>
          <t>Understat</t>
        </is>
      </c>
    </row>
    <row r="56">
      <c r="A56" t="inlineStr">
        <is>
          <t>xG/90 (Opta)</t>
        </is>
      </c>
      <c r="B56" t="inlineStr">
        <is>
          <t>Opta xG per 90</t>
        </is>
      </c>
      <c r="C56" t="inlineStr">
        <is>
          <t>derived</t>
        </is>
      </c>
    </row>
    <row r="57">
      <c r="A57" t="inlineStr">
        <is>
          <t>xG/90 (Understat)</t>
        </is>
      </c>
      <c r="B57" t="inlineStr">
        <is>
          <t>Understat xG per 90</t>
        </is>
      </c>
      <c r="C57" t="inlineStr">
        <is>
          <t>derived</t>
        </is>
      </c>
    </row>
    <row r="58">
      <c r="A58" t="inlineStr">
        <is>
          <t>xG/90 (blend)</t>
        </is>
      </c>
      <c r="B58" t="inlineStr">
        <is>
          <t>Blended xG per 90</t>
        </is>
      </c>
      <c r="C58" t="inlineStr">
        <is>
          <t>derived</t>
        </is>
      </c>
    </row>
    <row r="59">
      <c r="A59" t="inlineStr">
        <is>
          <t>xGOT</t>
        </is>
      </c>
      <c r="B59" t="inlineStr">
        <is>
          <t>Post-shot xG: shot quality AFTER placement. FBref's PSxG equivalent</t>
        </is>
      </c>
      <c r="C59" t="inlineStr">
        <is>
          <t>FotMob</t>
        </is>
      </c>
    </row>
    <row r="60">
      <c r="A60" t="inlineStr">
        <is>
          <t>xGOT/90</t>
        </is>
      </c>
      <c r="B60" t="inlineStr">
        <is>
          <t>xGOT per 90</t>
        </is>
      </c>
      <c r="C60" t="inlineStr">
        <is>
          <t>derived</t>
        </is>
      </c>
    </row>
    <row r="61">
      <c r="A61" t="inlineStr">
        <is>
          <t>Placement ratio</t>
        </is>
      </c>
      <c r="B61" t="inlineStr">
        <is>
          <t>Career xGOT/xG, shrunk toward 1.0 by sample size. Above 1 = places shots better than the chance deserved</t>
        </is>
      </c>
      <c r="C61" t="inlineStr">
        <is>
          <t>derived</t>
        </is>
      </c>
    </row>
    <row r="62">
      <c r="A62" t="inlineStr">
        <is>
          <t>Placement sample xG</t>
        </is>
      </c>
      <c r="B62" t="inlineStr">
        <is>
          <t>Total xG behind the placement ratio, across up to 4 seasons. Low numbers mean the ratio is mostly shrunk back to 1</t>
        </is>
      </c>
      <c r="C62" t="inlineStr">
        <is>
          <t>derived</t>
        </is>
      </c>
    </row>
    <row r="63">
      <c r="A63" t="inlineStr">
        <is>
          <t>Adjusted xGOT</t>
        </is>
      </c>
      <c r="B63" t="inlineStr">
        <is>
          <t>xG re-scaled by the placement ratio: the xGOT this player would post for that xG</t>
        </is>
      </c>
      <c r="C63" t="inlineStr">
        <is>
          <t>derived</t>
        </is>
      </c>
    </row>
    <row r="64">
      <c r="A64" t="inlineStr">
        <is>
          <t>Adjusted xGOT/90</t>
        </is>
      </c>
      <c r="B64" t="inlineStr">
        <is>
          <t>Adjusted xGOT per 90 - the xG input used by the xPts model</t>
        </is>
      </c>
      <c r="C64" t="inlineStr">
        <is>
          <t>derived</t>
        </is>
      </c>
    </row>
    <row r="65">
      <c r="A65" t="inlineStr">
        <is>
          <t>Goals - xG</t>
        </is>
      </c>
      <c r="B65" t="inlineStr">
        <is>
          <t>Over/under-performance of expected goals</t>
        </is>
      </c>
      <c r="C65" t="inlineStr">
        <is>
          <t>derived</t>
        </is>
      </c>
    </row>
    <row r="66">
      <c r="A66" t="inlineStr">
        <is>
          <t>xGOT - xG</t>
        </is>
      </c>
      <c r="B66" t="inlineStr">
        <is>
          <t>Shot placement skill: how much better than average the shots were aimed</t>
        </is>
      </c>
      <c r="C66" t="inlineStr">
        <is>
          <t>derived</t>
        </is>
      </c>
    </row>
    <row r="67">
      <c r="A67" t="inlineStr">
        <is>
          <t>Goals - xGOT</t>
        </is>
      </c>
      <c r="B67" t="inlineStr">
        <is>
          <t>Pure finishing residual after placement is accounted for</t>
        </is>
      </c>
      <c r="C67" t="inlineStr">
        <is>
          <t>derived</t>
        </is>
      </c>
    </row>
    <row r="68">
      <c r="A68" t="inlineStr">
        <is>
          <t>xG model gap</t>
        </is>
      </c>
      <c r="B68" t="inlineStr">
        <is>
          <t>Opta xG minus Understat xG - big gaps flag disputed shot quality</t>
        </is>
      </c>
      <c r="C68" t="inlineStr">
        <is>
          <t>derived</t>
        </is>
      </c>
    </row>
    <row r="69">
      <c r="A69" t="inlineStr">
        <is>
          <t>Shots</t>
        </is>
      </c>
      <c r="B69" t="inlineStr">
        <is>
          <t>Total shots</t>
        </is>
      </c>
      <c r="C69" t="inlineStr">
        <is>
          <t>PL</t>
        </is>
      </c>
    </row>
    <row r="70">
      <c r="A70" t="inlineStr">
        <is>
          <t>Shots on target</t>
        </is>
      </c>
      <c r="B70" t="inlineStr">
        <is>
          <t>Shots on target</t>
        </is>
      </c>
      <c r="C70" t="inlineStr">
        <is>
          <t>PL</t>
        </is>
      </c>
    </row>
    <row r="71">
      <c r="A71" t="inlineStr">
        <is>
          <t>Big chances missed</t>
        </is>
      </c>
      <c r="B71" t="inlineStr">
        <is>
          <t>Clear chances not converted</t>
        </is>
      </c>
      <c r="C71" t="inlineStr">
        <is>
          <t>PL</t>
        </is>
      </c>
    </row>
    <row r="72">
      <c r="A72" t="inlineStr">
        <is>
          <t>Touches in box</t>
        </is>
      </c>
      <c r="B72" t="inlineStr">
        <is>
          <t>Touches in the opposition penalty area</t>
        </is>
      </c>
      <c r="C72" t="inlineStr">
        <is>
          <t>PL</t>
        </is>
      </c>
    </row>
    <row r="73">
      <c r="A73" t="inlineStr">
        <is>
          <t>Touches in box/90</t>
        </is>
      </c>
      <c r="B73" t="inlineStr">
        <is>
          <t>Touches in the box per 90</t>
        </is>
      </c>
      <c r="C73" t="inlineStr">
        <is>
          <t>derived</t>
        </is>
      </c>
    </row>
    <row r="74">
      <c r="A74" t="inlineStr">
        <is>
          <t>Pen goals</t>
        </is>
      </c>
      <c r="B74" t="inlineStr">
        <is>
          <t>Goals from penalties</t>
        </is>
      </c>
      <c r="C74" t="inlineStr">
        <is>
          <t>PL</t>
        </is>
      </c>
    </row>
    <row r="75">
      <c r="A75" t="inlineStr">
        <is>
          <t>Headed goals</t>
        </is>
      </c>
      <c r="B75" t="inlineStr">
        <is>
          <t>Headed goals</t>
        </is>
      </c>
      <c r="C75" t="inlineStr">
        <is>
          <t>PL</t>
        </is>
      </c>
    </row>
    <row r="76">
      <c r="A76" t="inlineStr">
        <is>
          <t>xA (Opta)</t>
        </is>
      </c>
      <c r="B76" t="inlineStr">
        <is>
          <t>Opta expected assists</t>
        </is>
      </c>
      <c r="C76" t="inlineStr">
        <is>
          <t>FPL</t>
        </is>
      </c>
    </row>
    <row r="77">
      <c r="A77" t="inlineStr">
        <is>
          <t>xA (Understat)</t>
        </is>
      </c>
      <c r="B77" t="inlineStr">
        <is>
          <t>Understat expected assists</t>
        </is>
      </c>
      <c r="C77" t="inlineStr">
        <is>
          <t>Understat</t>
        </is>
      </c>
    </row>
    <row r="78">
      <c r="A78" t="inlineStr">
        <is>
          <t>xA (blend)</t>
        </is>
      </c>
      <c r="B78" t="inlineStr">
        <is>
          <t>Mean of the two xA models - best assist predictor tested</t>
        </is>
      </c>
      <c r="C78" t="inlineStr">
        <is>
          <t>derived</t>
        </is>
      </c>
    </row>
    <row r="79">
      <c r="A79" t="inlineStr">
        <is>
          <t>xA/90 (blend)</t>
        </is>
      </c>
      <c r="B79" t="inlineStr">
        <is>
          <t>Blended xA per 90</t>
        </is>
      </c>
      <c r="C79" t="inlineStr">
        <is>
          <t>derived</t>
        </is>
      </c>
    </row>
    <row r="80">
      <c r="A80" t="inlineStr">
        <is>
          <t>xGI (blend)</t>
        </is>
      </c>
      <c r="B80" t="inlineStr">
        <is>
          <t>Blended xG + xA</t>
        </is>
      </c>
      <c r="C80" t="inlineStr">
        <is>
          <t>derived</t>
        </is>
      </c>
    </row>
    <row r="81">
      <c r="A81" t="inlineStr">
        <is>
          <t>xGI/90 (blend)</t>
        </is>
      </c>
      <c r="B81" t="inlineStr">
        <is>
          <t>Blended xG + xA per 90</t>
        </is>
      </c>
      <c r="C81" t="inlineStr">
        <is>
          <t>derived</t>
        </is>
      </c>
    </row>
    <row r="82">
      <c r="A82" t="inlineStr">
        <is>
          <t>Key passes</t>
        </is>
      </c>
      <c r="B82" t="inlineStr">
        <is>
          <t>Passes leading to a shot</t>
        </is>
      </c>
      <c r="C82" t="inlineStr">
        <is>
          <t>Understat</t>
        </is>
      </c>
    </row>
    <row r="83">
      <c r="A83" t="inlineStr">
        <is>
          <t>Big chances created</t>
        </is>
      </c>
      <c r="B83" t="inlineStr">
        <is>
          <t>Clear chances created</t>
        </is>
      </c>
      <c r="C83" t="inlineStr">
        <is>
          <t>PL</t>
        </is>
      </c>
    </row>
    <row r="84">
      <c r="A84" t="inlineStr">
        <is>
          <t>Chances created</t>
        </is>
      </c>
      <c r="B84" t="inlineStr">
        <is>
          <t>All chances created</t>
        </is>
      </c>
      <c r="C84" t="inlineStr">
        <is>
          <t>PL</t>
        </is>
      </c>
    </row>
    <row r="85">
      <c r="A85" t="inlineStr">
        <is>
          <t>Crosses (acc)</t>
        </is>
      </c>
      <c r="B85" t="inlineStr">
        <is>
          <t>Accurate crosses</t>
        </is>
      </c>
      <c r="C85" t="inlineStr">
        <is>
          <t>PL</t>
        </is>
      </c>
    </row>
    <row r="86">
      <c r="A86" t="inlineStr">
        <is>
          <t>Through balls (acc)</t>
        </is>
      </c>
      <c r="B86" t="inlineStr">
        <is>
          <t>Accurate through balls</t>
        </is>
      </c>
      <c r="C86" t="inlineStr">
        <is>
          <t>PL</t>
        </is>
      </c>
    </row>
    <row r="87">
      <c r="A87" t="inlineStr">
        <is>
          <t>Corners taken</t>
        </is>
      </c>
      <c r="B87" t="inlineStr">
        <is>
          <t>Corners taken</t>
        </is>
      </c>
      <c r="C87" t="inlineStr">
        <is>
          <t>PL</t>
        </is>
      </c>
    </row>
    <row r="88">
      <c r="A88" t="inlineStr">
        <is>
          <t>xGChain</t>
        </is>
      </c>
      <c r="B88" t="inlineStr">
        <is>
          <t>Total xG of every possession the player was involved in</t>
        </is>
      </c>
      <c r="C88" t="inlineStr">
        <is>
          <t>Understat</t>
        </is>
      </c>
    </row>
    <row r="89">
      <c r="A89" t="inlineStr">
        <is>
          <t>xGBuildup</t>
        </is>
      </c>
      <c r="B89" t="inlineStr">
        <is>
          <t>xGChain excluding the player's own shots and key passes</t>
        </is>
      </c>
      <c r="C89" t="inlineStr">
        <is>
          <t>Understat</t>
        </is>
      </c>
    </row>
    <row r="90">
      <c r="A90" t="inlineStr">
        <is>
          <t>CBI</t>
        </is>
      </c>
      <c r="B90" t="inlineStr">
        <is>
          <t>Clearances + blocks + interceptions (the DefCon input)</t>
        </is>
      </c>
      <c r="C90" t="inlineStr">
        <is>
          <t>FPL</t>
        </is>
      </c>
    </row>
    <row r="91">
      <c r="A91" t="inlineStr">
        <is>
          <t>Recoveries</t>
        </is>
      </c>
      <c r="B91" t="inlineStr">
        <is>
          <t>Ball recoveries (counts toward DefCon for MID/FWD)</t>
        </is>
      </c>
      <c r="C91" t="inlineStr">
        <is>
          <t>FPL</t>
        </is>
      </c>
    </row>
    <row r="92">
      <c r="A92" t="inlineStr">
        <is>
          <t>Tackles</t>
        </is>
      </c>
      <c r="B92" t="inlineStr">
        <is>
          <t>Tackles (counts toward DefCon)</t>
        </is>
      </c>
      <c r="C92" t="inlineStr">
        <is>
          <t>FPL</t>
        </is>
      </c>
    </row>
    <row r="93">
      <c r="A93" t="inlineStr">
        <is>
          <t>Tackles won</t>
        </is>
      </c>
      <c r="B93" t="inlineStr">
        <is>
          <t>Tackles won</t>
        </is>
      </c>
      <c r="C93" t="inlineStr">
        <is>
          <t>PL</t>
        </is>
      </c>
    </row>
    <row r="94">
      <c r="A94" t="inlineStr">
        <is>
          <t>Interceptions</t>
        </is>
      </c>
      <c r="B94" t="inlineStr">
        <is>
          <t>Interceptions</t>
        </is>
      </c>
      <c r="C94" t="inlineStr">
        <is>
          <t>PL</t>
        </is>
      </c>
    </row>
    <row r="95">
      <c r="A95" t="inlineStr">
        <is>
          <t>Clearances</t>
        </is>
      </c>
      <c r="B95" t="inlineStr">
        <is>
          <t>Effective clearances</t>
        </is>
      </c>
      <c r="C95" t="inlineStr">
        <is>
          <t>PL</t>
        </is>
      </c>
    </row>
    <row r="96">
      <c r="A96" t="inlineStr">
        <is>
          <t>Blocks</t>
        </is>
      </c>
      <c r="B96" t="inlineStr">
        <is>
          <t>Outfield blocks</t>
        </is>
      </c>
      <c r="C96" t="inlineStr">
        <is>
          <t>PL</t>
        </is>
      </c>
    </row>
    <row r="97">
      <c r="A97" t="inlineStr">
        <is>
          <t>Duels won</t>
        </is>
      </c>
      <c r="B97" t="inlineStr">
        <is>
          <t>Duels won</t>
        </is>
      </c>
      <c r="C97" t="inlineStr">
        <is>
          <t>PL</t>
        </is>
      </c>
    </row>
    <row r="98">
      <c r="A98" t="inlineStr">
        <is>
          <t>Aerials won</t>
        </is>
      </c>
      <c r="B98" t="inlineStr">
        <is>
          <t>Aerial duels won</t>
        </is>
      </c>
      <c r="C98" t="inlineStr">
        <is>
          <t>PL</t>
        </is>
      </c>
    </row>
    <row r="99">
      <c r="A99" t="inlineStr">
        <is>
          <t>Poss won att 3rd/90</t>
        </is>
      </c>
      <c r="B99" t="inlineStr">
        <is>
          <t>Possession won in the final third per 90</t>
        </is>
      </c>
      <c r="C99" t="inlineStr">
        <is>
          <t>FotMob</t>
        </is>
      </c>
    </row>
    <row r="100">
      <c r="A100" t="inlineStr">
        <is>
          <t>Errors -&gt; goal</t>
        </is>
      </c>
      <c r="B100" t="inlineStr">
        <is>
          <t>Errors leading directly to a goal</t>
        </is>
      </c>
      <c r="C100" t="inlineStr">
        <is>
          <t>PL</t>
        </is>
      </c>
    </row>
    <row r="101">
      <c r="A101" t="inlineStr">
        <is>
          <t>Errors -&gt; shot</t>
        </is>
      </c>
      <c r="B101" t="inlineStr">
        <is>
          <t>Errors leading directly to a shot</t>
        </is>
      </c>
      <c r="C101" t="inlineStr">
        <is>
          <t>PL</t>
        </is>
      </c>
    </row>
    <row r="102">
      <c r="A102" t="inlineStr">
        <is>
          <t>xGC (Opta)</t>
        </is>
      </c>
      <c r="B102" t="inlineStr">
        <is>
          <t>Expected goals conceded while on the pitch</t>
        </is>
      </c>
      <c r="C102" t="inlineStr">
        <is>
          <t>FPL</t>
        </is>
      </c>
    </row>
    <row r="103">
      <c r="A103" t="inlineStr">
        <is>
          <t>xGC/90</t>
        </is>
      </c>
      <c r="B103" t="inlineStr">
        <is>
          <t>Expected goals conceded per 90 - the clean-sheet driver</t>
        </is>
      </c>
      <c r="C103" t="inlineStr">
        <is>
          <t>derived</t>
        </is>
      </c>
    </row>
    <row r="104">
      <c r="A104" t="inlineStr">
        <is>
          <t>Saves</t>
        </is>
      </c>
      <c r="B104" t="inlineStr">
        <is>
          <t>Saves made</t>
        </is>
      </c>
      <c r="C104" t="inlineStr">
        <is>
          <t>FPL</t>
        </is>
      </c>
    </row>
    <row r="105">
      <c r="A105" t="inlineStr">
        <is>
          <t>Save %</t>
        </is>
      </c>
      <c r="B105" t="inlineStr">
        <is>
          <t>Save percentage</t>
        </is>
      </c>
      <c r="C105" t="inlineStr">
        <is>
          <t>FotMob</t>
        </is>
      </c>
    </row>
    <row r="106">
      <c r="A106" t="inlineStr">
        <is>
          <t>Goals prevented</t>
        </is>
      </c>
      <c r="B106" t="inlineStr">
        <is>
          <t>xGOT faced minus goals conceded: shot-stopping value</t>
        </is>
      </c>
      <c r="C106" t="inlineStr">
        <is>
          <t>FotMob</t>
        </is>
      </c>
    </row>
    <row r="107">
      <c r="A107" t="inlineStr">
        <is>
          <t>Pens saved</t>
        </is>
      </c>
      <c r="B107" t="inlineStr">
        <is>
          <t>Penalties saved</t>
        </is>
      </c>
      <c r="C107" t="inlineStr">
        <is>
          <t>FPL</t>
        </is>
      </c>
    </row>
    <row r="108">
      <c r="A108" t="inlineStr">
        <is>
          <t>High claims</t>
        </is>
      </c>
      <c r="B108" t="inlineStr">
        <is>
          <t>High claims</t>
        </is>
      </c>
      <c r="C108" t="inlineStr">
        <is>
          <t>PL</t>
        </is>
      </c>
    </row>
    <row r="109">
      <c r="A109" t="inlineStr">
        <is>
          <t>Punches</t>
        </is>
      </c>
      <c r="B109" t="inlineStr">
        <is>
          <t>Punched clearances</t>
        </is>
      </c>
      <c r="C109" t="inlineStr">
        <is>
          <t>PL</t>
        </is>
      </c>
    </row>
    <row r="110">
      <c r="A110" t="inlineStr">
        <is>
          <t>FotMob rating</t>
        </is>
      </c>
      <c r="B110" t="inlineStr">
        <is>
          <t>FotMob average match rating</t>
        </is>
      </c>
      <c r="C110" t="inlineStr">
        <is>
          <t>FotMob</t>
        </is>
      </c>
    </row>
    <row r="111">
      <c r="A111" t="inlineStr">
        <is>
          <t>Yellows</t>
        </is>
      </c>
      <c r="B111" t="inlineStr">
        <is>
          <t>Yellow cards</t>
        </is>
      </c>
      <c r="C111" t="inlineStr">
        <is>
          <t>FPL</t>
        </is>
      </c>
    </row>
    <row r="112">
      <c r="A112" t="inlineStr">
        <is>
          <t>Reds</t>
        </is>
      </c>
      <c r="B112" t="inlineStr">
        <is>
          <t>Red cards</t>
        </is>
      </c>
      <c r="C112" t="inlineStr">
        <is>
          <t>FPL</t>
        </is>
      </c>
    </row>
    <row r="113">
      <c r="A113" t="inlineStr">
        <is>
          <t>Fouls</t>
        </is>
      </c>
      <c r="B113" t="inlineStr">
        <is>
          <t>Fouls committed</t>
        </is>
      </c>
      <c r="C113" t="inlineStr">
        <is>
          <t>PL</t>
        </is>
      </c>
    </row>
    <row r="114">
      <c r="A114" t="inlineStr">
        <is>
          <t>Fouled</t>
        </is>
      </c>
      <c r="B114" t="inlineStr">
        <is>
          <t>Times fouled</t>
        </is>
      </c>
      <c r="C114" t="inlineStr">
        <is>
          <t>PL</t>
        </is>
      </c>
    </row>
    <row r="115">
      <c r="A115" t="inlineStr">
        <is>
          <t>Pens won</t>
        </is>
      </c>
      <c r="B115" t="inlineStr">
        <is>
          <t>Penalties won</t>
        </is>
      </c>
      <c r="C115" t="inlineStr">
        <is>
          <t>PL</t>
        </is>
      </c>
    </row>
    <row r="116">
      <c r="A116" t="inlineStr">
        <is>
          <t>Pens conceded</t>
        </is>
      </c>
      <c r="B116" t="inlineStr">
        <is>
          <t>Penalties conceded</t>
        </is>
      </c>
      <c r="C116" t="inlineStr">
        <is>
          <t>PL</t>
        </is>
      </c>
    </row>
    <row r="117">
      <c r="A117" t="inlineStr">
        <is>
          <t>Dribbles won</t>
        </is>
      </c>
      <c r="B117" t="inlineStr">
        <is>
          <t>Take-ons completed</t>
        </is>
      </c>
      <c r="C117" t="inlineStr">
        <is>
          <t>PL</t>
        </is>
      </c>
    </row>
    <row r="118">
      <c r="A118" t="inlineStr">
        <is>
          <t>Dispossessed</t>
        </is>
      </c>
      <c r="B118" t="inlineStr">
        <is>
          <t>Times dispossessed</t>
        </is>
      </c>
      <c r="C118" t="inlineStr">
        <is>
          <t>PL</t>
        </is>
      </c>
    </row>
    <row r="119">
      <c r="A119" t="inlineStr">
        <is>
          <t>Offsides</t>
        </is>
      </c>
      <c r="B119" t="inlineStr">
        <is>
          <t>Times caught offside</t>
        </is>
      </c>
      <c r="C119" t="inlineStr">
        <is>
          <t>PL</t>
        </is>
      </c>
    </row>
    <row r="120">
      <c r="A120" t="inlineStr">
        <is>
          <t>Selected by %</t>
        </is>
      </c>
      <c r="B120" t="inlineStr">
        <is>
          <t>FPL ownership at time of pull</t>
        </is>
      </c>
      <c r="C120" t="inlineStr">
        <is>
          <t>FPL</t>
        </is>
      </c>
    </row>
    <row r="121">
      <c r="A121" t="inlineStr">
        <is>
          <t>Solio season pts</t>
        </is>
      </c>
      <c r="B121" t="inlineStr">
        <is>
          <t>Solio's 19-GW projection extended to a full season, with the second half rebuilt at settled minutes</t>
        </is>
      </c>
      <c r="C121" t="inlineStr">
        <is>
          <t>Solio</t>
        </is>
      </c>
    </row>
    <row r="122">
      <c r="A122" t="inlineStr">
        <is>
          <t>Solio H1 pts (GW1-19)</t>
        </is>
      </c>
      <c r="B122" t="inlineStr">
        <is>
          <t>Solio's projection as published, first half only</t>
        </is>
      </c>
      <c r="C122" t="inlineStr">
        <is>
          <t>Solio</t>
        </is>
      </c>
    </row>
    <row r="123">
      <c r="A123" t="inlineStr">
        <is>
          <t>Solio naive x2</t>
        </is>
      </c>
      <c r="B123" t="inlineStr">
        <is>
          <t>What simply doubling GW1-19 would have given</t>
        </is>
      </c>
      <c r="C123" t="inlineStr">
        <is>
          <t>Solio</t>
        </is>
      </c>
    </row>
    <row r="124">
      <c r="A124" t="inlineStr">
        <is>
          <t>Solio correction</t>
        </is>
      </c>
      <c r="B124" t="inlineStr">
        <is>
          <t>Season points minus naive doubling. Positive = injury/World Cup return the doubling would have double-counted</t>
        </is>
      </c>
      <c r="C124" t="inlineStr">
        <is>
          <t>derived</t>
        </is>
      </c>
    </row>
    <row r="125">
      <c r="A125" t="inlineStr">
        <is>
          <t>Solio xMins (season)</t>
        </is>
      </c>
      <c r="B125" t="inlineStr">
        <is>
          <t>Settled minutes per match x 38 - a ready-made xMins forecast</t>
        </is>
      </c>
      <c r="C125" t="inlineStr">
        <is>
          <t>Solio</t>
        </is>
      </c>
    </row>
    <row r="126">
      <c r="A126" t="inlineStr">
        <is>
          <t>Solio xMins (settled)</t>
        </is>
      </c>
      <c r="B126" t="inlineStr">
        <is>
          <t>Solio's projected minutes per match by GW17-19, once the season has settled</t>
        </is>
      </c>
      <c r="C126" t="inlineStr">
        <is>
          <t>Solio</t>
        </is>
      </c>
    </row>
    <row r="127">
      <c r="A127" t="inlineStr">
        <is>
          <t>Solio xMins pattern</t>
        </is>
      </c>
      <c r="B127" t="inlineStr">
        <is>
          <t>flat, ramp-up (injury or late World Cup return), or fade (projected to lose his place)</t>
        </is>
      </c>
      <c r="C127" t="inlineStr">
        <is>
          <t>derived</t>
        </is>
      </c>
    </row>
    <row r="128">
      <c r="A128" t="inlineStr">
        <is>
          <t>ADP</t>
        </is>
      </c>
      <c r="B128" t="inlineStr">
        <is>
          <t>Average draft position in real FPL Draft leagues, human picks only, normalised to an 8-team board</t>
        </is>
      </c>
      <c r="C128" t="inlineStr">
        <is>
          <t>FPL Draft</t>
        </is>
      </c>
    </row>
    <row r="129">
      <c r="A129" t="inlineStr">
        <is>
          <t>ADP (8-team only)</t>
        </is>
      </c>
      <c r="B129" t="inlineStr">
        <is>
          <t>Same, using only 8-team leagues</t>
        </is>
      </c>
      <c r="C129" t="inlineStr">
        <is>
          <t>FPL Draft</t>
        </is>
      </c>
    </row>
    <row r="130">
      <c r="A130" t="inlineStr">
        <is>
          <t>ADP spread</t>
        </is>
      </c>
      <c r="B130" t="inlineStr">
        <is>
          <t>Standard deviation of draft position - high means the market disagrees about him</t>
        </is>
      </c>
      <c r="C130" t="inlineStr">
        <is>
          <t>FPL Draft</t>
        </is>
      </c>
    </row>
    <row r="131">
      <c r="A131" t="inlineStr">
        <is>
          <t>ADP earliest</t>
        </is>
      </c>
      <c r="B131" t="inlineStr">
        <is>
          <t>Earliest he was taken in any league</t>
        </is>
      </c>
      <c r="C131" t="inlineStr">
        <is>
          <t>FPL Draft</t>
        </is>
      </c>
    </row>
    <row r="132">
      <c r="A132" t="inlineStr">
        <is>
          <t>ADP latest</t>
        </is>
      </c>
      <c r="B132" t="inlineStr">
        <is>
          <t>Latest he was taken in any league</t>
        </is>
      </c>
      <c r="C132" t="inlineStr">
        <is>
          <t>FPL Draft</t>
        </is>
      </c>
    </row>
    <row r="133">
      <c r="A133" t="inlineStr">
        <is>
          <t>Times drafted</t>
        </is>
      </c>
      <c r="B133" t="inlineStr">
        <is>
          <t>Leagues in which a human drafted him. Low numbers make the ADP unreliable</t>
        </is>
      </c>
      <c r="C133" t="inlineStr">
        <is>
          <t>FPL Draft</t>
        </is>
      </c>
    </row>
    <row r="134">
      <c r="A134" t="inlineStr">
        <is>
          <t>Drafted %</t>
        </is>
      </c>
      <c r="B134" t="inlineStr">
        <is>
          <t>Share of leagues in which he was drafted at all</t>
        </is>
      </c>
      <c r="C134" t="inlineStr">
        <is>
          <t>FPL Draft</t>
        </is>
      </c>
    </row>
    <row r="135">
      <c r="A135" t="inlineStr">
        <is>
          <t>Auto-pick %</t>
        </is>
      </c>
      <c r="B135" t="inlineStr">
        <is>
          <t>Share of his picks made by the autodraft algorithm rather than a human</t>
        </is>
      </c>
      <c r="C135" t="inlineStr">
        <is>
          <t>FPL Draft</t>
        </is>
      </c>
    </row>
    <row r="136">
      <c r="A136" t="inlineStr">
        <is>
          <t>FPL draft rank</t>
        </is>
      </c>
      <c r="B136" t="inlineStr">
        <is>
          <t>The default ordering FPL's own autodraft uses</t>
        </is>
      </c>
      <c r="C136" t="inlineStr">
        <is>
          <t>FPL Draft</t>
        </is>
      </c>
    </row>
    <row r="137">
      <c r="A137" t="inlineStr">
        <is>
          <t>Mins per shot</t>
        </is>
      </c>
      <c r="B137" t="inlineStr">
        <is>
          <t>Minutes divided by pl_total_scoring_att; matches the 'mins per' convention used in last year's sheet</t>
        </is>
      </c>
      <c r="C137" t="inlineStr">
        <is>
          <t>derived</t>
        </is>
      </c>
    </row>
    <row r="138">
      <c r="A138" t="inlineStr">
        <is>
          <t>Mins per touch in box</t>
        </is>
      </c>
      <c r="B138" t="inlineStr">
        <is>
          <t>Minutes divided by pl_touches_in_opp_box; matches the 'mins per' convention used in last year's sheet</t>
        </is>
      </c>
      <c r="C138" t="inlineStr">
        <is>
          <t>derived</t>
        </is>
      </c>
    </row>
    <row r="139">
      <c r="A139" t="inlineStr">
        <is>
          <t>Mins per chance created</t>
        </is>
      </c>
      <c r="B139" t="inlineStr">
        <is>
          <t>Minutes divided by pl_total_att_assist; matches the 'mins per' convention used in last year's sheet</t>
        </is>
      </c>
      <c r="C139" t="inlineStr">
        <is>
          <t>derived</t>
        </is>
      </c>
    </row>
    <row r="140">
      <c r="A140" t="inlineStr">
        <is>
          <t>Mins per xG (blend)</t>
        </is>
      </c>
      <c r="B140" t="inlineStr">
        <is>
          <t>Minutes divided by xG_blend; matches the 'mins per' convention used in last year's sheet</t>
        </is>
      </c>
      <c r="C140" t="inlineStr">
        <is>
          <t>derived</t>
        </is>
      </c>
    </row>
    <row r="141">
      <c r="A141" t="inlineStr">
        <is>
          <t>Mins per xA (blend)</t>
        </is>
      </c>
      <c r="B141" t="inlineStr">
        <is>
          <t>Minutes divided by xA_blend; matches the 'mins per' convention used in last year's sheet</t>
        </is>
      </c>
      <c r="C141" t="inlineStr">
        <is>
          <t>derived</t>
        </is>
      </c>
    </row>
    <row r="142">
      <c r="A142" t="inlineStr">
        <is>
          <t>Mins per xGI (blend)</t>
        </is>
      </c>
      <c r="B142" t="inlineStr">
        <is>
          <t>Minutes divided by xGI_blend; matches the 'mins per' convention used in last year's sheet</t>
        </is>
      </c>
      <c r="C142" t="inlineStr">
        <is>
          <t>derived</t>
        </is>
      </c>
    </row>
    <row r="143">
      <c r="A143" t="inlineStr">
        <is>
          <t>Mins per point</t>
        </is>
      </c>
      <c r="B143" t="inlineStr">
        <is>
          <t>Minutes divided by fpl_total_points; matches the 'mins per' convention used in last year's sheet</t>
        </is>
      </c>
      <c r="C143" t="inlineStr">
        <is>
          <t>derived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team_short</t>
        </is>
      </c>
      <c r="C1" t="inlineStr">
        <is>
          <t>matches</t>
        </is>
      </c>
      <c r="D1" t="inlineStr">
        <is>
          <t>xG</t>
        </is>
      </c>
      <c r="E1" t="inlineStr">
        <is>
          <t>xGA</t>
        </is>
      </c>
      <c r="F1" t="inlineStr">
        <is>
          <t>npxG</t>
        </is>
      </c>
      <c r="G1" t="inlineStr">
        <is>
          <t>npxGA</t>
        </is>
      </c>
      <c r="H1" t="inlineStr">
        <is>
          <t>scored</t>
        </is>
      </c>
      <c r="I1" t="inlineStr">
        <is>
          <t>missed</t>
        </is>
      </c>
      <c r="J1" t="inlineStr">
        <is>
          <t>deep</t>
        </is>
      </c>
      <c r="K1" t="inlineStr">
        <is>
          <t>deep_allowed</t>
        </is>
      </c>
      <c r="L1" t="inlineStr">
        <is>
          <t>xpts</t>
        </is>
      </c>
      <c r="M1" t="inlineStr">
        <is>
          <t>clean_sheets</t>
        </is>
      </c>
      <c r="N1" t="inlineStr">
        <is>
          <t>cs_rate</t>
        </is>
      </c>
      <c r="O1" t="inlineStr">
        <is>
          <t>id</t>
        </is>
      </c>
      <c r="P1" t="inlineStr">
        <is>
          <t>name</t>
        </is>
      </c>
      <c r="Q1" t="inlineStr">
        <is>
          <t>short_name</t>
        </is>
      </c>
      <c r="R1" t="inlineStr">
        <is>
          <t>strength_overall_home</t>
        </is>
      </c>
      <c r="S1" t="inlineStr">
        <is>
          <t>strength_overall_away</t>
        </is>
      </c>
      <c r="T1" t="inlineStr">
        <is>
          <t>strength_attack_home</t>
        </is>
      </c>
      <c r="U1" t="inlineStr">
        <is>
          <t>strength_attack_away</t>
        </is>
      </c>
      <c r="V1" t="inlineStr">
        <is>
          <t>strength_defence_home</t>
        </is>
      </c>
      <c r="W1" t="inlineStr">
        <is>
          <t>strength_defence_away</t>
        </is>
      </c>
    </row>
    <row r="2">
      <c r="A2" t="inlineStr">
        <is>
          <t>Arsenal</t>
        </is>
      </c>
      <c r="B2" t="inlineStr">
        <is>
          <t>ARS</t>
        </is>
      </c>
      <c r="C2" t="n">
        <v>38</v>
      </c>
      <c r="D2" t="n">
        <v>77.48661300000001</v>
      </c>
      <c r="E2" t="n">
        <v>33.1338052</v>
      </c>
      <c r="F2" t="n">
        <v>74.44193300000001</v>
      </c>
      <c r="G2" t="n">
        <v>33.1338052</v>
      </c>
      <c r="H2" t="n">
        <v>71</v>
      </c>
      <c r="I2" t="n">
        <v>27</v>
      </c>
      <c r="J2" t="n">
        <v>349</v>
      </c>
      <c r="K2" t="n">
        <v>142</v>
      </c>
      <c r="L2" t="n">
        <v>79.87489999999998</v>
      </c>
      <c r="M2" t="n">
        <v>19</v>
      </c>
      <c r="N2" t="n">
        <v>0.5</v>
      </c>
      <c r="O2" t="n">
        <v>1</v>
      </c>
      <c r="P2" t="inlineStr">
        <is>
          <t>Arsenal</t>
        </is>
      </c>
      <c r="Q2" t="inlineStr">
        <is>
          <t>ARS</t>
        </is>
      </c>
      <c r="R2" t="n">
        <v>4</v>
      </c>
      <c r="S2" t="n">
        <v>5</v>
      </c>
      <c r="T2" t="n">
        <v>0</v>
      </c>
      <c r="U2" t="n">
        <v>0</v>
      </c>
      <c r="V2" t="n">
        <v>0</v>
      </c>
      <c r="W2" t="n">
        <v>0</v>
      </c>
    </row>
    <row r="3">
      <c r="A3" t="inlineStr">
        <is>
          <t>Aston Villa</t>
        </is>
      </c>
      <c r="B3" t="inlineStr">
        <is>
          <t>AVL</t>
        </is>
      </c>
      <c r="C3" t="n">
        <v>38</v>
      </c>
      <c r="D3" t="n">
        <v>56.20331100000001</v>
      </c>
      <c r="E3" t="n">
        <v>56.682839</v>
      </c>
      <c r="F3" t="n">
        <v>56.20331100000001</v>
      </c>
      <c r="G3" t="n">
        <v>55.160499</v>
      </c>
      <c r="H3" t="n">
        <v>56</v>
      </c>
      <c r="I3" t="n">
        <v>49</v>
      </c>
      <c r="J3" t="n">
        <v>293</v>
      </c>
      <c r="K3" t="n">
        <v>217</v>
      </c>
      <c r="L3" t="n">
        <v>51.0701</v>
      </c>
      <c r="M3" t="n">
        <v>9</v>
      </c>
      <c r="N3" t="n">
        <v>0.2368</v>
      </c>
      <c r="O3" t="n">
        <v>2</v>
      </c>
      <c r="P3" t="inlineStr">
        <is>
          <t>Aston Villa</t>
        </is>
      </c>
      <c r="Q3" t="inlineStr">
        <is>
          <t>AVL</t>
        </is>
      </c>
      <c r="R3" t="n">
        <v>3</v>
      </c>
      <c r="S3" t="n">
        <v>4</v>
      </c>
      <c r="T3" t="n">
        <v>0</v>
      </c>
      <c r="U3" t="n">
        <v>0</v>
      </c>
      <c r="V3" t="n">
        <v>0</v>
      </c>
      <c r="W3" t="n">
        <v>0</v>
      </c>
    </row>
    <row r="4">
      <c r="A4" t="inlineStr">
        <is>
          <t>Brighton</t>
        </is>
      </c>
      <c r="B4" t="inlineStr">
        <is>
          <t>BHA</t>
        </is>
      </c>
      <c r="C4" t="n">
        <v>38</v>
      </c>
      <c r="D4" t="n">
        <v>58.419679</v>
      </c>
      <c r="E4" t="n">
        <v>53.751226</v>
      </c>
      <c r="F4" t="n">
        <v>54.61383799999999</v>
      </c>
      <c r="G4" t="n">
        <v>49.184214</v>
      </c>
      <c r="H4" t="n">
        <v>52</v>
      </c>
      <c r="I4" t="n">
        <v>46</v>
      </c>
      <c r="J4" t="n">
        <v>270</v>
      </c>
      <c r="K4" t="n">
        <v>251</v>
      </c>
      <c r="L4" t="n">
        <v>55.3489</v>
      </c>
      <c r="M4" t="n">
        <v>10</v>
      </c>
      <c r="N4" t="n">
        <v>0.2632</v>
      </c>
      <c r="O4" t="n">
        <v>5</v>
      </c>
      <c r="P4" t="inlineStr">
        <is>
          <t>Brighton</t>
        </is>
      </c>
      <c r="Q4" t="inlineStr">
        <is>
          <t>BHA</t>
        </is>
      </c>
      <c r="R4" t="n">
        <v>2</v>
      </c>
      <c r="S4" t="n">
        <v>3</v>
      </c>
      <c r="T4" t="n">
        <v>0</v>
      </c>
      <c r="U4" t="n">
        <v>0</v>
      </c>
      <c r="V4" t="n">
        <v>0</v>
      </c>
      <c r="W4" t="n">
        <v>0</v>
      </c>
    </row>
    <row r="5">
      <c r="A5" t="inlineStr">
        <is>
          <t>Bournemouth</t>
        </is>
      </c>
      <c r="B5" t="inlineStr">
        <is>
          <t>BOU</t>
        </is>
      </c>
      <c r="C5" t="n">
        <v>38</v>
      </c>
      <c r="D5" t="n">
        <v>66.834552</v>
      </c>
      <c r="E5" t="n">
        <v>56.769789</v>
      </c>
      <c r="F5" t="n">
        <v>62.267542</v>
      </c>
      <c r="G5" t="n">
        <v>52.20280699999999</v>
      </c>
      <c r="H5" t="n">
        <v>58</v>
      </c>
      <c r="I5" t="n">
        <v>54</v>
      </c>
      <c r="J5" t="n">
        <v>275</v>
      </c>
      <c r="K5" t="n">
        <v>274</v>
      </c>
      <c r="L5" t="n">
        <v>60.3276</v>
      </c>
      <c r="M5" t="n">
        <v>11</v>
      </c>
      <c r="N5" t="n">
        <v>0.2895</v>
      </c>
      <c r="O5" t="n">
        <v>3</v>
      </c>
      <c r="P5" t="inlineStr">
        <is>
          <t>Bournemouth</t>
        </is>
      </c>
      <c r="Q5" t="inlineStr">
        <is>
          <t>BOU</t>
        </is>
      </c>
      <c r="R5" t="n">
        <v>3</v>
      </c>
      <c r="S5" t="n">
        <v>3</v>
      </c>
      <c r="T5" t="n">
        <v>0</v>
      </c>
      <c r="U5" t="n">
        <v>0</v>
      </c>
      <c r="V5" t="n">
        <v>0</v>
      </c>
      <c r="W5" t="n">
        <v>0</v>
      </c>
    </row>
    <row r="6">
      <c r="A6" t="inlineStr">
        <is>
          <t>Brentford</t>
        </is>
      </c>
      <c r="B6" t="inlineStr">
        <is>
          <t>BRE</t>
        </is>
      </c>
      <c r="C6" t="n">
        <v>38</v>
      </c>
      <c r="D6" t="n">
        <v>66.25667399999999</v>
      </c>
      <c r="E6" t="n">
        <v>59.11011100000001</v>
      </c>
      <c r="F6" t="n">
        <v>58.64499799999999</v>
      </c>
      <c r="G6" t="n">
        <v>53.02075900000001</v>
      </c>
      <c r="H6" t="n">
        <v>55</v>
      </c>
      <c r="I6" t="n">
        <v>52</v>
      </c>
      <c r="J6" t="n">
        <v>240</v>
      </c>
      <c r="K6" t="n">
        <v>278</v>
      </c>
      <c r="L6" t="n">
        <v>57.2441</v>
      </c>
      <c r="M6" t="n">
        <v>10</v>
      </c>
      <c r="N6" t="n">
        <v>0.2632</v>
      </c>
      <c r="O6" t="n">
        <v>4</v>
      </c>
      <c r="P6" t="inlineStr">
        <is>
          <t>Brentford</t>
        </is>
      </c>
      <c r="Q6" t="inlineStr">
        <is>
          <t>BRE</t>
        </is>
      </c>
      <c r="R6" t="n">
        <v>3</v>
      </c>
      <c r="S6" t="n">
        <v>3</v>
      </c>
      <c r="T6" t="n">
        <v>0</v>
      </c>
      <c r="U6" t="n">
        <v>0</v>
      </c>
      <c r="V6" t="n">
        <v>0</v>
      </c>
      <c r="W6" t="n">
        <v>0</v>
      </c>
    </row>
    <row r="7">
      <c r="A7" t="inlineStr">
        <is>
          <t>Burnley</t>
        </is>
      </c>
      <c r="B7" t="inlineStr">
        <is>
          <t>BUR</t>
        </is>
      </c>
      <c r="C7" t="n">
        <v>38</v>
      </c>
      <c r="D7" t="n">
        <v>36.941275</v>
      </c>
      <c r="E7" t="n">
        <v>82.58407600000001</v>
      </c>
      <c r="F7" t="n">
        <v>35.41894199999999</v>
      </c>
      <c r="G7" t="n">
        <v>76.49472600000001</v>
      </c>
      <c r="H7" t="n">
        <v>38</v>
      </c>
      <c r="I7" t="n">
        <v>75</v>
      </c>
      <c r="J7" t="n">
        <v>163</v>
      </c>
      <c r="K7" t="n">
        <v>363</v>
      </c>
      <c r="L7" t="n">
        <v>24.3057</v>
      </c>
      <c r="M7" t="n">
        <v>4</v>
      </c>
      <c r="N7" t="n">
        <v>0.1053</v>
      </c>
    </row>
    <row r="8">
      <c r="A8" t="inlineStr">
        <is>
          <t>Chelsea</t>
        </is>
      </c>
      <c r="B8" t="inlineStr">
        <is>
          <t>CHE</t>
        </is>
      </c>
      <c r="C8" t="n">
        <v>38</v>
      </c>
      <c r="D8" t="n">
        <v>72.21245999999999</v>
      </c>
      <c r="E8" t="n">
        <v>58.11746299999999</v>
      </c>
      <c r="F8" t="n">
        <v>66.12310100000001</v>
      </c>
      <c r="G8" t="n">
        <v>56.59512599999999</v>
      </c>
      <c r="H8" t="n">
        <v>58</v>
      </c>
      <c r="I8" t="n">
        <v>52</v>
      </c>
      <c r="J8" t="n">
        <v>273</v>
      </c>
      <c r="K8" t="n">
        <v>252</v>
      </c>
      <c r="L8" t="n">
        <v>58.85119999999999</v>
      </c>
      <c r="M8" t="n">
        <v>9</v>
      </c>
      <c r="N8" t="n">
        <v>0.2368</v>
      </c>
      <c r="O8" t="n">
        <v>6</v>
      </c>
      <c r="P8" t="inlineStr">
        <is>
          <t>Chelsea</t>
        </is>
      </c>
      <c r="Q8" t="inlineStr">
        <is>
          <t>CHE</t>
        </is>
      </c>
      <c r="R8" t="n">
        <v>4</v>
      </c>
      <c r="S8" t="n">
        <v>4</v>
      </c>
      <c r="T8" t="n">
        <v>0</v>
      </c>
      <c r="U8" t="n">
        <v>0</v>
      </c>
      <c r="V8" t="n">
        <v>0</v>
      </c>
      <c r="W8" t="n">
        <v>0</v>
      </c>
    </row>
    <row r="9">
      <c r="O9" t="n">
        <v>7</v>
      </c>
      <c r="P9" t="inlineStr">
        <is>
          <t>Coventry City</t>
        </is>
      </c>
      <c r="Q9" t="inlineStr">
        <is>
          <t>COV</t>
        </is>
      </c>
      <c r="R9" t="n">
        <v>2</v>
      </c>
      <c r="S9" t="n">
        <v>2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Crystal Palace</t>
        </is>
      </c>
      <c r="B10" t="inlineStr">
        <is>
          <t>CRY</t>
        </is>
      </c>
      <c r="C10" t="n">
        <v>38</v>
      </c>
      <c r="D10" t="n">
        <v>62.456488</v>
      </c>
      <c r="E10" t="n">
        <v>60.046223</v>
      </c>
      <c r="F10" t="n">
        <v>56.367121</v>
      </c>
      <c r="G10" t="n">
        <v>54.71803099999999</v>
      </c>
      <c r="H10" t="n">
        <v>41</v>
      </c>
      <c r="I10" t="n">
        <v>51</v>
      </c>
      <c r="J10" t="n">
        <v>265</v>
      </c>
      <c r="K10" t="n">
        <v>232</v>
      </c>
      <c r="L10" t="n">
        <v>53.8765</v>
      </c>
      <c r="M10" t="n">
        <v>12</v>
      </c>
      <c r="N10" t="n">
        <v>0.3158</v>
      </c>
      <c r="O10" t="n">
        <v>8</v>
      </c>
      <c r="P10" t="inlineStr">
        <is>
          <t>Crystal Palace</t>
        </is>
      </c>
      <c r="Q10" t="inlineStr">
        <is>
          <t>CRY</t>
        </is>
      </c>
      <c r="R10" t="n">
        <v>3</v>
      </c>
      <c r="S10" t="n">
        <v>3</v>
      </c>
      <c r="T10" t="n">
        <v>0</v>
      </c>
      <c r="U10" t="n">
        <v>0</v>
      </c>
      <c r="V10" t="n">
        <v>0</v>
      </c>
      <c r="W10" t="n">
        <v>0</v>
      </c>
    </row>
    <row r="11">
      <c r="A11" t="inlineStr">
        <is>
          <t>Everton</t>
        </is>
      </c>
      <c r="B11" t="inlineStr">
        <is>
          <t>EVE</t>
        </is>
      </c>
      <c r="C11" t="n">
        <v>38</v>
      </c>
      <c r="D11" t="n">
        <v>49.87027500000001</v>
      </c>
      <c r="E11" t="n">
        <v>59.994855</v>
      </c>
      <c r="F11" t="n">
        <v>48.34793500000001</v>
      </c>
      <c r="G11" t="n">
        <v>56.950175</v>
      </c>
      <c r="H11" t="n">
        <v>47</v>
      </c>
      <c r="I11" t="n">
        <v>50</v>
      </c>
      <c r="J11" t="n">
        <v>211</v>
      </c>
      <c r="K11" t="n">
        <v>286</v>
      </c>
      <c r="L11" t="n">
        <v>46.17329999999999</v>
      </c>
      <c r="M11" t="n">
        <v>11</v>
      </c>
      <c r="N11" t="n">
        <v>0.2895</v>
      </c>
      <c r="O11" t="n">
        <v>9</v>
      </c>
      <c r="P11" t="inlineStr">
        <is>
          <t>Everton</t>
        </is>
      </c>
      <c r="Q11" t="inlineStr">
        <is>
          <t>EVE</t>
        </is>
      </c>
      <c r="R11" t="n">
        <v>3</v>
      </c>
      <c r="S11" t="n">
        <v>3</v>
      </c>
      <c r="T11" t="n">
        <v>0</v>
      </c>
      <c r="U11" t="n">
        <v>0</v>
      </c>
      <c r="V11" t="n">
        <v>0</v>
      </c>
      <c r="W11" t="n">
        <v>0</v>
      </c>
    </row>
    <row r="12">
      <c r="A12" t="inlineStr">
        <is>
          <t>Fulham</t>
        </is>
      </c>
      <c r="B12" t="inlineStr">
        <is>
          <t>FUL</t>
        </is>
      </c>
      <c r="C12" t="n">
        <v>38</v>
      </c>
      <c r="D12" t="n">
        <v>49.58108499999999</v>
      </c>
      <c r="E12" t="n">
        <v>60.84382300000001</v>
      </c>
      <c r="F12" t="n">
        <v>45.775238</v>
      </c>
      <c r="G12" t="n">
        <v>57.79914</v>
      </c>
      <c r="H12" t="n">
        <v>47</v>
      </c>
      <c r="I12" t="n">
        <v>51</v>
      </c>
      <c r="J12" t="n">
        <v>295</v>
      </c>
      <c r="K12" t="n">
        <v>257</v>
      </c>
      <c r="L12" t="n">
        <v>45.0773</v>
      </c>
      <c r="M12" t="n">
        <v>9</v>
      </c>
      <c r="N12" t="n">
        <v>0.2368</v>
      </c>
      <c r="O12" t="n">
        <v>10</v>
      </c>
      <c r="P12" t="inlineStr">
        <is>
          <t>Fulham</t>
        </is>
      </c>
      <c r="Q12" t="inlineStr">
        <is>
          <t>FUL</t>
        </is>
      </c>
      <c r="R12" t="n">
        <v>2</v>
      </c>
      <c r="S12" t="n">
        <v>3</v>
      </c>
      <c r="T12" t="n">
        <v>0</v>
      </c>
      <c r="U12" t="n">
        <v>0</v>
      </c>
      <c r="V12" t="n">
        <v>0</v>
      </c>
      <c r="W12" t="n">
        <v>0</v>
      </c>
    </row>
    <row r="13">
      <c r="O13" t="n">
        <v>11</v>
      </c>
      <c r="P13" t="inlineStr">
        <is>
          <t>Hull City</t>
        </is>
      </c>
      <c r="Q13" t="inlineStr">
        <is>
          <t>HUL</t>
        </is>
      </c>
      <c r="R13" t="n">
        <v>2</v>
      </c>
      <c r="S13" t="n">
        <v>2</v>
      </c>
      <c r="T13" t="n">
        <v>0</v>
      </c>
      <c r="U13" t="n">
        <v>0</v>
      </c>
      <c r="V13" t="n">
        <v>0</v>
      </c>
      <c r="W13" t="n">
        <v>0</v>
      </c>
    </row>
    <row r="14">
      <c r="O14" t="n">
        <v>12</v>
      </c>
      <c r="P14" t="inlineStr">
        <is>
          <t>Ipswich Town</t>
        </is>
      </c>
      <c r="Q14" t="inlineStr">
        <is>
          <t>IPS</t>
        </is>
      </c>
      <c r="R14" t="n">
        <v>2</v>
      </c>
      <c r="S14" t="n">
        <v>2</v>
      </c>
      <c r="T14" t="n">
        <v>0</v>
      </c>
      <c r="U14" t="n">
        <v>0</v>
      </c>
      <c r="V14" t="n">
        <v>0</v>
      </c>
      <c r="W14" t="n">
        <v>0</v>
      </c>
    </row>
    <row r="15">
      <c r="A15" t="inlineStr">
        <is>
          <t>Leeds</t>
        </is>
      </c>
      <c r="B15" t="inlineStr">
        <is>
          <t>LEE</t>
        </is>
      </c>
      <c r="C15" t="n">
        <v>38</v>
      </c>
      <c r="D15" t="n">
        <v>59.77065</v>
      </c>
      <c r="E15" t="n">
        <v>56.32590999999999</v>
      </c>
      <c r="F15" t="n">
        <v>53.53135299999999</v>
      </c>
      <c r="G15" t="n">
        <v>51.75889859999999</v>
      </c>
      <c r="H15" t="n">
        <v>49</v>
      </c>
      <c r="I15" t="n">
        <v>56</v>
      </c>
      <c r="J15" t="n">
        <v>200</v>
      </c>
      <c r="K15" t="n">
        <v>238</v>
      </c>
      <c r="L15" t="n">
        <v>56.49570000000001</v>
      </c>
      <c r="M15" t="n">
        <v>8</v>
      </c>
      <c r="N15" t="n">
        <v>0.2105</v>
      </c>
      <c r="O15" t="n">
        <v>13</v>
      </c>
      <c r="P15" t="inlineStr">
        <is>
          <t>Leeds</t>
        </is>
      </c>
      <c r="Q15" t="inlineStr">
        <is>
          <t>LEE</t>
        </is>
      </c>
      <c r="R15" t="n">
        <v>2</v>
      </c>
      <c r="S15" t="n">
        <v>3</v>
      </c>
      <c r="T15" t="n">
        <v>0</v>
      </c>
      <c r="U15" t="n">
        <v>0</v>
      </c>
      <c r="V15" t="n">
        <v>0</v>
      </c>
      <c r="W15" t="n">
        <v>0</v>
      </c>
    </row>
    <row r="16">
      <c r="A16" t="inlineStr">
        <is>
          <t>Liverpool</t>
        </is>
      </c>
      <c r="B16" t="inlineStr">
        <is>
          <t>LIV</t>
        </is>
      </c>
      <c r="C16" t="n">
        <v>38</v>
      </c>
      <c r="D16" t="n">
        <v>67.25873199999999</v>
      </c>
      <c r="E16" t="n">
        <v>53.86980199999999</v>
      </c>
      <c r="F16" t="n">
        <v>65.736392</v>
      </c>
      <c r="G16" t="n">
        <v>50.825129</v>
      </c>
      <c r="H16" t="n">
        <v>63</v>
      </c>
      <c r="I16" t="n">
        <v>53</v>
      </c>
      <c r="J16" t="n">
        <v>373</v>
      </c>
      <c r="K16" t="n">
        <v>214</v>
      </c>
      <c r="L16" t="n">
        <v>61.5376</v>
      </c>
      <c r="M16" t="n">
        <v>10</v>
      </c>
      <c r="N16" t="n">
        <v>0.2632</v>
      </c>
      <c r="O16" t="n">
        <v>14</v>
      </c>
      <c r="P16" t="inlineStr">
        <is>
          <t>Liverpool</t>
        </is>
      </c>
      <c r="Q16" t="inlineStr">
        <is>
          <t>LIV</t>
        </is>
      </c>
      <c r="R16" t="n">
        <v>4</v>
      </c>
      <c r="S16" t="n">
        <v>4</v>
      </c>
      <c r="T16" t="n">
        <v>0</v>
      </c>
      <c r="U16" t="n">
        <v>0</v>
      </c>
      <c r="V16" t="n">
        <v>0</v>
      </c>
      <c r="W16" t="n">
        <v>0</v>
      </c>
    </row>
    <row r="17">
      <c r="A17" t="inlineStr">
        <is>
          <t>Manchester City</t>
        </is>
      </c>
      <c r="B17" t="inlineStr">
        <is>
          <t>MCI</t>
        </is>
      </c>
      <c r="C17" t="n">
        <v>38</v>
      </c>
      <c r="D17" t="n">
        <v>79.359555</v>
      </c>
      <c r="E17" t="n">
        <v>46.49260200000001</v>
      </c>
      <c r="F17" t="n">
        <v>76.314868</v>
      </c>
      <c r="G17" t="n">
        <v>44.82027900000001</v>
      </c>
      <c r="H17" t="n">
        <v>77</v>
      </c>
      <c r="I17" t="n">
        <v>35</v>
      </c>
      <c r="J17" t="n">
        <v>409</v>
      </c>
      <c r="K17" t="n">
        <v>162</v>
      </c>
      <c r="L17" t="n">
        <v>73.94540000000001</v>
      </c>
      <c r="M17" t="n">
        <v>16</v>
      </c>
      <c r="N17" t="n">
        <v>0.4211</v>
      </c>
      <c r="O17" t="n">
        <v>15</v>
      </c>
      <c r="P17" t="inlineStr">
        <is>
          <t>Man City</t>
        </is>
      </c>
      <c r="Q17" t="inlineStr">
        <is>
          <t>MCI</t>
        </is>
      </c>
      <c r="R17" t="n">
        <v>4</v>
      </c>
      <c r="S17" t="n">
        <v>5</v>
      </c>
      <c r="T17" t="n">
        <v>0</v>
      </c>
      <c r="U17" t="n">
        <v>0</v>
      </c>
      <c r="V17" t="n">
        <v>0</v>
      </c>
      <c r="W17" t="n">
        <v>0</v>
      </c>
    </row>
    <row r="18">
      <c r="A18" t="inlineStr">
        <is>
          <t>Manchester United</t>
        </is>
      </c>
      <c r="B18" t="inlineStr">
        <is>
          <t>MUN</t>
        </is>
      </c>
      <c r="C18" t="n">
        <v>38</v>
      </c>
      <c r="D18" t="n">
        <v>72.18837000000001</v>
      </c>
      <c r="E18" t="n">
        <v>50.281424</v>
      </c>
      <c r="F18" t="n">
        <v>67.621346</v>
      </c>
      <c r="G18" t="n">
        <v>47.236744</v>
      </c>
      <c r="H18" t="n">
        <v>69</v>
      </c>
      <c r="I18" t="n">
        <v>50</v>
      </c>
      <c r="J18" t="n">
        <v>285</v>
      </c>
      <c r="K18" t="n">
        <v>266</v>
      </c>
      <c r="L18" t="n">
        <v>64.446</v>
      </c>
      <c r="M18" t="n">
        <v>8</v>
      </c>
      <c r="N18" t="n">
        <v>0.2105</v>
      </c>
      <c r="O18" t="n">
        <v>16</v>
      </c>
      <c r="P18" t="inlineStr">
        <is>
          <t>Man Utd</t>
        </is>
      </c>
      <c r="Q18" t="inlineStr">
        <is>
          <t>MUN</t>
        </is>
      </c>
      <c r="R18" t="n">
        <v>4</v>
      </c>
      <c r="S18" t="n">
        <v>4</v>
      </c>
      <c r="T18" t="n">
        <v>0</v>
      </c>
      <c r="U18" t="n">
        <v>0</v>
      </c>
      <c r="V18" t="n">
        <v>0</v>
      </c>
      <c r="W18" t="n">
        <v>0</v>
      </c>
    </row>
    <row r="19">
      <c r="A19" t="inlineStr">
        <is>
          <t>Newcastle United</t>
        </is>
      </c>
      <c r="B19" t="inlineStr">
        <is>
          <t>NEW</t>
        </is>
      </c>
      <c r="C19" t="n">
        <v>38</v>
      </c>
      <c r="D19" t="n">
        <v>60.613249</v>
      </c>
      <c r="E19" t="n">
        <v>57.312037</v>
      </c>
      <c r="F19" t="n">
        <v>56.046229</v>
      </c>
      <c r="G19" t="n">
        <v>53.50619099999999</v>
      </c>
      <c r="H19" t="n">
        <v>53</v>
      </c>
      <c r="I19" t="n">
        <v>55</v>
      </c>
      <c r="J19" t="n">
        <v>274</v>
      </c>
      <c r="K19" t="n">
        <v>280</v>
      </c>
      <c r="L19" t="n">
        <v>54.83329999999999</v>
      </c>
      <c r="M19" t="n">
        <v>8</v>
      </c>
      <c r="N19" t="n">
        <v>0.2105</v>
      </c>
      <c r="O19" t="n">
        <v>17</v>
      </c>
      <c r="P19" t="inlineStr">
        <is>
          <t>Newcastle</t>
        </is>
      </c>
      <c r="Q19" t="inlineStr">
        <is>
          <t>NEW</t>
        </is>
      </c>
      <c r="R19" t="n">
        <v>2</v>
      </c>
      <c r="S19" t="n">
        <v>3</v>
      </c>
      <c r="T19" t="n">
        <v>0</v>
      </c>
      <c r="U19" t="n">
        <v>0</v>
      </c>
      <c r="V19" t="n">
        <v>0</v>
      </c>
      <c r="W19" t="n">
        <v>0</v>
      </c>
    </row>
    <row r="20">
      <c r="A20" t="inlineStr">
        <is>
          <t>Nottingham Forest</t>
        </is>
      </c>
      <c r="B20" t="inlineStr">
        <is>
          <t>NFO</t>
        </is>
      </c>
      <c r="C20" t="n">
        <v>38</v>
      </c>
      <c r="D20" t="n">
        <v>48.936246</v>
      </c>
      <c r="E20" t="n">
        <v>64.739616</v>
      </c>
      <c r="F20" t="n">
        <v>46.652752</v>
      </c>
      <c r="G20" t="n">
        <v>60.172594</v>
      </c>
      <c r="H20" t="n">
        <v>48</v>
      </c>
      <c r="I20" t="n">
        <v>51</v>
      </c>
      <c r="J20" t="n">
        <v>210</v>
      </c>
      <c r="K20" t="n">
        <v>294</v>
      </c>
      <c r="L20" t="n">
        <v>42.24149999999999</v>
      </c>
      <c r="M20" t="n">
        <v>9</v>
      </c>
      <c r="N20" t="n">
        <v>0.2368</v>
      </c>
      <c r="O20" t="n">
        <v>18</v>
      </c>
      <c r="P20" t="inlineStr">
        <is>
          <t>Nott'm Forest</t>
        </is>
      </c>
      <c r="Q20" t="inlineStr">
        <is>
          <t>NFO</t>
        </is>
      </c>
      <c r="R20" t="n">
        <v>3</v>
      </c>
      <c r="S20" t="n">
        <v>3</v>
      </c>
      <c r="T20" t="n">
        <v>0</v>
      </c>
      <c r="U20" t="n">
        <v>0</v>
      </c>
      <c r="V20" t="n">
        <v>0</v>
      </c>
      <c r="W20" t="n">
        <v>0</v>
      </c>
    </row>
    <row r="21">
      <c r="A21" t="inlineStr">
        <is>
          <t>Sunderland</t>
        </is>
      </c>
      <c r="B21" t="inlineStr">
        <is>
          <t>SUN</t>
        </is>
      </c>
      <c r="C21" t="n">
        <v>38</v>
      </c>
      <c r="D21" t="n">
        <v>43.13638100000001</v>
      </c>
      <c r="E21" t="n">
        <v>60.336975</v>
      </c>
      <c r="F21" t="n">
        <v>39.33057460000001</v>
      </c>
      <c r="G21" t="n">
        <v>58.053469</v>
      </c>
      <c r="H21" t="n">
        <v>42</v>
      </c>
      <c r="I21" t="n">
        <v>48</v>
      </c>
      <c r="J21" t="n">
        <v>212</v>
      </c>
      <c r="K21" t="n">
        <v>305</v>
      </c>
      <c r="L21" t="n">
        <v>42.02859999999999</v>
      </c>
      <c r="M21" t="n">
        <v>11</v>
      </c>
      <c r="N21" t="n">
        <v>0.2895</v>
      </c>
      <c r="O21" t="n">
        <v>20</v>
      </c>
      <c r="P21" t="inlineStr">
        <is>
          <t>Sunderland</t>
        </is>
      </c>
      <c r="Q21" t="inlineStr">
        <is>
          <t>SUN</t>
        </is>
      </c>
      <c r="R21" t="n">
        <v>2</v>
      </c>
      <c r="S21" t="n">
        <v>3</v>
      </c>
      <c r="T21" t="n">
        <v>0</v>
      </c>
      <c r="U21" t="n">
        <v>0</v>
      </c>
      <c r="V21" t="n">
        <v>0</v>
      </c>
      <c r="W21" t="n">
        <v>0</v>
      </c>
    </row>
    <row r="22">
      <c r="A22" t="inlineStr">
        <is>
          <t>Tottenham</t>
        </is>
      </c>
      <c r="B22" t="inlineStr">
        <is>
          <t>TOT</t>
        </is>
      </c>
      <c r="C22" t="n">
        <v>38</v>
      </c>
      <c r="D22" t="n">
        <v>46.7962522</v>
      </c>
      <c r="E22" t="n">
        <v>55.590944</v>
      </c>
      <c r="F22" t="n">
        <v>46.7962522</v>
      </c>
      <c r="G22" t="n">
        <v>53.307434</v>
      </c>
      <c r="H22" t="n">
        <v>48</v>
      </c>
      <c r="I22" t="n">
        <v>57</v>
      </c>
      <c r="J22" t="n">
        <v>206</v>
      </c>
      <c r="K22" t="n">
        <v>257</v>
      </c>
      <c r="L22" t="n">
        <v>49.2538</v>
      </c>
      <c r="M22" t="n">
        <v>9</v>
      </c>
      <c r="N22" t="n">
        <v>0.2368</v>
      </c>
      <c r="O22" t="n">
        <v>19</v>
      </c>
      <c r="P22" t="inlineStr">
        <is>
          <t>Spurs</t>
        </is>
      </c>
      <c r="Q22" t="inlineStr">
        <is>
          <t>TOT</t>
        </is>
      </c>
      <c r="R22" t="n">
        <v>3</v>
      </c>
      <c r="S22" t="n">
        <v>3</v>
      </c>
      <c r="T22" t="n">
        <v>0</v>
      </c>
      <c r="U22" t="n">
        <v>0</v>
      </c>
      <c r="V22" t="n">
        <v>0</v>
      </c>
      <c r="W22" t="n">
        <v>0</v>
      </c>
    </row>
    <row r="23">
      <c r="A23" t="inlineStr">
        <is>
          <t>West Ham</t>
        </is>
      </c>
      <c r="B23" t="inlineStr">
        <is>
          <t>WHU</t>
        </is>
      </c>
      <c r="C23" t="n">
        <v>38</v>
      </c>
      <c r="D23" t="n">
        <v>49.640421</v>
      </c>
      <c r="E23" t="n">
        <v>68.116145</v>
      </c>
      <c r="F23" t="n">
        <v>47.356911</v>
      </c>
      <c r="G23" t="n">
        <v>62.78797099999999</v>
      </c>
      <c r="H23" t="n">
        <v>46</v>
      </c>
      <c r="I23" t="n">
        <v>65</v>
      </c>
      <c r="J23" t="n">
        <v>186</v>
      </c>
      <c r="K23" t="n">
        <v>290</v>
      </c>
      <c r="L23" t="n">
        <v>43.48990000000001</v>
      </c>
      <c r="M23" t="n">
        <v>7</v>
      </c>
      <c r="N23" t="n">
        <v>0.1842</v>
      </c>
    </row>
    <row r="24">
      <c r="A24" t="inlineStr">
        <is>
          <t>Wolverhampton Wanderers</t>
        </is>
      </c>
      <c r="B24" t="inlineStr">
        <is>
          <t>WOL</t>
        </is>
      </c>
      <c r="C24" t="n">
        <v>38</v>
      </c>
      <c r="D24" t="n">
        <v>38.441391</v>
      </c>
      <c r="E24" t="n">
        <v>68.30399400000002</v>
      </c>
      <c r="F24" t="n">
        <v>34.635544</v>
      </c>
      <c r="G24" t="n">
        <v>64.49818900000001</v>
      </c>
      <c r="H24" t="n">
        <v>27</v>
      </c>
      <c r="I24" t="n">
        <v>68</v>
      </c>
      <c r="J24" t="n">
        <v>172</v>
      </c>
      <c r="K24" t="n">
        <v>303</v>
      </c>
      <c r="L24" t="n">
        <v>35.4384</v>
      </c>
      <c r="M24" t="n">
        <v>4</v>
      </c>
      <c r="N24" t="n">
        <v>0.1053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</t>
        </is>
      </c>
      <c r="B1" t="inlineStr">
        <is>
          <t>kickoff_time</t>
        </is>
      </c>
      <c r="C1" t="inlineStr">
        <is>
          <t>team_h</t>
        </is>
      </c>
      <c r="D1" t="inlineStr">
        <is>
          <t>team_a</t>
        </is>
      </c>
      <c r="E1" t="inlineStr">
        <is>
          <t>team_h_difficulty</t>
        </is>
      </c>
      <c r="F1" t="inlineStr">
        <is>
          <t>team_a_difficulty</t>
        </is>
      </c>
      <c r="G1" t="inlineStr">
        <is>
          <t>home</t>
        </is>
      </c>
      <c r="H1" t="inlineStr">
        <is>
          <t>away</t>
        </is>
      </c>
    </row>
    <row r="2">
      <c r="A2" t="n">
        <v>1</v>
      </c>
      <c r="B2" t="inlineStr">
        <is>
          <t>2026-08-21T19:00:00Z</t>
        </is>
      </c>
      <c r="C2" t="n">
        <v>1</v>
      </c>
      <c r="D2" t="n">
        <v>7</v>
      </c>
      <c r="E2" t="n">
        <v>2</v>
      </c>
      <c r="F2" t="n">
        <v>5</v>
      </c>
      <c r="G2" t="inlineStr">
        <is>
          <t>ARS</t>
        </is>
      </c>
      <c r="H2" t="inlineStr">
        <is>
          <t>COV</t>
        </is>
      </c>
    </row>
    <row r="3">
      <c r="A3" t="n">
        <v>1</v>
      </c>
      <c r="B3" t="inlineStr">
        <is>
          <t>2026-08-22T11:30:00Z</t>
        </is>
      </c>
      <c r="C3" t="n">
        <v>11</v>
      </c>
      <c r="D3" t="n">
        <v>16</v>
      </c>
      <c r="E3" t="n">
        <v>4</v>
      </c>
      <c r="F3" t="n">
        <v>2</v>
      </c>
      <c r="G3" t="inlineStr">
        <is>
          <t>HUL</t>
        </is>
      </c>
      <c r="H3" t="inlineStr">
        <is>
          <t>MUN</t>
        </is>
      </c>
    </row>
    <row r="4">
      <c r="A4" t="n">
        <v>1</v>
      </c>
      <c r="B4" t="inlineStr">
        <is>
          <t>2026-08-22T14:00:00Z</t>
        </is>
      </c>
      <c r="C4" t="n">
        <v>9</v>
      </c>
      <c r="D4" t="n">
        <v>8</v>
      </c>
      <c r="E4" t="n">
        <v>3</v>
      </c>
      <c r="F4" t="n">
        <v>3</v>
      </c>
      <c r="G4" t="inlineStr">
        <is>
          <t>EVE</t>
        </is>
      </c>
      <c r="H4" t="inlineStr">
        <is>
          <t>CRY</t>
        </is>
      </c>
    </row>
    <row r="5">
      <c r="A5" t="n">
        <v>1</v>
      </c>
      <c r="B5" t="inlineStr">
        <is>
          <t>2026-08-22T14:00:00Z</t>
        </is>
      </c>
      <c r="C5" t="n">
        <v>12</v>
      </c>
      <c r="D5" t="n">
        <v>20</v>
      </c>
      <c r="E5" t="n">
        <v>2</v>
      </c>
      <c r="F5" t="n">
        <v>2</v>
      </c>
      <c r="G5" t="inlineStr">
        <is>
          <t>IPS</t>
        </is>
      </c>
      <c r="H5" t="inlineStr">
        <is>
          <t>SUN</t>
        </is>
      </c>
    </row>
    <row r="6">
      <c r="A6" t="n">
        <v>1</v>
      </c>
      <c r="B6" t="inlineStr">
        <is>
          <t>2026-08-22T14:00:00Z</t>
        </is>
      </c>
      <c r="C6" t="n">
        <v>18</v>
      </c>
      <c r="D6" t="n">
        <v>13</v>
      </c>
      <c r="E6" t="n">
        <v>2</v>
      </c>
      <c r="F6" t="n">
        <v>3</v>
      </c>
      <c r="G6" t="inlineStr">
        <is>
          <t>NFO</t>
        </is>
      </c>
      <c r="H6" t="inlineStr">
        <is>
          <t>LEE</t>
        </is>
      </c>
    </row>
    <row r="7">
      <c r="A7" t="n">
        <v>1</v>
      </c>
      <c r="B7" t="inlineStr">
        <is>
          <t>2026-08-22T16:30:00Z</t>
        </is>
      </c>
      <c r="C7" t="n">
        <v>4</v>
      </c>
      <c r="D7" t="n">
        <v>19</v>
      </c>
      <c r="E7" t="n">
        <v>3</v>
      </c>
      <c r="F7" t="n">
        <v>3</v>
      </c>
      <c r="G7" t="inlineStr">
        <is>
          <t>BRE</t>
        </is>
      </c>
      <c r="H7" t="inlineStr">
        <is>
          <t>TOT</t>
        </is>
      </c>
    </row>
    <row r="8">
      <c r="A8" t="n">
        <v>1</v>
      </c>
      <c r="B8" t="inlineStr">
        <is>
          <t>2026-08-23T13:00:00Z</t>
        </is>
      </c>
      <c r="C8" t="n">
        <v>5</v>
      </c>
      <c r="D8" t="n">
        <v>2</v>
      </c>
      <c r="E8" t="n">
        <v>3</v>
      </c>
      <c r="F8" t="n">
        <v>3</v>
      </c>
      <c r="G8" t="inlineStr">
        <is>
          <t>BHA</t>
        </is>
      </c>
      <c r="H8" t="inlineStr">
        <is>
          <t>AVL</t>
        </is>
      </c>
    </row>
    <row r="9">
      <c r="A9" t="n">
        <v>1</v>
      </c>
      <c r="B9" t="inlineStr">
        <is>
          <t>2026-08-23T13:00:00Z</t>
        </is>
      </c>
      <c r="C9" t="n">
        <v>15</v>
      </c>
      <c r="D9" t="n">
        <v>3</v>
      </c>
      <c r="E9" t="n">
        <v>3</v>
      </c>
      <c r="F9" t="n">
        <v>5</v>
      </c>
      <c r="G9" t="inlineStr">
        <is>
          <t>MCI</t>
        </is>
      </c>
      <c r="H9" t="inlineStr">
        <is>
          <t>BOU</t>
        </is>
      </c>
    </row>
    <row r="10">
      <c r="A10" t="n">
        <v>1</v>
      </c>
      <c r="B10" t="inlineStr">
        <is>
          <t>2026-08-23T15:30:00Z</t>
        </is>
      </c>
      <c r="C10" t="n">
        <v>17</v>
      </c>
      <c r="D10" t="n">
        <v>14</v>
      </c>
      <c r="E10" t="n">
        <v>4</v>
      </c>
      <c r="F10" t="n">
        <v>3</v>
      </c>
      <c r="G10" t="inlineStr">
        <is>
          <t>NEW</t>
        </is>
      </c>
      <c r="H10" t="inlineStr">
        <is>
          <t>LIV</t>
        </is>
      </c>
    </row>
    <row r="11">
      <c r="A11" t="n">
        <v>1</v>
      </c>
      <c r="B11" t="inlineStr">
        <is>
          <t>2026-08-24T19:00:00Z</t>
        </is>
      </c>
      <c r="C11" t="n">
        <v>10</v>
      </c>
      <c r="D11" t="n">
        <v>6</v>
      </c>
      <c r="E11" t="n">
        <v>4</v>
      </c>
      <c r="F11" t="n">
        <v>3</v>
      </c>
      <c r="G11" t="inlineStr">
        <is>
          <t>FUL</t>
        </is>
      </c>
      <c r="H11" t="inlineStr">
        <is>
          <t>CHE</t>
        </is>
      </c>
    </row>
    <row r="12">
      <c r="A12" t="n">
        <v>2</v>
      </c>
      <c r="B12" t="inlineStr">
        <is>
          <t>2026-08-28T19:00:00Z</t>
        </is>
      </c>
      <c r="C12" t="n">
        <v>8</v>
      </c>
      <c r="D12" t="n">
        <v>15</v>
      </c>
      <c r="E12" t="n">
        <v>4</v>
      </c>
      <c r="F12" t="n">
        <v>3</v>
      </c>
      <c r="G12" t="inlineStr">
        <is>
          <t>CRY</t>
        </is>
      </c>
      <c r="H12" t="inlineStr">
        <is>
          <t>MCI</t>
        </is>
      </c>
    </row>
    <row r="13">
      <c r="A13" t="n">
        <v>2</v>
      </c>
      <c r="B13" t="inlineStr">
        <is>
          <t>2026-08-29T11:30:00Z</t>
        </is>
      </c>
      <c r="C13" t="n">
        <v>14</v>
      </c>
      <c r="D13" t="n">
        <v>18</v>
      </c>
      <c r="E13" t="n">
        <v>3</v>
      </c>
      <c r="F13" t="n">
        <v>4</v>
      </c>
      <c r="G13" t="inlineStr">
        <is>
          <t>LIV</t>
        </is>
      </c>
      <c r="H13" t="inlineStr">
        <is>
          <t>NFO</t>
        </is>
      </c>
    </row>
    <row r="14">
      <c r="A14" t="n">
        <v>2</v>
      </c>
      <c r="B14" t="inlineStr">
        <is>
          <t>2026-08-29T14:00:00Z</t>
        </is>
      </c>
      <c r="C14" t="n">
        <v>3</v>
      </c>
      <c r="D14" t="n">
        <v>9</v>
      </c>
      <c r="E14" t="n">
        <v>3</v>
      </c>
      <c r="F14" t="n">
        <v>3</v>
      </c>
      <c r="G14" t="inlineStr">
        <is>
          <t>BOU</t>
        </is>
      </c>
      <c r="H14" t="inlineStr">
        <is>
          <t>EVE</t>
        </is>
      </c>
    </row>
    <row r="15">
      <c r="A15" t="n">
        <v>2</v>
      </c>
      <c r="B15" t="inlineStr">
        <is>
          <t>2026-08-29T14:00:00Z</t>
        </is>
      </c>
      <c r="C15" t="n">
        <v>7</v>
      </c>
      <c r="D15" t="n">
        <v>11</v>
      </c>
      <c r="E15" t="n">
        <v>2</v>
      </c>
      <c r="F15" t="n">
        <v>2</v>
      </c>
      <c r="G15" t="inlineStr">
        <is>
          <t>COV</t>
        </is>
      </c>
      <c r="H15" t="inlineStr">
        <is>
          <t>HUL</t>
        </is>
      </c>
    </row>
    <row r="16">
      <c r="A16" t="n">
        <v>2</v>
      </c>
      <c r="B16" t="inlineStr">
        <is>
          <t>2026-08-29T16:30:00Z</t>
        </is>
      </c>
      <c r="C16" t="n">
        <v>19</v>
      </c>
      <c r="D16" t="n">
        <v>17</v>
      </c>
      <c r="E16" t="n">
        <v>2</v>
      </c>
      <c r="F16" t="n">
        <v>3</v>
      </c>
      <c r="G16" t="inlineStr">
        <is>
          <t>TOT</t>
        </is>
      </c>
      <c r="H16" t="inlineStr">
        <is>
          <t>NEW</t>
        </is>
      </c>
    </row>
    <row r="17">
      <c r="A17" t="n">
        <v>2</v>
      </c>
      <c r="B17" t="inlineStr">
        <is>
          <t>2026-08-30T13:00:00Z</t>
        </is>
      </c>
      <c r="C17" t="n">
        <v>6</v>
      </c>
      <c r="D17" t="n">
        <v>5</v>
      </c>
      <c r="E17" t="n">
        <v>2</v>
      </c>
      <c r="F17" t="n">
        <v>4</v>
      </c>
      <c r="G17" t="inlineStr">
        <is>
          <t>CHE</t>
        </is>
      </c>
      <c r="H17" t="inlineStr">
        <is>
          <t>BHA</t>
        </is>
      </c>
    </row>
    <row r="18">
      <c r="A18" t="n">
        <v>2</v>
      </c>
      <c r="B18" t="inlineStr">
        <is>
          <t>2026-08-30T13:00:00Z</t>
        </is>
      </c>
      <c r="C18" t="n">
        <v>13</v>
      </c>
      <c r="D18" t="n">
        <v>4</v>
      </c>
      <c r="E18" t="n">
        <v>3</v>
      </c>
      <c r="F18" t="n">
        <v>3</v>
      </c>
      <c r="G18" t="inlineStr">
        <is>
          <t>LEE</t>
        </is>
      </c>
      <c r="H18" t="inlineStr">
        <is>
          <t>BRE</t>
        </is>
      </c>
    </row>
    <row r="19">
      <c r="A19" t="n">
        <v>2</v>
      </c>
      <c r="B19" t="inlineStr">
        <is>
          <t>2026-08-30T13:00:00Z</t>
        </is>
      </c>
      <c r="C19" t="n">
        <v>20</v>
      </c>
      <c r="D19" t="n">
        <v>10</v>
      </c>
      <c r="E19" t="n">
        <v>2</v>
      </c>
      <c r="F19" t="n">
        <v>3</v>
      </c>
      <c r="G19" t="inlineStr">
        <is>
          <t>SUN</t>
        </is>
      </c>
      <c r="H19" t="inlineStr">
        <is>
          <t>FUL</t>
        </is>
      </c>
    </row>
    <row r="20">
      <c r="A20" t="n">
        <v>2</v>
      </c>
      <c r="B20" t="inlineStr">
        <is>
          <t>2026-08-30T15:30:00Z</t>
        </is>
      </c>
      <c r="C20" t="n">
        <v>16</v>
      </c>
      <c r="D20" t="n">
        <v>12</v>
      </c>
      <c r="E20" t="n">
        <v>2</v>
      </c>
      <c r="F20" t="n">
        <v>4</v>
      </c>
      <c r="G20" t="inlineStr">
        <is>
          <t>MUN</t>
        </is>
      </c>
      <c r="H20" t="inlineStr">
        <is>
          <t>IPS</t>
        </is>
      </c>
    </row>
    <row r="21">
      <c r="A21" t="n">
        <v>2</v>
      </c>
      <c r="B21" t="inlineStr">
        <is>
          <t>2026-08-31T19:00:00Z</t>
        </is>
      </c>
      <c r="C21" t="n">
        <v>2</v>
      </c>
      <c r="D21" t="n">
        <v>1</v>
      </c>
      <c r="E21" t="n">
        <v>4</v>
      </c>
      <c r="F21" t="n">
        <v>4</v>
      </c>
      <c r="G21" t="inlineStr">
        <is>
          <t>AVL</t>
        </is>
      </c>
      <c r="H21" t="inlineStr">
        <is>
          <t>ARS</t>
        </is>
      </c>
    </row>
    <row r="22">
      <c r="A22" t="n">
        <v>3</v>
      </c>
      <c r="B22" t="inlineStr">
        <is>
          <t>2026-09-04T19:00:00Z</t>
        </is>
      </c>
      <c r="C22" t="n">
        <v>12</v>
      </c>
      <c r="D22" t="n">
        <v>14</v>
      </c>
      <c r="E22" t="n">
        <v>4</v>
      </c>
      <c r="F22" t="n">
        <v>2</v>
      </c>
      <c r="G22" t="inlineStr">
        <is>
          <t>IPS</t>
        </is>
      </c>
      <c r="H22" t="inlineStr">
        <is>
          <t>LIV</t>
        </is>
      </c>
    </row>
    <row r="23">
      <c r="A23" t="n">
        <v>3</v>
      </c>
      <c r="B23" t="inlineStr">
        <is>
          <t>2026-09-05T11:30:00Z</t>
        </is>
      </c>
      <c r="C23" t="n">
        <v>17</v>
      </c>
      <c r="D23" t="n">
        <v>3</v>
      </c>
      <c r="E23" t="n">
        <v>3</v>
      </c>
      <c r="F23" t="n">
        <v>3</v>
      </c>
      <c r="G23" t="inlineStr">
        <is>
          <t>NEW</t>
        </is>
      </c>
      <c r="H23" t="inlineStr">
        <is>
          <t>BOU</t>
        </is>
      </c>
    </row>
    <row r="24">
      <c r="A24" t="n">
        <v>3</v>
      </c>
      <c r="B24" t="inlineStr">
        <is>
          <t>2026-09-05T14:00:00Z</t>
        </is>
      </c>
      <c r="C24" t="n">
        <v>4</v>
      </c>
      <c r="D24" t="n">
        <v>20</v>
      </c>
      <c r="E24" t="n">
        <v>2</v>
      </c>
      <c r="F24" t="n">
        <v>3</v>
      </c>
      <c r="G24" t="inlineStr">
        <is>
          <t>BRE</t>
        </is>
      </c>
      <c r="H24" t="inlineStr">
        <is>
          <t>SUN</t>
        </is>
      </c>
    </row>
    <row r="25">
      <c r="A25" t="n">
        <v>3</v>
      </c>
      <c r="B25" t="inlineStr">
        <is>
          <t>2026-09-05T14:00:00Z</t>
        </is>
      </c>
      <c r="C25" t="n">
        <v>5</v>
      </c>
      <c r="D25" t="n">
        <v>13</v>
      </c>
      <c r="E25" t="n">
        <v>2</v>
      </c>
      <c r="F25" t="n">
        <v>3</v>
      </c>
      <c r="G25" t="inlineStr">
        <is>
          <t>BHA</t>
        </is>
      </c>
      <c r="H25" t="inlineStr">
        <is>
          <t>LEE</t>
        </is>
      </c>
    </row>
    <row r="26">
      <c r="A26" t="n">
        <v>3</v>
      </c>
      <c r="B26" t="inlineStr">
        <is>
          <t>2026-09-05T14:00:00Z</t>
        </is>
      </c>
      <c r="C26" t="n">
        <v>10</v>
      </c>
      <c r="D26" t="n">
        <v>8</v>
      </c>
      <c r="E26" t="n">
        <v>3</v>
      </c>
      <c r="F26" t="n">
        <v>3</v>
      </c>
      <c r="G26" t="inlineStr">
        <is>
          <t>FUL</t>
        </is>
      </c>
      <c r="H26" t="inlineStr">
        <is>
          <t>CRY</t>
        </is>
      </c>
    </row>
    <row r="27">
      <c r="A27" t="n">
        <v>3</v>
      </c>
      <c r="B27" t="inlineStr">
        <is>
          <t>2026-09-05T14:00:00Z</t>
        </is>
      </c>
      <c r="C27" t="n">
        <v>15</v>
      </c>
      <c r="D27" t="n">
        <v>7</v>
      </c>
      <c r="E27" t="n">
        <v>2</v>
      </c>
      <c r="F27" t="n">
        <v>5</v>
      </c>
      <c r="G27" t="inlineStr">
        <is>
          <t>MCI</t>
        </is>
      </c>
      <c r="H27" t="inlineStr">
        <is>
          <t>COV</t>
        </is>
      </c>
    </row>
    <row r="28">
      <c r="A28" t="n">
        <v>3</v>
      </c>
      <c r="B28" t="inlineStr">
        <is>
          <t>2026-09-05T14:00:00Z</t>
        </is>
      </c>
      <c r="C28" t="n">
        <v>18</v>
      </c>
      <c r="D28" t="n">
        <v>19</v>
      </c>
      <c r="E28" t="n">
        <v>3</v>
      </c>
      <c r="F28" t="n">
        <v>3</v>
      </c>
      <c r="G28" t="inlineStr">
        <is>
          <t>NFO</t>
        </is>
      </c>
      <c r="H28" t="inlineStr">
        <is>
          <t>TOT</t>
        </is>
      </c>
    </row>
    <row r="29">
      <c r="A29" t="n">
        <v>3</v>
      </c>
      <c r="B29" t="inlineStr">
        <is>
          <t>2026-09-05T16:30:00Z</t>
        </is>
      </c>
      <c r="C29" t="n">
        <v>11</v>
      </c>
      <c r="D29" t="n">
        <v>2</v>
      </c>
      <c r="E29" t="n">
        <v>3</v>
      </c>
      <c r="F29" t="n">
        <v>2</v>
      </c>
      <c r="G29" t="inlineStr">
        <is>
          <t>HUL</t>
        </is>
      </c>
      <c r="H29" t="inlineStr">
        <is>
          <t>AVL</t>
        </is>
      </c>
    </row>
    <row r="30">
      <c r="A30" t="n">
        <v>3</v>
      </c>
      <c r="B30" t="inlineStr">
        <is>
          <t>2026-09-06T13:00:00Z</t>
        </is>
      </c>
      <c r="C30" t="n">
        <v>9</v>
      </c>
      <c r="D30" t="n">
        <v>16</v>
      </c>
      <c r="E30" t="n">
        <v>4</v>
      </c>
      <c r="F30" t="n">
        <v>3</v>
      </c>
      <c r="G30" t="inlineStr">
        <is>
          <t>EVE</t>
        </is>
      </c>
      <c r="H30" t="inlineStr">
        <is>
          <t>MUN</t>
        </is>
      </c>
    </row>
    <row r="31">
      <c r="A31" t="n">
        <v>3</v>
      </c>
      <c r="B31" t="inlineStr">
        <is>
          <t>2026-09-06T15:30:00Z</t>
        </is>
      </c>
      <c r="C31" t="n">
        <v>1</v>
      </c>
      <c r="D31" t="n">
        <v>6</v>
      </c>
      <c r="E31" t="n">
        <v>4</v>
      </c>
      <c r="F31" t="n">
        <v>5</v>
      </c>
      <c r="G31" t="inlineStr">
        <is>
          <t>ARS</t>
        </is>
      </c>
      <c r="H31" t="inlineStr">
        <is>
          <t>CHE</t>
        </is>
      </c>
    </row>
    <row r="32">
      <c r="A32" t="n">
        <v>4</v>
      </c>
      <c r="B32" t="inlineStr">
        <is>
          <t>2026-09-12T14:00:00Z</t>
        </is>
      </c>
      <c r="C32" t="n">
        <v>2</v>
      </c>
      <c r="D32" t="n">
        <v>18</v>
      </c>
      <c r="E32" t="n">
        <v>3</v>
      </c>
      <c r="F32" t="n">
        <v>4</v>
      </c>
      <c r="G32" t="inlineStr">
        <is>
          <t>AVL</t>
        </is>
      </c>
      <c r="H32" t="inlineStr">
        <is>
          <t>NFO</t>
        </is>
      </c>
    </row>
    <row r="33">
      <c r="A33" t="n">
        <v>4</v>
      </c>
      <c r="B33" t="inlineStr">
        <is>
          <t>2026-09-12T14:00:00Z</t>
        </is>
      </c>
      <c r="C33" t="n">
        <v>3</v>
      </c>
      <c r="D33" t="n">
        <v>4</v>
      </c>
      <c r="E33" t="n">
        <v>3</v>
      </c>
      <c r="F33" t="n">
        <v>3</v>
      </c>
      <c r="G33" t="inlineStr">
        <is>
          <t>BOU</t>
        </is>
      </c>
      <c r="H33" t="inlineStr">
        <is>
          <t>BRE</t>
        </is>
      </c>
    </row>
    <row r="34">
      <c r="A34" t="n">
        <v>4</v>
      </c>
      <c r="B34" t="inlineStr">
        <is>
          <t>2026-09-12T14:00:00Z</t>
        </is>
      </c>
      <c r="C34" t="n">
        <v>6</v>
      </c>
      <c r="D34" t="n">
        <v>11</v>
      </c>
      <c r="E34" t="n">
        <v>2</v>
      </c>
      <c r="F34" t="n">
        <v>4</v>
      </c>
      <c r="G34" t="inlineStr">
        <is>
          <t>CHE</t>
        </is>
      </c>
      <c r="H34" t="inlineStr">
        <is>
          <t>HUL</t>
        </is>
      </c>
    </row>
    <row r="35">
      <c r="A35" t="n">
        <v>4</v>
      </c>
      <c r="B35" t="inlineStr">
        <is>
          <t>2026-09-12T14:00:00Z</t>
        </is>
      </c>
      <c r="C35" t="n">
        <v>8</v>
      </c>
      <c r="D35" t="n">
        <v>12</v>
      </c>
      <c r="E35" t="n">
        <v>2</v>
      </c>
      <c r="F35" t="n">
        <v>3</v>
      </c>
      <c r="G35" t="inlineStr">
        <is>
          <t>CRY</t>
        </is>
      </c>
      <c r="H35" t="inlineStr">
        <is>
          <t>IPS</t>
        </is>
      </c>
    </row>
    <row r="36">
      <c r="A36" t="n">
        <v>4</v>
      </c>
      <c r="B36" t="inlineStr">
        <is>
          <t>2026-09-12T14:00:00Z</t>
        </is>
      </c>
      <c r="C36" t="n">
        <v>14</v>
      </c>
      <c r="D36" t="n">
        <v>10</v>
      </c>
      <c r="E36" t="n">
        <v>2</v>
      </c>
      <c r="F36" t="n">
        <v>4</v>
      </c>
      <c r="G36" t="inlineStr">
        <is>
          <t>LIV</t>
        </is>
      </c>
      <c r="H36" t="inlineStr">
        <is>
          <t>FUL</t>
        </is>
      </c>
    </row>
    <row r="37">
      <c r="A37" t="n">
        <v>4</v>
      </c>
      <c r="B37" t="inlineStr">
        <is>
          <t>2026-09-12T16:30:00Z</t>
        </is>
      </c>
      <c r="C37" t="n">
        <v>19</v>
      </c>
      <c r="D37" t="n">
        <v>9</v>
      </c>
      <c r="E37" t="n">
        <v>3</v>
      </c>
      <c r="F37" t="n">
        <v>3</v>
      </c>
      <c r="G37" t="inlineStr">
        <is>
          <t>TOT</t>
        </is>
      </c>
      <c r="H37" t="inlineStr">
        <is>
          <t>EVE</t>
        </is>
      </c>
    </row>
    <row r="38">
      <c r="A38" t="n">
        <v>4</v>
      </c>
      <c r="B38" t="inlineStr">
        <is>
          <t>2026-09-12T19:00:00Z</t>
        </is>
      </c>
      <c r="C38" t="n">
        <v>20</v>
      </c>
      <c r="D38" t="n">
        <v>1</v>
      </c>
      <c r="E38" t="n">
        <v>4</v>
      </c>
      <c r="F38" t="n">
        <v>3</v>
      </c>
      <c r="G38" t="inlineStr">
        <is>
          <t>SUN</t>
        </is>
      </c>
      <c r="H38" t="inlineStr">
        <is>
          <t>ARS</t>
        </is>
      </c>
    </row>
    <row r="39">
      <c r="A39" t="n">
        <v>4</v>
      </c>
      <c r="B39" t="inlineStr">
        <is>
          <t>2026-09-13T13:00:00Z</t>
        </is>
      </c>
      <c r="C39" t="n">
        <v>7</v>
      </c>
      <c r="D39" t="n">
        <v>5</v>
      </c>
      <c r="E39" t="n">
        <v>2</v>
      </c>
      <c r="F39" t="n">
        <v>2</v>
      </c>
      <c r="G39" t="inlineStr">
        <is>
          <t>COV</t>
        </is>
      </c>
      <c r="H39" t="inlineStr">
        <is>
          <t>BHA</t>
        </is>
      </c>
    </row>
    <row r="40">
      <c r="A40" t="n">
        <v>4</v>
      </c>
      <c r="B40" t="inlineStr">
        <is>
          <t>2026-09-13T15:30:00Z</t>
        </is>
      </c>
      <c r="C40" t="n">
        <v>16</v>
      </c>
      <c r="D40" t="n">
        <v>15</v>
      </c>
      <c r="E40" t="n">
        <v>4</v>
      </c>
      <c r="F40" t="n">
        <v>4</v>
      </c>
      <c r="G40" t="inlineStr">
        <is>
          <t>MUN</t>
        </is>
      </c>
      <c r="H40" t="inlineStr">
        <is>
          <t>MCI</t>
        </is>
      </c>
    </row>
    <row r="41">
      <c r="A41" t="n">
        <v>4</v>
      </c>
      <c r="B41" t="inlineStr">
        <is>
          <t>2026-09-14T19:00:00Z</t>
        </is>
      </c>
      <c r="C41" t="n">
        <v>13</v>
      </c>
      <c r="D41" t="n">
        <v>17</v>
      </c>
      <c r="E41" t="n">
        <v>2</v>
      </c>
      <c r="F41" t="n">
        <v>3</v>
      </c>
      <c r="G41" t="inlineStr">
        <is>
          <t>LEE</t>
        </is>
      </c>
      <c r="H41" t="inlineStr">
        <is>
          <t>NEW</t>
        </is>
      </c>
    </row>
    <row r="42">
      <c r="A42" t="n">
        <v>5</v>
      </c>
      <c r="B42" t="inlineStr">
        <is>
          <t>2026-09-18T19:00:00Z</t>
        </is>
      </c>
      <c r="C42" t="n">
        <v>4</v>
      </c>
      <c r="D42" t="n">
        <v>6</v>
      </c>
      <c r="E42" t="n">
        <v>4</v>
      </c>
      <c r="F42" t="n">
        <v>3</v>
      </c>
      <c r="G42" t="inlineStr">
        <is>
          <t>BRE</t>
        </is>
      </c>
      <c r="H42" t="inlineStr">
        <is>
          <t>CHE</t>
        </is>
      </c>
    </row>
    <row r="43">
      <c r="A43" t="n">
        <v>5</v>
      </c>
      <c r="B43" t="inlineStr">
        <is>
          <t>2026-09-19T11:30:00Z</t>
        </is>
      </c>
      <c r="C43" t="n">
        <v>19</v>
      </c>
      <c r="D43" t="n">
        <v>2</v>
      </c>
      <c r="E43" t="n">
        <v>3</v>
      </c>
      <c r="F43" t="n">
        <v>3</v>
      </c>
      <c r="G43" t="inlineStr">
        <is>
          <t>TOT</t>
        </is>
      </c>
      <c r="H43" t="inlineStr">
        <is>
          <t>AVL</t>
        </is>
      </c>
    </row>
    <row r="44">
      <c r="A44" t="n">
        <v>5</v>
      </c>
      <c r="B44" t="inlineStr">
        <is>
          <t>2026-09-19T14:00:00Z</t>
        </is>
      </c>
      <c r="C44" t="n">
        <v>5</v>
      </c>
      <c r="D44" t="n">
        <v>1</v>
      </c>
      <c r="E44" t="n">
        <v>4</v>
      </c>
      <c r="F44" t="n">
        <v>3</v>
      </c>
      <c r="G44" t="inlineStr">
        <is>
          <t>BHA</t>
        </is>
      </c>
      <c r="H44" t="inlineStr">
        <is>
          <t>ARS</t>
        </is>
      </c>
    </row>
    <row r="45">
      <c r="A45" t="n">
        <v>5</v>
      </c>
      <c r="B45" t="inlineStr">
        <is>
          <t>2026-09-19T14:00:00Z</t>
        </is>
      </c>
      <c r="C45" t="n">
        <v>9</v>
      </c>
      <c r="D45" t="n">
        <v>12</v>
      </c>
      <c r="E45" t="n">
        <v>2</v>
      </c>
      <c r="F45" t="n">
        <v>3</v>
      </c>
      <c r="G45" t="inlineStr">
        <is>
          <t>EVE</t>
        </is>
      </c>
      <c r="H45" t="inlineStr">
        <is>
          <t>IPS</t>
        </is>
      </c>
    </row>
    <row r="46">
      <c r="A46" t="n">
        <v>5</v>
      </c>
      <c r="B46" t="inlineStr">
        <is>
          <t>2026-09-19T14:00:00Z</t>
        </is>
      </c>
      <c r="C46" t="n">
        <v>13</v>
      </c>
      <c r="D46" t="n">
        <v>8</v>
      </c>
      <c r="E46" t="n">
        <v>3</v>
      </c>
      <c r="F46" t="n">
        <v>3</v>
      </c>
      <c r="G46" t="inlineStr">
        <is>
          <t>LEE</t>
        </is>
      </c>
      <c r="H46" t="inlineStr">
        <is>
          <t>CRY</t>
        </is>
      </c>
    </row>
    <row r="47">
      <c r="A47" t="n">
        <v>5</v>
      </c>
      <c r="B47" t="inlineStr">
        <is>
          <t>2026-09-19T14:00:00Z</t>
        </is>
      </c>
      <c r="C47" t="n">
        <v>15</v>
      </c>
      <c r="D47" t="n">
        <v>20</v>
      </c>
      <c r="E47" t="n">
        <v>2</v>
      </c>
      <c r="F47" t="n">
        <v>5</v>
      </c>
      <c r="G47" t="inlineStr">
        <is>
          <t>MCI</t>
        </is>
      </c>
      <c r="H47" t="inlineStr">
        <is>
          <t>SUN</t>
        </is>
      </c>
    </row>
    <row r="48">
      <c r="A48" t="n">
        <v>5</v>
      </c>
      <c r="B48" t="inlineStr">
        <is>
          <t>2026-09-19T14:00:00Z</t>
        </is>
      </c>
      <c r="C48" t="n">
        <v>17</v>
      </c>
      <c r="D48" t="n">
        <v>11</v>
      </c>
      <c r="E48" t="n">
        <v>2</v>
      </c>
      <c r="F48" t="n">
        <v>3</v>
      </c>
      <c r="G48" t="inlineStr">
        <is>
          <t>NEW</t>
        </is>
      </c>
      <c r="H48" t="inlineStr">
        <is>
          <t>HUL</t>
        </is>
      </c>
    </row>
    <row r="49">
      <c r="A49" t="n">
        <v>5</v>
      </c>
      <c r="B49" t="inlineStr">
        <is>
          <t>2026-09-19T16:30:00Z</t>
        </is>
      </c>
      <c r="C49" t="n">
        <v>18</v>
      </c>
      <c r="D49" t="n">
        <v>7</v>
      </c>
      <c r="E49" t="n">
        <v>2</v>
      </c>
      <c r="F49" t="n">
        <v>3</v>
      </c>
      <c r="G49" t="inlineStr">
        <is>
          <t>NFO</t>
        </is>
      </c>
      <c r="H49" t="inlineStr">
        <is>
          <t>COV</t>
        </is>
      </c>
    </row>
    <row r="50">
      <c r="A50" t="n">
        <v>5</v>
      </c>
      <c r="B50" t="inlineStr">
        <is>
          <t>2026-09-20T13:00:00Z</t>
        </is>
      </c>
      <c r="C50" t="n">
        <v>3</v>
      </c>
      <c r="D50" t="n">
        <v>14</v>
      </c>
      <c r="E50" t="n">
        <v>4</v>
      </c>
      <c r="F50" t="n">
        <v>3</v>
      </c>
      <c r="G50" t="inlineStr">
        <is>
          <t>BOU</t>
        </is>
      </c>
      <c r="H50" t="inlineStr">
        <is>
          <t>LIV</t>
        </is>
      </c>
    </row>
    <row r="51">
      <c r="A51" t="n">
        <v>5</v>
      </c>
      <c r="B51" t="inlineStr">
        <is>
          <t>2026-09-20T15:30:00Z</t>
        </is>
      </c>
      <c r="C51" t="n">
        <v>10</v>
      </c>
      <c r="D51" t="n">
        <v>16</v>
      </c>
      <c r="E51" t="n">
        <v>4</v>
      </c>
      <c r="F51" t="n">
        <v>3</v>
      </c>
      <c r="G51" t="inlineStr">
        <is>
          <t>FUL</t>
        </is>
      </c>
      <c r="H51" t="inlineStr">
        <is>
          <t>MUN</t>
        </is>
      </c>
    </row>
    <row r="52">
      <c r="A52" t="n">
        <v>6</v>
      </c>
      <c r="B52" t="inlineStr">
        <is>
          <t>2026-10-10T14:00:00Z</t>
        </is>
      </c>
      <c r="C52" t="n">
        <v>1</v>
      </c>
      <c r="D52" t="n">
        <v>13</v>
      </c>
      <c r="E52" t="n">
        <v>2</v>
      </c>
      <c r="F52" t="n">
        <v>5</v>
      </c>
      <c r="G52" t="inlineStr">
        <is>
          <t>ARS</t>
        </is>
      </c>
      <c r="H52" t="inlineStr">
        <is>
          <t>LEE</t>
        </is>
      </c>
    </row>
    <row r="53">
      <c r="A53" t="n">
        <v>6</v>
      </c>
      <c r="B53" t="inlineStr">
        <is>
          <t>2026-10-10T14:00:00Z</t>
        </is>
      </c>
      <c r="C53" t="n">
        <v>2</v>
      </c>
      <c r="D53" t="n">
        <v>4</v>
      </c>
      <c r="E53" t="n">
        <v>3</v>
      </c>
      <c r="F53" t="n">
        <v>4</v>
      </c>
      <c r="G53" t="inlineStr">
        <is>
          <t>AVL</t>
        </is>
      </c>
      <c r="H53" t="inlineStr">
        <is>
          <t>BRE</t>
        </is>
      </c>
    </row>
    <row r="54">
      <c r="A54" t="n">
        <v>6</v>
      </c>
      <c r="B54" t="inlineStr">
        <is>
          <t>2026-10-10T14:00:00Z</t>
        </is>
      </c>
      <c r="C54" t="n">
        <v>6</v>
      </c>
      <c r="D54" t="n">
        <v>3</v>
      </c>
      <c r="E54" t="n">
        <v>3</v>
      </c>
      <c r="F54" t="n">
        <v>4</v>
      </c>
      <c r="G54" t="inlineStr">
        <is>
          <t>CHE</t>
        </is>
      </c>
      <c r="H54" t="inlineStr">
        <is>
          <t>BOU</t>
        </is>
      </c>
    </row>
    <row r="55">
      <c r="A55" t="n">
        <v>6</v>
      </c>
      <c r="B55" t="inlineStr">
        <is>
          <t>2026-10-10T14:00:00Z</t>
        </is>
      </c>
      <c r="C55" t="n">
        <v>7</v>
      </c>
      <c r="D55" t="n">
        <v>17</v>
      </c>
      <c r="E55" t="n">
        <v>2</v>
      </c>
      <c r="F55" t="n">
        <v>2</v>
      </c>
      <c r="G55" t="inlineStr">
        <is>
          <t>COV</t>
        </is>
      </c>
      <c r="H55" t="inlineStr">
        <is>
          <t>NEW</t>
        </is>
      </c>
    </row>
    <row r="56">
      <c r="A56" t="n">
        <v>6</v>
      </c>
      <c r="B56" t="inlineStr">
        <is>
          <t>2026-10-10T14:00:00Z</t>
        </is>
      </c>
      <c r="C56" t="n">
        <v>8</v>
      </c>
      <c r="D56" t="n">
        <v>18</v>
      </c>
      <c r="E56" t="n">
        <v>3</v>
      </c>
      <c r="F56" t="n">
        <v>3</v>
      </c>
      <c r="G56" t="inlineStr">
        <is>
          <t>CRY</t>
        </is>
      </c>
      <c r="H56" t="inlineStr">
        <is>
          <t>NFO</t>
        </is>
      </c>
    </row>
    <row r="57">
      <c r="A57" t="n">
        <v>6</v>
      </c>
      <c r="B57" t="inlineStr">
        <is>
          <t>2026-10-10T14:00:00Z</t>
        </is>
      </c>
      <c r="C57" t="n">
        <v>11</v>
      </c>
      <c r="D57" t="n">
        <v>9</v>
      </c>
      <c r="E57" t="n">
        <v>3</v>
      </c>
      <c r="F57" t="n">
        <v>2</v>
      </c>
      <c r="G57" t="inlineStr">
        <is>
          <t>HUL</t>
        </is>
      </c>
      <c r="H57" t="inlineStr">
        <is>
          <t>EVE</t>
        </is>
      </c>
    </row>
    <row r="58">
      <c r="A58" t="n">
        <v>6</v>
      </c>
      <c r="B58" t="inlineStr">
        <is>
          <t>2026-10-10T14:00:00Z</t>
        </is>
      </c>
      <c r="C58" t="n">
        <v>12</v>
      </c>
      <c r="D58" t="n">
        <v>10</v>
      </c>
      <c r="E58" t="n">
        <v>2</v>
      </c>
      <c r="F58" t="n">
        <v>2</v>
      </c>
      <c r="G58" t="inlineStr">
        <is>
          <t>IPS</t>
        </is>
      </c>
      <c r="H58" t="inlineStr">
        <is>
          <t>FUL</t>
        </is>
      </c>
    </row>
    <row r="59">
      <c r="A59" t="n">
        <v>6</v>
      </c>
      <c r="B59" t="inlineStr">
        <is>
          <t>2026-10-10T14:00:00Z</t>
        </is>
      </c>
      <c r="C59" t="n">
        <v>14</v>
      </c>
      <c r="D59" t="n">
        <v>15</v>
      </c>
      <c r="E59" t="n">
        <v>4</v>
      </c>
      <c r="F59" t="n">
        <v>4</v>
      </c>
      <c r="G59" t="inlineStr">
        <is>
          <t>LIV</t>
        </is>
      </c>
      <c r="H59" t="inlineStr">
        <is>
          <t>MCI</t>
        </is>
      </c>
    </row>
    <row r="60">
      <c r="A60" t="n">
        <v>6</v>
      </c>
      <c r="B60" t="inlineStr">
        <is>
          <t>2026-10-10T14:00:00Z</t>
        </is>
      </c>
      <c r="C60" t="n">
        <v>16</v>
      </c>
      <c r="D60" t="n">
        <v>19</v>
      </c>
      <c r="E60" t="n">
        <v>3</v>
      </c>
      <c r="F60" t="n">
        <v>4</v>
      </c>
      <c r="G60" t="inlineStr">
        <is>
          <t>MUN</t>
        </is>
      </c>
      <c r="H60" t="inlineStr">
        <is>
          <t>TOT</t>
        </is>
      </c>
    </row>
    <row r="61">
      <c r="A61" t="n">
        <v>6</v>
      </c>
      <c r="B61" t="inlineStr">
        <is>
          <t>2026-10-10T14:00:00Z</t>
        </is>
      </c>
      <c r="C61" t="n">
        <v>20</v>
      </c>
      <c r="D61" t="n">
        <v>5</v>
      </c>
      <c r="E61" t="n">
        <v>2</v>
      </c>
      <c r="F61" t="n">
        <v>3</v>
      </c>
      <c r="G61" t="inlineStr">
        <is>
          <t>SUN</t>
        </is>
      </c>
      <c r="H61" t="inlineStr">
        <is>
          <t>BHA</t>
        </is>
      </c>
    </row>
    <row r="62">
      <c r="A62" t="n">
        <v>7</v>
      </c>
      <c r="B62" t="inlineStr">
        <is>
          <t>2026-10-17T14:00:00Z</t>
        </is>
      </c>
      <c r="C62" t="n">
        <v>3</v>
      </c>
      <c r="D62" t="n">
        <v>20</v>
      </c>
      <c r="E62" t="n">
        <v>2</v>
      </c>
      <c r="F62" t="n">
        <v>3</v>
      </c>
      <c r="G62" t="inlineStr">
        <is>
          <t>BOU</t>
        </is>
      </c>
      <c r="H62" t="inlineStr">
        <is>
          <t>SUN</t>
        </is>
      </c>
    </row>
    <row r="63">
      <c r="A63" t="n">
        <v>7</v>
      </c>
      <c r="B63" t="inlineStr">
        <is>
          <t>2026-10-17T14:00:00Z</t>
        </is>
      </c>
      <c r="C63" t="n">
        <v>4</v>
      </c>
      <c r="D63" t="n">
        <v>14</v>
      </c>
      <c r="E63" t="n">
        <v>4</v>
      </c>
      <c r="F63" t="n">
        <v>3</v>
      </c>
      <c r="G63" t="inlineStr">
        <is>
          <t>BRE</t>
        </is>
      </c>
      <c r="H63" t="inlineStr">
        <is>
          <t>LIV</t>
        </is>
      </c>
    </row>
    <row r="64">
      <c r="A64" t="n">
        <v>7</v>
      </c>
      <c r="B64" t="inlineStr">
        <is>
          <t>2026-10-17T14:00:00Z</t>
        </is>
      </c>
      <c r="C64" t="n">
        <v>5</v>
      </c>
      <c r="D64" t="n">
        <v>8</v>
      </c>
      <c r="E64" t="n">
        <v>3</v>
      </c>
      <c r="F64" t="n">
        <v>3</v>
      </c>
      <c r="G64" t="inlineStr">
        <is>
          <t>BHA</t>
        </is>
      </c>
      <c r="H64" t="inlineStr">
        <is>
          <t>CRY</t>
        </is>
      </c>
    </row>
    <row r="65">
      <c r="A65" t="n">
        <v>7</v>
      </c>
      <c r="B65" t="inlineStr">
        <is>
          <t>2026-10-17T14:00:00Z</t>
        </is>
      </c>
      <c r="C65" t="n">
        <v>9</v>
      </c>
      <c r="D65" t="n">
        <v>6</v>
      </c>
      <c r="E65" t="n">
        <v>4</v>
      </c>
      <c r="F65" t="n">
        <v>3</v>
      </c>
      <c r="G65" t="inlineStr">
        <is>
          <t>EVE</t>
        </is>
      </c>
      <c r="H65" t="inlineStr">
        <is>
          <t>CHE</t>
        </is>
      </c>
    </row>
    <row r="66">
      <c r="A66" t="n">
        <v>7</v>
      </c>
      <c r="B66" t="inlineStr">
        <is>
          <t>2026-10-17T14:00:00Z</t>
        </is>
      </c>
      <c r="C66" t="n">
        <v>10</v>
      </c>
      <c r="D66" t="n">
        <v>11</v>
      </c>
      <c r="E66" t="n">
        <v>2</v>
      </c>
      <c r="F66" t="n">
        <v>3</v>
      </c>
      <c r="G66" t="inlineStr">
        <is>
          <t>FUL</t>
        </is>
      </c>
      <c r="H66" t="inlineStr">
        <is>
          <t>HUL</t>
        </is>
      </c>
    </row>
    <row r="67">
      <c r="A67" t="n">
        <v>7</v>
      </c>
      <c r="B67" t="inlineStr">
        <is>
          <t>2026-10-17T14:00:00Z</t>
        </is>
      </c>
      <c r="C67" t="n">
        <v>13</v>
      </c>
      <c r="D67" t="n">
        <v>16</v>
      </c>
      <c r="E67" t="n">
        <v>4</v>
      </c>
      <c r="F67" t="n">
        <v>3</v>
      </c>
      <c r="G67" t="inlineStr">
        <is>
          <t>LEE</t>
        </is>
      </c>
      <c r="H67" t="inlineStr">
        <is>
          <t>MUN</t>
        </is>
      </c>
    </row>
    <row r="68">
      <c r="A68" t="n">
        <v>7</v>
      </c>
      <c r="B68" t="inlineStr">
        <is>
          <t>2026-10-17T14:00:00Z</t>
        </is>
      </c>
      <c r="C68" t="n">
        <v>15</v>
      </c>
      <c r="D68" t="n">
        <v>12</v>
      </c>
      <c r="E68" t="n">
        <v>2</v>
      </c>
      <c r="F68" t="n">
        <v>5</v>
      </c>
      <c r="G68" t="inlineStr">
        <is>
          <t>MCI</t>
        </is>
      </c>
      <c r="H68" t="inlineStr">
        <is>
          <t>IPS</t>
        </is>
      </c>
    </row>
    <row r="69">
      <c r="A69" t="n">
        <v>7</v>
      </c>
      <c r="B69" t="inlineStr">
        <is>
          <t>2026-10-17T14:00:00Z</t>
        </is>
      </c>
      <c r="C69" t="n">
        <v>17</v>
      </c>
      <c r="D69" t="n">
        <v>2</v>
      </c>
      <c r="E69" t="n">
        <v>3</v>
      </c>
      <c r="F69" t="n">
        <v>3</v>
      </c>
      <c r="G69" t="inlineStr">
        <is>
          <t>NEW</t>
        </is>
      </c>
      <c r="H69" t="inlineStr">
        <is>
          <t>AVL</t>
        </is>
      </c>
    </row>
    <row r="70">
      <c r="A70" t="n">
        <v>7</v>
      </c>
      <c r="B70" t="inlineStr">
        <is>
          <t>2026-10-17T14:00:00Z</t>
        </is>
      </c>
      <c r="C70" t="n">
        <v>18</v>
      </c>
      <c r="D70" t="n">
        <v>1</v>
      </c>
      <c r="E70" t="n">
        <v>4</v>
      </c>
      <c r="F70" t="n">
        <v>3</v>
      </c>
      <c r="G70" t="inlineStr">
        <is>
          <t>NFO</t>
        </is>
      </c>
      <c r="H70" t="inlineStr">
        <is>
          <t>ARS</t>
        </is>
      </c>
    </row>
    <row r="71">
      <c r="A71" t="n">
        <v>7</v>
      </c>
      <c r="B71" t="inlineStr">
        <is>
          <t>2026-10-17T14:00:00Z</t>
        </is>
      </c>
      <c r="C71" t="n">
        <v>19</v>
      </c>
      <c r="D71" t="n">
        <v>7</v>
      </c>
      <c r="E71" t="n">
        <v>2</v>
      </c>
      <c r="F71" t="n">
        <v>3</v>
      </c>
      <c r="G71" t="inlineStr">
        <is>
          <t>TOT</t>
        </is>
      </c>
      <c r="H71" t="inlineStr">
        <is>
          <t>COV</t>
        </is>
      </c>
    </row>
    <row r="72">
      <c r="A72" t="n">
        <v>8</v>
      </c>
      <c r="B72" t="inlineStr">
        <is>
          <t>2026-10-24T14:00:00Z</t>
        </is>
      </c>
      <c r="C72" t="n">
        <v>1</v>
      </c>
      <c r="D72" t="n">
        <v>9</v>
      </c>
      <c r="E72" t="n">
        <v>3</v>
      </c>
      <c r="F72" t="n">
        <v>5</v>
      </c>
      <c r="G72" t="inlineStr">
        <is>
          <t>ARS</t>
        </is>
      </c>
      <c r="H72" t="inlineStr">
        <is>
          <t>EVE</t>
        </is>
      </c>
    </row>
    <row r="73">
      <c r="A73" t="n">
        <v>8</v>
      </c>
      <c r="B73" t="inlineStr">
        <is>
          <t>2026-10-24T14:00:00Z</t>
        </is>
      </c>
      <c r="C73" t="n">
        <v>2</v>
      </c>
      <c r="D73" t="n">
        <v>15</v>
      </c>
      <c r="E73" t="n">
        <v>4</v>
      </c>
      <c r="F73" t="n">
        <v>4</v>
      </c>
      <c r="G73" t="inlineStr">
        <is>
          <t>AVL</t>
        </is>
      </c>
      <c r="H73" t="inlineStr">
        <is>
          <t>MCI</t>
        </is>
      </c>
    </row>
    <row r="74">
      <c r="A74" t="n">
        <v>8</v>
      </c>
      <c r="B74" t="inlineStr">
        <is>
          <t>2026-10-24T14:00:00Z</t>
        </is>
      </c>
      <c r="C74" t="n">
        <v>6</v>
      </c>
      <c r="D74" t="n">
        <v>19</v>
      </c>
      <c r="E74" t="n">
        <v>3</v>
      </c>
      <c r="F74" t="n">
        <v>4</v>
      </c>
      <c r="G74" t="inlineStr">
        <is>
          <t>CHE</t>
        </is>
      </c>
      <c r="H74" t="inlineStr">
        <is>
          <t>TOT</t>
        </is>
      </c>
    </row>
    <row r="75">
      <c r="A75" t="n">
        <v>8</v>
      </c>
      <c r="B75" t="inlineStr">
        <is>
          <t>2026-10-24T14:00:00Z</t>
        </is>
      </c>
      <c r="C75" t="n">
        <v>7</v>
      </c>
      <c r="D75" t="n">
        <v>10</v>
      </c>
      <c r="E75" t="n">
        <v>2</v>
      </c>
      <c r="F75" t="n">
        <v>2</v>
      </c>
      <c r="G75" t="inlineStr">
        <is>
          <t>COV</t>
        </is>
      </c>
      <c r="H75" t="inlineStr">
        <is>
          <t>FUL</t>
        </is>
      </c>
    </row>
    <row r="76">
      <c r="A76" t="n">
        <v>8</v>
      </c>
      <c r="B76" t="inlineStr">
        <is>
          <t>2026-10-24T14:00:00Z</t>
        </is>
      </c>
      <c r="C76" t="n">
        <v>8</v>
      </c>
      <c r="D76" t="n">
        <v>17</v>
      </c>
      <c r="E76" t="n">
        <v>2</v>
      </c>
      <c r="F76" t="n">
        <v>3</v>
      </c>
      <c r="G76" t="inlineStr">
        <is>
          <t>CRY</t>
        </is>
      </c>
      <c r="H76" t="inlineStr">
        <is>
          <t>NEW</t>
        </is>
      </c>
    </row>
    <row r="77">
      <c r="A77" t="n">
        <v>8</v>
      </c>
      <c r="B77" t="inlineStr">
        <is>
          <t>2026-10-24T14:00:00Z</t>
        </is>
      </c>
      <c r="C77" t="n">
        <v>11</v>
      </c>
      <c r="D77" t="n">
        <v>4</v>
      </c>
      <c r="E77" t="n">
        <v>3</v>
      </c>
      <c r="F77" t="n">
        <v>2</v>
      </c>
      <c r="G77" t="inlineStr">
        <is>
          <t>HUL</t>
        </is>
      </c>
      <c r="H77" t="inlineStr">
        <is>
          <t>BRE</t>
        </is>
      </c>
    </row>
    <row r="78">
      <c r="A78" t="n">
        <v>8</v>
      </c>
      <c r="B78" t="inlineStr">
        <is>
          <t>2026-10-24T14:00:00Z</t>
        </is>
      </c>
      <c r="C78" t="n">
        <v>12</v>
      </c>
      <c r="D78" t="n">
        <v>18</v>
      </c>
      <c r="E78" t="n">
        <v>3</v>
      </c>
      <c r="F78" t="n">
        <v>2</v>
      </c>
      <c r="G78" t="inlineStr">
        <is>
          <t>IPS</t>
        </is>
      </c>
      <c r="H78" t="inlineStr">
        <is>
          <t>NFO</t>
        </is>
      </c>
    </row>
    <row r="79">
      <c r="A79" t="n">
        <v>8</v>
      </c>
      <c r="B79" t="inlineStr">
        <is>
          <t>2026-10-24T14:00:00Z</t>
        </is>
      </c>
      <c r="C79" t="n">
        <v>14</v>
      </c>
      <c r="D79" t="n">
        <v>5</v>
      </c>
      <c r="E79" t="n">
        <v>2</v>
      </c>
      <c r="F79" t="n">
        <v>4</v>
      </c>
      <c r="G79" t="inlineStr">
        <is>
          <t>LIV</t>
        </is>
      </c>
      <c r="H79" t="inlineStr">
        <is>
          <t>BHA</t>
        </is>
      </c>
    </row>
    <row r="80">
      <c r="A80" t="n">
        <v>8</v>
      </c>
      <c r="B80" t="inlineStr">
        <is>
          <t>2026-10-24T14:00:00Z</t>
        </is>
      </c>
      <c r="C80" t="n">
        <v>16</v>
      </c>
      <c r="D80" t="n">
        <v>3</v>
      </c>
      <c r="E80" t="n">
        <v>3</v>
      </c>
      <c r="F80" t="n">
        <v>4</v>
      </c>
      <c r="G80" t="inlineStr">
        <is>
          <t>MUN</t>
        </is>
      </c>
      <c r="H80" t="inlineStr">
        <is>
          <t>BOU</t>
        </is>
      </c>
    </row>
    <row r="81">
      <c r="A81" t="n">
        <v>8</v>
      </c>
      <c r="B81" t="inlineStr">
        <is>
          <t>2026-10-24T14:00:00Z</t>
        </is>
      </c>
      <c r="C81" t="n">
        <v>20</v>
      </c>
      <c r="D81" t="n">
        <v>13</v>
      </c>
      <c r="E81" t="n">
        <v>2</v>
      </c>
      <c r="F81" t="n">
        <v>3</v>
      </c>
      <c r="G81" t="inlineStr">
        <is>
          <t>SUN</t>
        </is>
      </c>
      <c r="H81" t="inlineStr">
        <is>
          <t>LEE</t>
        </is>
      </c>
    </row>
    <row r="82">
      <c r="A82" t="n">
        <v>9</v>
      </c>
      <c r="B82" t="inlineStr">
        <is>
          <t>2026-10-31T15:00:00Z</t>
        </is>
      </c>
      <c r="C82" t="n">
        <v>2</v>
      </c>
      <c r="D82" t="n">
        <v>10</v>
      </c>
      <c r="E82" t="n">
        <v>2</v>
      </c>
      <c r="F82" t="n">
        <v>4</v>
      </c>
      <c r="G82" t="inlineStr">
        <is>
          <t>AVL</t>
        </is>
      </c>
      <c r="H82" t="inlineStr">
        <is>
          <t>FUL</t>
        </is>
      </c>
    </row>
    <row r="83">
      <c r="A83" t="n">
        <v>9</v>
      </c>
      <c r="B83" t="inlineStr">
        <is>
          <t>2026-10-31T15:00:00Z</t>
        </is>
      </c>
      <c r="C83" t="n">
        <v>3</v>
      </c>
      <c r="D83" t="n">
        <v>13</v>
      </c>
      <c r="E83" t="n">
        <v>2</v>
      </c>
      <c r="F83" t="n">
        <v>3</v>
      </c>
      <c r="G83" t="inlineStr">
        <is>
          <t>BOU</t>
        </is>
      </c>
      <c r="H83" t="inlineStr">
        <is>
          <t>LEE</t>
        </is>
      </c>
    </row>
    <row r="84">
      <c r="A84" t="n">
        <v>9</v>
      </c>
      <c r="B84" t="inlineStr">
        <is>
          <t>2026-10-31T15:00:00Z</t>
        </is>
      </c>
      <c r="C84" t="n">
        <v>4</v>
      </c>
      <c r="D84" t="n">
        <v>18</v>
      </c>
      <c r="E84" t="n">
        <v>3</v>
      </c>
      <c r="F84" t="n">
        <v>3</v>
      </c>
      <c r="G84" t="inlineStr">
        <is>
          <t>BRE</t>
        </is>
      </c>
      <c r="H84" t="inlineStr">
        <is>
          <t>NFO</t>
        </is>
      </c>
    </row>
    <row r="85">
      <c r="A85" t="n">
        <v>9</v>
      </c>
      <c r="B85" t="inlineStr">
        <is>
          <t>2026-10-31T15:00:00Z</t>
        </is>
      </c>
      <c r="C85" t="n">
        <v>6</v>
      </c>
      <c r="D85" t="n">
        <v>16</v>
      </c>
      <c r="E85" t="n">
        <v>4</v>
      </c>
      <c r="F85" t="n">
        <v>4</v>
      </c>
      <c r="G85" t="inlineStr">
        <is>
          <t>CHE</t>
        </is>
      </c>
      <c r="H85" t="inlineStr">
        <is>
          <t>MUN</t>
        </is>
      </c>
    </row>
    <row r="86">
      <c r="A86" t="n">
        <v>9</v>
      </c>
      <c r="B86" t="inlineStr">
        <is>
          <t>2026-10-31T15:00:00Z</t>
        </is>
      </c>
      <c r="C86" t="n">
        <v>7</v>
      </c>
      <c r="D86" t="n">
        <v>20</v>
      </c>
      <c r="E86" t="n">
        <v>2</v>
      </c>
      <c r="F86" t="n">
        <v>2</v>
      </c>
      <c r="G86" t="inlineStr">
        <is>
          <t>COV</t>
        </is>
      </c>
      <c r="H86" t="inlineStr">
        <is>
          <t>SUN</t>
        </is>
      </c>
    </row>
    <row r="87">
      <c r="A87" t="n">
        <v>9</v>
      </c>
      <c r="B87" t="inlineStr">
        <is>
          <t>2026-10-31T15:00:00Z</t>
        </is>
      </c>
      <c r="C87" t="n">
        <v>11</v>
      </c>
      <c r="D87" t="n">
        <v>12</v>
      </c>
      <c r="E87" t="n">
        <v>2</v>
      </c>
      <c r="F87" t="n">
        <v>2</v>
      </c>
      <c r="G87" t="inlineStr">
        <is>
          <t>HUL</t>
        </is>
      </c>
      <c r="H87" t="inlineStr">
        <is>
          <t>IPS</t>
        </is>
      </c>
    </row>
    <row r="88">
      <c r="A88" t="n">
        <v>9</v>
      </c>
      <c r="B88" t="inlineStr">
        <is>
          <t>2026-10-31T15:00:00Z</t>
        </is>
      </c>
      <c r="C88" t="n">
        <v>14</v>
      </c>
      <c r="D88" t="n">
        <v>1</v>
      </c>
      <c r="E88" t="n">
        <v>4</v>
      </c>
      <c r="F88" t="n">
        <v>4</v>
      </c>
      <c r="G88" t="inlineStr">
        <is>
          <t>LIV</t>
        </is>
      </c>
      <c r="H88" t="inlineStr">
        <is>
          <t>ARS</t>
        </is>
      </c>
    </row>
    <row r="89">
      <c r="A89" t="n">
        <v>9</v>
      </c>
      <c r="B89" t="inlineStr">
        <is>
          <t>2026-10-31T15:00:00Z</t>
        </is>
      </c>
      <c r="C89" t="n">
        <v>15</v>
      </c>
      <c r="D89" t="n">
        <v>5</v>
      </c>
      <c r="E89" t="n">
        <v>2</v>
      </c>
      <c r="F89" t="n">
        <v>5</v>
      </c>
      <c r="G89" t="inlineStr">
        <is>
          <t>MCI</t>
        </is>
      </c>
      <c r="H89" t="inlineStr">
        <is>
          <t>BHA</t>
        </is>
      </c>
    </row>
    <row r="90">
      <c r="A90" t="n">
        <v>9</v>
      </c>
      <c r="B90" t="inlineStr">
        <is>
          <t>2026-10-31T15:00:00Z</t>
        </is>
      </c>
      <c r="C90" t="n">
        <v>17</v>
      </c>
      <c r="D90" t="n">
        <v>9</v>
      </c>
      <c r="E90" t="n">
        <v>3</v>
      </c>
      <c r="F90" t="n">
        <v>3</v>
      </c>
      <c r="G90" t="inlineStr">
        <is>
          <t>NEW</t>
        </is>
      </c>
      <c r="H90" t="inlineStr">
        <is>
          <t>EVE</t>
        </is>
      </c>
    </row>
    <row r="91">
      <c r="A91" t="n">
        <v>9</v>
      </c>
      <c r="B91" t="inlineStr">
        <is>
          <t>2026-10-31T15:00:00Z</t>
        </is>
      </c>
      <c r="C91" t="n">
        <v>19</v>
      </c>
      <c r="D91" t="n">
        <v>8</v>
      </c>
      <c r="E91" t="n">
        <v>3</v>
      </c>
      <c r="F91" t="n">
        <v>3</v>
      </c>
      <c r="G91" t="inlineStr">
        <is>
          <t>TOT</t>
        </is>
      </c>
      <c r="H91" t="inlineStr">
        <is>
          <t>CRY</t>
        </is>
      </c>
    </row>
    <row r="92">
      <c r="A92" t="n">
        <v>10</v>
      </c>
      <c r="B92" t="inlineStr">
        <is>
          <t>2026-11-07T15:00:00Z</t>
        </is>
      </c>
      <c r="C92" t="n">
        <v>1</v>
      </c>
      <c r="D92" t="n">
        <v>11</v>
      </c>
      <c r="E92" t="n">
        <v>2</v>
      </c>
      <c r="F92" t="n">
        <v>5</v>
      </c>
      <c r="G92" t="inlineStr">
        <is>
          <t>ARS</t>
        </is>
      </c>
      <c r="H92" t="inlineStr">
        <is>
          <t>HUL</t>
        </is>
      </c>
    </row>
    <row r="93">
      <c r="A93" t="n">
        <v>10</v>
      </c>
      <c r="B93" t="inlineStr">
        <is>
          <t>2026-11-07T15:00:00Z</t>
        </is>
      </c>
      <c r="C93" t="n">
        <v>5</v>
      </c>
      <c r="D93" t="n">
        <v>4</v>
      </c>
      <c r="E93" t="n">
        <v>3</v>
      </c>
      <c r="F93" t="n">
        <v>3</v>
      </c>
      <c r="G93" t="inlineStr">
        <is>
          <t>BHA</t>
        </is>
      </c>
      <c r="H93" t="inlineStr">
        <is>
          <t>BRE</t>
        </is>
      </c>
    </row>
    <row r="94">
      <c r="A94" t="n">
        <v>10</v>
      </c>
      <c r="B94" t="inlineStr">
        <is>
          <t>2026-11-07T15:00:00Z</t>
        </is>
      </c>
      <c r="C94" t="n">
        <v>8</v>
      </c>
      <c r="D94" t="n">
        <v>14</v>
      </c>
      <c r="E94" t="n">
        <v>4</v>
      </c>
      <c r="F94" t="n">
        <v>3</v>
      </c>
      <c r="G94" t="inlineStr">
        <is>
          <t>CRY</t>
        </is>
      </c>
      <c r="H94" t="inlineStr">
        <is>
          <t>LIV</t>
        </is>
      </c>
    </row>
    <row r="95">
      <c r="A95" t="n">
        <v>10</v>
      </c>
      <c r="B95" t="inlineStr">
        <is>
          <t>2026-11-07T15:00:00Z</t>
        </is>
      </c>
      <c r="C95" t="n">
        <v>9</v>
      </c>
      <c r="D95" t="n">
        <v>7</v>
      </c>
      <c r="E95" t="n">
        <v>2</v>
      </c>
      <c r="F95" t="n">
        <v>3</v>
      </c>
      <c r="G95" t="inlineStr">
        <is>
          <t>EVE</t>
        </is>
      </c>
      <c r="H95" t="inlineStr">
        <is>
          <t>COV</t>
        </is>
      </c>
    </row>
    <row r="96">
      <c r="A96" t="n">
        <v>10</v>
      </c>
      <c r="B96" t="inlineStr">
        <is>
          <t>2026-11-07T15:00:00Z</t>
        </is>
      </c>
      <c r="C96" t="n">
        <v>10</v>
      </c>
      <c r="D96" t="n">
        <v>17</v>
      </c>
      <c r="E96" t="n">
        <v>2</v>
      </c>
      <c r="F96" t="n">
        <v>3</v>
      </c>
      <c r="G96" t="inlineStr">
        <is>
          <t>FUL</t>
        </is>
      </c>
      <c r="H96" t="inlineStr">
        <is>
          <t>NEW</t>
        </is>
      </c>
    </row>
    <row r="97">
      <c r="A97" t="n">
        <v>10</v>
      </c>
      <c r="B97" t="inlineStr">
        <is>
          <t>2026-11-07T15:00:00Z</t>
        </is>
      </c>
      <c r="C97" t="n">
        <v>12</v>
      </c>
      <c r="D97" t="n">
        <v>3</v>
      </c>
      <c r="E97" t="n">
        <v>3</v>
      </c>
      <c r="F97" t="n">
        <v>2</v>
      </c>
      <c r="G97" t="inlineStr">
        <is>
          <t>IPS</t>
        </is>
      </c>
      <c r="H97" t="inlineStr">
        <is>
          <t>BOU</t>
        </is>
      </c>
    </row>
    <row r="98">
      <c r="A98" t="n">
        <v>10</v>
      </c>
      <c r="B98" t="inlineStr">
        <is>
          <t>2026-11-07T15:00:00Z</t>
        </is>
      </c>
      <c r="C98" t="n">
        <v>13</v>
      </c>
      <c r="D98" t="n">
        <v>19</v>
      </c>
      <c r="E98" t="n">
        <v>3</v>
      </c>
      <c r="F98" t="n">
        <v>3</v>
      </c>
      <c r="G98" t="inlineStr">
        <is>
          <t>LEE</t>
        </is>
      </c>
      <c r="H98" t="inlineStr">
        <is>
          <t>TOT</t>
        </is>
      </c>
    </row>
    <row r="99">
      <c r="A99" t="n">
        <v>10</v>
      </c>
      <c r="B99" t="inlineStr">
        <is>
          <t>2026-11-07T15:00:00Z</t>
        </is>
      </c>
      <c r="C99" t="n">
        <v>16</v>
      </c>
      <c r="D99" t="n">
        <v>2</v>
      </c>
      <c r="E99" t="n">
        <v>3</v>
      </c>
      <c r="F99" t="n">
        <v>4</v>
      </c>
      <c r="G99" t="inlineStr">
        <is>
          <t>MUN</t>
        </is>
      </c>
      <c r="H99" t="inlineStr">
        <is>
          <t>AVL</t>
        </is>
      </c>
    </row>
    <row r="100">
      <c r="A100" t="n">
        <v>10</v>
      </c>
      <c r="B100" t="inlineStr">
        <is>
          <t>2026-11-07T15:00:00Z</t>
        </is>
      </c>
      <c r="C100" t="n">
        <v>18</v>
      </c>
      <c r="D100" t="n">
        <v>15</v>
      </c>
      <c r="E100" t="n">
        <v>4</v>
      </c>
      <c r="F100" t="n">
        <v>3</v>
      </c>
      <c r="G100" t="inlineStr">
        <is>
          <t>NFO</t>
        </is>
      </c>
      <c r="H100" t="inlineStr">
        <is>
          <t>MCI</t>
        </is>
      </c>
    </row>
    <row r="101">
      <c r="A101" t="n">
        <v>10</v>
      </c>
      <c r="B101" t="inlineStr">
        <is>
          <t>2026-11-07T15:00:00Z</t>
        </is>
      </c>
      <c r="C101" t="n">
        <v>20</v>
      </c>
      <c r="D101" t="n">
        <v>6</v>
      </c>
      <c r="E101" t="n">
        <v>4</v>
      </c>
      <c r="F101" t="n">
        <v>3</v>
      </c>
      <c r="G101" t="inlineStr">
        <is>
          <t>SUN</t>
        </is>
      </c>
      <c r="H101" t="inlineStr">
        <is>
          <t>CHE</t>
        </is>
      </c>
    </row>
    <row r="102">
      <c r="A102" t="n">
        <v>11</v>
      </c>
      <c r="B102" t="inlineStr">
        <is>
          <t>2026-11-21T15:00:00Z</t>
        </is>
      </c>
      <c r="C102" t="n">
        <v>2</v>
      </c>
      <c r="D102" t="n">
        <v>20</v>
      </c>
      <c r="E102" t="n">
        <v>2</v>
      </c>
      <c r="F102" t="n">
        <v>4</v>
      </c>
      <c r="G102" t="inlineStr">
        <is>
          <t>AVL</t>
        </is>
      </c>
      <c r="H102" t="inlineStr">
        <is>
          <t>SUN</t>
        </is>
      </c>
    </row>
    <row r="103">
      <c r="A103" t="n">
        <v>11</v>
      </c>
      <c r="B103" t="inlineStr">
        <is>
          <t>2026-11-21T15:00:00Z</t>
        </is>
      </c>
      <c r="C103" t="n">
        <v>3</v>
      </c>
      <c r="D103" t="n">
        <v>18</v>
      </c>
      <c r="E103" t="n">
        <v>3</v>
      </c>
      <c r="F103" t="n">
        <v>3</v>
      </c>
      <c r="G103" t="inlineStr">
        <is>
          <t>BOU</t>
        </is>
      </c>
      <c r="H103" t="inlineStr">
        <is>
          <t>NFO</t>
        </is>
      </c>
    </row>
    <row r="104">
      <c r="A104" t="n">
        <v>11</v>
      </c>
      <c r="B104" t="inlineStr">
        <is>
          <t>2026-11-21T15:00:00Z</t>
        </is>
      </c>
      <c r="C104" t="n">
        <v>4</v>
      </c>
      <c r="D104" t="n">
        <v>9</v>
      </c>
      <c r="E104" t="n">
        <v>3</v>
      </c>
      <c r="F104" t="n">
        <v>3</v>
      </c>
      <c r="G104" t="inlineStr">
        <is>
          <t>BRE</t>
        </is>
      </c>
      <c r="H104" t="inlineStr">
        <is>
          <t>EVE</t>
        </is>
      </c>
    </row>
    <row r="105">
      <c r="A105" t="n">
        <v>11</v>
      </c>
      <c r="B105" t="inlineStr">
        <is>
          <t>2026-11-21T15:00:00Z</t>
        </is>
      </c>
      <c r="C105" t="n">
        <v>6</v>
      </c>
      <c r="D105" t="n">
        <v>13</v>
      </c>
      <c r="E105" t="n">
        <v>2</v>
      </c>
      <c r="F105" t="n">
        <v>4</v>
      </c>
      <c r="G105" t="inlineStr">
        <is>
          <t>CHE</t>
        </is>
      </c>
      <c r="H105" t="inlineStr">
        <is>
          <t>LEE</t>
        </is>
      </c>
    </row>
    <row r="106">
      <c r="A106" t="n">
        <v>11</v>
      </c>
      <c r="B106" t="inlineStr">
        <is>
          <t>2026-11-21T15:00:00Z</t>
        </is>
      </c>
      <c r="C106" t="n">
        <v>7</v>
      </c>
      <c r="D106" t="n">
        <v>8</v>
      </c>
      <c r="E106" t="n">
        <v>3</v>
      </c>
      <c r="F106" t="n">
        <v>2</v>
      </c>
      <c r="G106" t="inlineStr">
        <is>
          <t>COV</t>
        </is>
      </c>
      <c r="H106" t="inlineStr">
        <is>
          <t>CRY</t>
        </is>
      </c>
    </row>
    <row r="107">
      <c r="A107" t="n">
        <v>11</v>
      </c>
      <c r="B107" t="inlineStr">
        <is>
          <t>2026-11-21T15:00:00Z</t>
        </is>
      </c>
      <c r="C107" t="n">
        <v>11</v>
      </c>
      <c r="D107" t="n">
        <v>5</v>
      </c>
      <c r="E107" t="n">
        <v>2</v>
      </c>
      <c r="F107" t="n">
        <v>2</v>
      </c>
      <c r="G107" t="inlineStr">
        <is>
          <t>HUL</t>
        </is>
      </c>
      <c r="H107" t="inlineStr">
        <is>
          <t>BHA</t>
        </is>
      </c>
    </row>
    <row r="108">
      <c r="A108" t="n">
        <v>11</v>
      </c>
      <c r="B108" t="inlineStr">
        <is>
          <t>2026-11-21T15:00:00Z</t>
        </is>
      </c>
      <c r="C108" t="n">
        <v>14</v>
      </c>
      <c r="D108" t="n">
        <v>16</v>
      </c>
      <c r="E108" t="n">
        <v>4</v>
      </c>
      <c r="F108" t="n">
        <v>4</v>
      </c>
      <c r="G108" t="inlineStr">
        <is>
          <t>LIV</t>
        </is>
      </c>
      <c r="H108" t="inlineStr">
        <is>
          <t>MUN</t>
        </is>
      </c>
    </row>
    <row r="109">
      <c r="A109" t="n">
        <v>11</v>
      </c>
      <c r="B109" t="inlineStr">
        <is>
          <t>2026-11-21T15:00:00Z</t>
        </is>
      </c>
      <c r="C109" t="n">
        <v>15</v>
      </c>
      <c r="D109" t="n">
        <v>10</v>
      </c>
      <c r="E109" t="n">
        <v>2</v>
      </c>
      <c r="F109" t="n">
        <v>5</v>
      </c>
      <c r="G109" t="inlineStr">
        <is>
          <t>MCI</t>
        </is>
      </c>
      <c r="H109" t="inlineStr">
        <is>
          <t>FUL</t>
        </is>
      </c>
    </row>
    <row r="110">
      <c r="A110" t="n">
        <v>11</v>
      </c>
      <c r="B110" t="inlineStr">
        <is>
          <t>2026-11-21T15:00:00Z</t>
        </is>
      </c>
      <c r="C110" t="n">
        <v>17</v>
      </c>
      <c r="D110" t="n">
        <v>1</v>
      </c>
      <c r="E110" t="n">
        <v>4</v>
      </c>
      <c r="F110" t="n">
        <v>3</v>
      </c>
      <c r="G110" t="inlineStr">
        <is>
          <t>NEW</t>
        </is>
      </c>
      <c r="H110" t="inlineStr">
        <is>
          <t>ARS</t>
        </is>
      </c>
    </row>
    <row r="111">
      <c r="A111" t="n">
        <v>11</v>
      </c>
      <c r="B111" t="inlineStr">
        <is>
          <t>2026-11-21T15:00:00Z</t>
        </is>
      </c>
      <c r="C111" t="n">
        <v>19</v>
      </c>
      <c r="D111" t="n">
        <v>12</v>
      </c>
      <c r="E111" t="n">
        <v>2</v>
      </c>
      <c r="F111" t="n">
        <v>3</v>
      </c>
      <c r="G111" t="inlineStr">
        <is>
          <t>TOT</t>
        </is>
      </c>
      <c r="H111" t="inlineStr">
        <is>
          <t>IPS</t>
        </is>
      </c>
    </row>
    <row r="112">
      <c r="A112" t="n">
        <v>12</v>
      </c>
      <c r="B112" t="inlineStr">
        <is>
          <t>2026-11-28T15:00:00Z</t>
        </is>
      </c>
      <c r="C112" t="n">
        <v>1</v>
      </c>
      <c r="D112" t="n">
        <v>15</v>
      </c>
      <c r="E112" t="n">
        <v>4</v>
      </c>
      <c r="F112" t="n">
        <v>5</v>
      </c>
      <c r="G112" t="inlineStr">
        <is>
          <t>ARS</t>
        </is>
      </c>
      <c r="H112" t="inlineStr">
        <is>
          <t>MCI</t>
        </is>
      </c>
    </row>
    <row r="113">
      <c r="A113" t="n">
        <v>12</v>
      </c>
      <c r="B113" t="inlineStr">
        <is>
          <t>2026-11-28T15:00:00Z</t>
        </is>
      </c>
      <c r="C113" t="n">
        <v>5</v>
      </c>
      <c r="D113" t="n">
        <v>17</v>
      </c>
      <c r="E113" t="n">
        <v>2</v>
      </c>
      <c r="F113" t="n">
        <v>3</v>
      </c>
      <c r="G113" t="inlineStr">
        <is>
          <t>BHA</t>
        </is>
      </c>
      <c r="H113" t="inlineStr">
        <is>
          <t>NEW</t>
        </is>
      </c>
    </row>
    <row r="114">
      <c r="A114" t="n">
        <v>12</v>
      </c>
      <c r="B114" t="inlineStr">
        <is>
          <t>2026-11-28T15:00:00Z</t>
        </is>
      </c>
      <c r="C114" t="n">
        <v>8</v>
      </c>
      <c r="D114" t="n">
        <v>11</v>
      </c>
      <c r="E114" t="n">
        <v>2</v>
      </c>
      <c r="F114" t="n">
        <v>3</v>
      </c>
      <c r="G114" t="inlineStr">
        <is>
          <t>CRY</t>
        </is>
      </c>
      <c r="H114" t="inlineStr">
        <is>
          <t>HUL</t>
        </is>
      </c>
    </row>
    <row r="115">
      <c r="A115" t="n">
        <v>12</v>
      </c>
      <c r="B115" t="inlineStr">
        <is>
          <t>2026-11-28T15:00:00Z</t>
        </is>
      </c>
      <c r="C115" t="n">
        <v>9</v>
      </c>
      <c r="D115" t="n">
        <v>14</v>
      </c>
      <c r="E115" t="n">
        <v>4</v>
      </c>
      <c r="F115" t="n">
        <v>3</v>
      </c>
      <c r="G115" t="inlineStr">
        <is>
          <t>EVE</t>
        </is>
      </c>
      <c r="H115" t="inlineStr">
        <is>
          <t>LIV</t>
        </is>
      </c>
    </row>
    <row r="116">
      <c r="A116" t="n">
        <v>12</v>
      </c>
      <c r="B116" t="inlineStr">
        <is>
          <t>2026-11-28T15:00:00Z</t>
        </is>
      </c>
      <c r="C116" t="n">
        <v>10</v>
      </c>
      <c r="D116" t="n">
        <v>3</v>
      </c>
      <c r="E116" t="n">
        <v>3</v>
      </c>
      <c r="F116" t="n">
        <v>3</v>
      </c>
      <c r="G116" t="inlineStr">
        <is>
          <t>FUL</t>
        </is>
      </c>
      <c r="H116" t="inlineStr">
        <is>
          <t>BOU</t>
        </is>
      </c>
    </row>
    <row r="117">
      <c r="A117" t="n">
        <v>12</v>
      </c>
      <c r="B117" t="inlineStr">
        <is>
          <t>2026-11-28T15:00:00Z</t>
        </is>
      </c>
      <c r="C117" t="n">
        <v>12</v>
      </c>
      <c r="D117" t="n">
        <v>2</v>
      </c>
      <c r="E117" t="n">
        <v>3</v>
      </c>
      <c r="F117" t="n">
        <v>2</v>
      </c>
      <c r="G117" t="inlineStr">
        <is>
          <t>IPS</t>
        </is>
      </c>
      <c r="H117" t="inlineStr">
        <is>
          <t>AVL</t>
        </is>
      </c>
    </row>
    <row r="118">
      <c r="A118" t="n">
        <v>12</v>
      </c>
      <c r="B118" t="inlineStr">
        <is>
          <t>2026-11-28T15:00:00Z</t>
        </is>
      </c>
      <c r="C118" t="n">
        <v>13</v>
      </c>
      <c r="D118" t="n">
        <v>7</v>
      </c>
      <c r="E118" t="n">
        <v>2</v>
      </c>
      <c r="F118" t="n">
        <v>3</v>
      </c>
      <c r="G118" t="inlineStr">
        <is>
          <t>LEE</t>
        </is>
      </c>
      <c r="H118" t="inlineStr">
        <is>
          <t>COV</t>
        </is>
      </c>
    </row>
    <row r="119">
      <c r="A119" t="n">
        <v>12</v>
      </c>
      <c r="B119" t="inlineStr">
        <is>
          <t>2026-11-28T15:00:00Z</t>
        </is>
      </c>
      <c r="C119" t="n">
        <v>16</v>
      </c>
      <c r="D119" t="n">
        <v>4</v>
      </c>
      <c r="E119" t="n">
        <v>3</v>
      </c>
      <c r="F119" t="n">
        <v>4</v>
      </c>
      <c r="G119" t="inlineStr">
        <is>
          <t>MUN</t>
        </is>
      </c>
      <c r="H119" t="inlineStr">
        <is>
          <t>BRE</t>
        </is>
      </c>
    </row>
    <row r="120">
      <c r="A120" t="n">
        <v>12</v>
      </c>
      <c r="B120" t="inlineStr">
        <is>
          <t>2026-11-28T15:00:00Z</t>
        </is>
      </c>
      <c r="C120" t="n">
        <v>18</v>
      </c>
      <c r="D120" t="n">
        <v>6</v>
      </c>
      <c r="E120" t="n">
        <v>4</v>
      </c>
      <c r="F120" t="n">
        <v>3</v>
      </c>
      <c r="G120" t="inlineStr">
        <is>
          <t>NFO</t>
        </is>
      </c>
      <c r="H120" t="inlineStr">
        <is>
          <t>CHE</t>
        </is>
      </c>
    </row>
    <row r="121">
      <c r="A121" t="n">
        <v>12</v>
      </c>
      <c r="B121" t="inlineStr">
        <is>
          <t>2026-11-28T15:00:00Z</t>
        </is>
      </c>
      <c r="C121" t="n">
        <v>20</v>
      </c>
      <c r="D121" t="n">
        <v>19</v>
      </c>
      <c r="E121" t="n">
        <v>3</v>
      </c>
      <c r="F121" t="n">
        <v>3</v>
      </c>
      <c r="G121" t="inlineStr">
        <is>
          <t>SUN</t>
        </is>
      </c>
      <c r="H121" t="inlineStr">
        <is>
          <t>TOT</t>
        </is>
      </c>
    </row>
    <row r="122">
      <c r="A122" t="n">
        <v>13</v>
      </c>
      <c r="B122" t="inlineStr">
        <is>
          <t>2026-12-02T20:00:00Z</t>
        </is>
      </c>
      <c r="C122" t="n">
        <v>2</v>
      </c>
      <c r="D122" t="n">
        <v>9</v>
      </c>
      <c r="E122" t="n">
        <v>3</v>
      </c>
      <c r="F122" t="n">
        <v>4</v>
      </c>
      <c r="G122" t="inlineStr">
        <is>
          <t>AVL</t>
        </is>
      </c>
      <c r="H122" t="inlineStr">
        <is>
          <t>EVE</t>
        </is>
      </c>
    </row>
    <row r="123">
      <c r="A123" t="n">
        <v>13</v>
      </c>
      <c r="B123" t="inlineStr">
        <is>
          <t>2026-12-02T20:00:00Z</t>
        </is>
      </c>
      <c r="C123" t="n">
        <v>3</v>
      </c>
      <c r="D123" t="n">
        <v>5</v>
      </c>
      <c r="E123" t="n">
        <v>2</v>
      </c>
      <c r="F123" t="n">
        <v>3</v>
      </c>
      <c r="G123" t="inlineStr">
        <is>
          <t>BOU</t>
        </is>
      </c>
      <c r="H123" t="inlineStr">
        <is>
          <t>BHA</t>
        </is>
      </c>
    </row>
    <row r="124">
      <c r="A124" t="n">
        <v>13</v>
      </c>
      <c r="B124" t="inlineStr">
        <is>
          <t>2026-12-02T20:00:00Z</t>
        </is>
      </c>
      <c r="C124" t="n">
        <v>4</v>
      </c>
      <c r="D124" t="n">
        <v>1</v>
      </c>
      <c r="E124" t="n">
        <v>4</v>
      </c>
      <c r="F124" t="n">
        <v>3</v>
      </c>
      <c r="G124" t="inlineStr">
        <is>
          <t>BRE</t>
        </is>
      </c>
      <c r="H124" t="inlineStr">
        <is>
          <t>ARS</t>
        </is>
      </c>
    </row>
    <row r="125">
      <c r="A125" t="n">
        <v>13</v>
      </c>
      <c r="B125" t="inlineStr">
        <is>
          <t>2026-12-02T20:00:00Z</t>
        </is>
      </c>
      <c r="C125" t="n">
        <v>6</v>
      </c>
      <c r="D125" t="n">
        <v>8</v>
      </c>
      <c r="E125" t="n">
        <v>3</v>
      </c>
      <c r="F125" t="n">
        <v>4</v>
      </c>
      <c r="G125" t="inlineStr">
        <is>
          <t>CHE</t>
        </is>
      </c>
      <c r="H125" t="inlineStr">
        <is>
          <t>CRY</t>
        </is>
      </c>
    </row>
    <row r="126">
      <c r="A126" t="n">
        <v>13</v>
      </c>
      <c r="B126" t="inlineStr">
        <is>
          <t>2026-12-02T20:00:00Z</t>
        </is>
      </c>
      <c r="C126" t="n">
        <v>7</v>
      </c>
      <c r="D126" t="n">
        <v>12</v>
      </c>
      <c r="E126" t="n">
        <v>2</v>
      </c>
      <c r="F126" t="n">
        <v>2</v>
      </c>
      <c r="G126" t="inlineStr">
        <is>
          <t>COV</t>
        </is>
      </c>
      <c r="H126" t="inlineStr">
        <is>
          <t>IPS</t>
        </is>
      </c>
    </row>
    <row r="127">
      <c r="A127" t="n">
        <v>13</v>
      </c>
      <c r="B127" t="inlineStr">
        <is>
          <t>2026-12-02T20:00:00Z</t>
        </is>
      </c>
      <c r="C127" t="n">
        <v>11</v>
      </c>
      <c r="D127" t="n">
        <v>18</v>
      </c>
      <c r="E127" t="n">
        <v>3</v>
      </c>
      <c r="F127" t="n">
        <v>2</v>
      </c>
      <c r="G127" t="inlineStr">
        <is>
          <t>HUL</t>
        </is>
      </c>
      <c r="H127" t="inlineStr">
        <is>
          <t>NFO</t>
        </is>
      </c>
    </row>
    <row r="128">
      <c r="A128" t="n">
        <v>13</v>
      </c>
      <c r="B128" t="inlineStr">
        <is>
          <t>2026-12-02T20:00:00Z</t>
        </is>
      </c>
      <c r="C128" t="n">
        <v>14</v>
      </c>
      <c r="D128" t="n">
        <v>20</v>
      </c>
      <c r="E128" t="n">
        <v>2</v>
      </c>
      <c r="F128" t="n">
        <v>4</v>
      </c>
      <c r="G128" t="inlineStr">
        <is>
          <t>LIV</t>
        </is>
      </c>
      <c r="H128" t="inlineStr">
        <is>
          <t>SUN</t>
        </is>
      </c>
    </row>
    <row r="129">
      <c r="A129" t="n">
        <v>13</v>
      </c>
      <c r="B129" t="inlineStr">
        <is>
          <t>2026-12-02T20:00:00Z</t>
        </is>
      </c>
      <c r="C129" t="n">
        <v>15</v>
      </c>
      <c r="D129" t="n">
        <v>13</v>
      </c>
      <c r="E129" t="n">
        <v>2</v>
      </c>
      <c r="F129" t="n">
        <v>5</v>
      </c>
      <c r="G129" t="inlineStr">
        <is>
          <t>MCI</t>
        </is>
      </c>
      <c r="H129" t="inlineStr">
        <is>
          <t>LEE</t>
        </is>
      </c>
    </row>
    <row r="130">
      <c r="A130" t="n">
        <v>13</v>
      </c>
      <c r="B130" t="inlineStr">
        <is>
          <t>2026-12-02T20:00:00Z</t>
        </is>
      </c>
      <c r="C130" t="n">
        <v>17</v>
      </c>
      <c r="D130" t="n">
        <v>16</v>
      </c>
      <c r="E130" t="n">
        <v>4</v>
      </c>
      <c r="F130" t="n">
        <v>3</v>
      </c>
      <c r="G130" t="inlineStr">
        <is>
          <t>NEW</t>
        </is>
      </c>
      <c r="H130" t="inlineStr">
        <is>
          <t>MUN</t>
        </is>
      </c>
    </row>
    <row r="131">
      <c r="A131" t="n">
        <v>13</v>
      </c>
      <c r="B131" t="inlineStr">
        <is>
          <t>2026-12-02T20:00:00Z</t>
        </is>
      </c>
      <c r="C131" t="n">
        <v>19</v>
      </c>
      <c r="D131" t="n">
        <v>10</v>
      </c>
      <c r="E131" t="n">
        <v>2</v>
      </c>
      <c r="F131" t="n">
        <v>3</v>
      </c>
      <c r="G131" t="inlineStr">
        <is>
          <t>TOT</t>
        </is>
      </c>
      <c r="H131" t="inlineStr">
        <is>
          <t>FUL</t>
        </is>
      </c>
    </row>
    <row r="132">
      <c r="A132" t="n">
        <v>14</v>
      </c>
      <c r="B132" t="inlineStr">
        <is>
          <t>2026-12-05T15:00:00Z</t>
        </is>
      </c>
      <c r="C132" t="n">
        <v>2</v>
      </c>
      <c r="D132" t="n">
        <v>8</v>
      </c>
      <c r="E132" t="n">
        <v>3</v>
      </c>
      <c r="F132" t="n">
        <v>4</v>
      </c>
      <c r="G132" t="inlineStr">
        <is>
          <t>AVL</t>
        </is>
      </c>
      <c r="H132" t="inlineStr">
        <is>
          <t>CRY</t>
        </is>
      </c>
    </row>
    <row r="133">
      <c r="A133" t="n">
        <v>14</v>
      </c>
      <c r="B133" t="inlineStr">
        <is>
          <t>2026-12-05T15:00:00Z</t>
        </is>
      </c>
      <c r="C133" t="n">
        <v>3</v>
      </c>
      <c r="D133" t="n">
        <v>11</v>
      </c>
      <c r="E133" t="n">
        <v>2</v>
      </c>
      <c r="F133" t="n">
        <v>3</v>
      </c>
      <c r="G133" t="inlineStr">
        <is>
          <t>BOU</t>
        </is>
      </c>
      <c r="H133" t="inlineStr">
        <is>
          <t>HUL</t>
        </is>
      </c>
    </row>
    <row r="134">
      <c r="A134" t="n">
        <v>14</v>
      </c>
      <c r="B134" t="inlineStr">
        <is>
          <t>2026-12-05T15:00:00Z</t>
        </is>
      </c>
      <c r="C134" t="n">
        <v>4</v>
      </c>
      <c r="D134" t="n">
        <v>15</v>
      </c>
      <c r="E134" t="n">
        <v>4</v>
      </c>
      <c r="F134" t="n">
        <v>3</v>
      </c>
      <c r="G134" t="inlineStr">
        <is>
          <t>BRE</t>
        </is>
      </c>
      <c r="H134" t="inlineStr">
        <is>
          <t>MCI</t>
        </is>
      </c>
    </row>
    <row r="135">
      <c r="A135" t="n">
        <v>14</v>
      </c>
      <c r="B135" t="inlineStr">
        <is>
          <t>2026-12-05T15:00:00Z</t>
        </is>
      </c>
      <c r="C135" t="n">
        <v>6</v>
      </c>
      <c r="D135" t="n">
        <v>14</v>
      </c>
      <c r="E135" t="n">
        <v>4</v>
      </c>
      <c r="F135" t="n">
        <v>4</v>
      </c>
      <c r="G135" t="inlineStr">
        <is>
          <t>CHE</t>
        </is>
      </c>
      <c r="H135" t="inlineStr">
        <is>
          <t>LIV</t>
        </is>
      </c>
    </row>
    <row r="136">
      <c r="A136" t="n">
        <v>14</v>
      </c>
      <c r="B136" t="inlineStr">
        <is>
          <t>2026-12-05T15:00:00Z</t>
        </is>
      </c>
      <c r="C136" t="n">
        <v>9</v>
      </c>
      <c r="D136" t="n">
        <v>10</v>
      </c>
      <c r="E136" t="n">
        <v>2</v>
      </c>
      <c r="F136" t="n">
        <v>3</v>
      </c>
      <c r="G136" t="inlineStr">
        <is>
          <t>EVE</t>
        </is>
      </c>
      <c r="H136" t="inlineStr">
        <is>
          <t>FUL</t>
        </is>
      </c>
    </row>
    <row r="137">
      <c r="A137" t="n">
        <v>14</v>
      </c>
      <c r="B137" t="inlineStr">
        <is>
          <t>2026-12-05T15:00:00Z</t>
        </is>
      </c>
      <c r="C137" t="n">
        <v>13</v>
      </c>
      <c r="D137" t="n">
        <v>12</v>
      </c>
      <c r="E137" t="n">
        <v>2</v>
      </c>
      <c r="F137" t="n">
        <v>3</v>
      </c>
      <c r="G137" t="inlineStr">
        <is>
          <t>LEE</t>
        </is>
      </c>
      <c r="H137" t="inlineStr">
        <is>
          <t>IPS</t>
        </is>
      </c>
    </row>
    <row r="138">
      <c r="A138" t="n">
        <v>14</v>
      </c>
      <c r="B138" t="inlineStr">
        <is>
          <t>2026-12-05T15:00:00Z</t>
        </is>
      </c>
      <c r="C138" t="n">
        <v>16</v>
      </c>
      <c r="D138" t="n">
        <v>7</v>
      </c>
      <c r="E138" t="n">
        <v>2</v>
      </c>
      <c r="F138" t="n">
        <v>4</v>
      </c>
      <c r="G138" t="inlineStr">
        <is>
          <t>MUN</t>
        </is>
      </c>
      <c r="H138" t="inlineStr">
        <is>
          <t>COV</t>
        </is>
      </c>
    </row>
    <row r="139">
      <c r="A139" t="n">
        <v>14</v>
      </c>
      <c r="B139" t="inlineStr">
        <is>
          <t>2026-12-05T15:00:00Z</t>
        </is>
      </c>
      <c r="C139" t="n">
        <v>17</v>
      </c>
      <c r="D139" t="n">
        <v>20</v>
      </c>
      <c r="E139" t="n">
        <v>2</v>
      </c>
      <c r="F139" t="n">
        <v>3</v>
      </c>
      <c r="G139" t="inlineStr">
        <is>
          <t>NEW</t>
        </is>
      </c>
      <c r="H139" t="inlineStr">
        <is>
          <t>SUN</t>
        </is>
      </c>
    </row>
    <row r="140">
      <c r="A140" t="n">
        <v>14</v>
      </c>
      <c r="B140" t="inlineStr">
        <is>
          <t>2026-12-05T15:00:00Z</t>
        </is>
      </c>
      <c r="C140" t="n">
        <v>18</v>
      </c>
      <c r="D140" t="n">
        <v>5</v>
      </c>
      <c r="E140" t="n">
        <v>2</v>
      </c>
      <c r="F140" t="n">
        <v>3</v>
      </c>
      <c r="G140" t="inlineStr">
        <is>
          <t>NFO</t>
        </is>
      </c>
      <c r="H140" t="inlineStr">
        <is>
          <t>BHA</t>
        </is>
      </c>
    </row>
    <row r="141">
      <c r="A141" t="n">
        <v>14</v>
      </c>
      <c r="B141" t="inlineStr">
        <is>
          <t>2026-12-05T15:00:00Z</t>
        </is>
      </c>
      <c r="C141" t="n">
        <v>19</v>
      </c>
      <c r="D141" t="n">
        <v>1</v>
      </c>
      <c r="E141" t="n">
        <v>4</v>
      </c>
      <c r="F141" t="n">
        <v>3</v>
      </c>
      <c r="G141" t="inlineStr">
        <is>
          <t>TOT</t>
        </is>
      </c>
      <c r="H141" t="inlineStr">
        <is>
          <t>ARS</t>
        </is>
      </c>
    </row>
    <row r="142">
      <c r="A142" t="n">
        <v>15</v>
      </c>
      <c r="B142" t="inlineStr">
        <is>
          <t>2026-12-12T15:00:00Z</t>
        </is>
      </c>
      <c r="C142" t="n">
        <v>1</v>
      </c>
      <c r="D142" t="n">
        <v>3</v>
      </c>
      <c r="E142" t="n">
        <v>3</v>
      </c>
      <c r="F142" t="n">
        <v>5</v>
      </c>
      <c r="G142" t="inlineStr">
        <is>
          <t>ARS</t>
        </is>
      </c>
      <c r="H142" t="inlineStr">
        <is>
          <t>BOU</t>
        </is>
      </c>
    </row>
    <row r="143">
      <c r="A143" t="n">
        <v>15</v>
      </c>
      <c r="B143" t="inlineStr">
        <is>
          <t>2026-12-12T15:00:00Z</t>
        </is>
      </c>
      <c r="C143" t="n">
        <v>5</v>
      </c>
      <c r="D143" t="n">
        <v>9</v>
      </c>
      <c r="E143" t="n">
        <v>3</v>
      </c>
      <c r="F143" t="n">
        <v>3</v>
      </c>
      <c r="G143" t="inlineStr">
        <is>
          <t>BHA</t>
        </is>
      </c>
      <c r="H143" t="inlineStr">
        <is>
          <t>EVE</t>
        </is>
      </c>
    </row>
    <row r="144">
      <c r="A144" t="n">
        <v>15</v>
      </c>
      <c r="B144" t="inlineStr">
        <is>
          <t>2026-12-12T15:00:00Z</t>
        </is>
      </c>
      <c r="C144" t="n">
        <v>7</v>
      </c>
      <c r="D144" t="n">
        <v>2</v>
      </c>
      <c r="E144" t="n">
        <v>3</v>
      </c>
      <c r="F144" t="n">
        <v>2</v>
      </c>
      <c r="G144" t="inlineStr">
        <is>
          <t>COV</t>
        </is>
      </c>
      <c r="H144" t="inlineStr">
        <is>
          <t>AVL</t>
        </is>
      </c>
    </row>
    <row r="145">
      <c r="A145" t="n">
        <v>15</v>
      </c>
      <c r="B145" t="inlineStr">
        <is>
          <t>2026-12-12T15:00:00Z</t>
        </is>
      </c>
      <c r="C145" t="n">
        <v>8</v>
      </c>
      <c r="D145" t="n">
        <v>16</v>
      </c>
      <c r="E145" t="n">
        <v>4</v>
      </c>
      <c r="F145" t="n">
        <v>3</v>
      </c>
      <c r="G145" t="inlineStr">
        <is>
          <t>CRY</t>
        </is>
      </c>
      <c r="H145" t="inlineStr">
        <is>
          <t>MUN</t>
        </is>
      </c>
    </row>
    <row r="146">
      <c r="A146" t="n">
        <v>15</v>
      </c>
      <c r="B146" t="inlineStr">
        <is>
          <t>2026-12-12T15:00:00Z</t>
        </is>
      </c>
      <c r="C146" t="n">
        <v>10</v>
      </c>
      <c r="D146" t="n">
        <v>4</v>
      </c>
      <c r="E146" t="n">
        <v>3</v>
      </c>
      <c r="F146" t="n">
        <v>3</v>
      </c>
      <c r="G146" t="inlineStr">
        <is>
          <t>FUL</t>
        </is>
      </c>
      <c r="H146" t="inlineStr">
        <is>
          <t>BRE</t>
        </is>
      </c>
    </row>
    <row r="147">
      <c r="A147" t="n">
        <v>15</v>
      </c>
      <c r="B147" t="inlineStr">
        <is>
          <t>2026-12-12T15:00:00Z</t>
        </is>
      </c>
      <c r="C147" t="n">
        <v>11</v>
      </c>
      <c r="D147" t="n">
        <v>19</v>
      </c>
      <c r="E147" t="n">
        <v>3</v>
      </c>
      <c r="F147" t="n">
        <v>2</v>
      </c>
      <c r="G147" t="inlineStr">
        <is>
          <t>HUL</t>
        </is>
      </c>
      <c r="H147" t="inlineStr">
        <is>
          <t>TOT</t>
        </is>
      </c>
    </row>
    <row r="148">
      <c r="A148" t="n">
        <v>15</v>
      </c>
      <c r="B148" t="inlineStr">
        <is>
          <t>2026-12-12T15:00:00Z</t>
        </is>
      </c>
      <c r="C148" t="n">
        <v>12</v>
      </c>
      <c r="D148" t="n">
        <v>17</v>
      </c>
      <c r="E148" t="n">
        <v>2</v>
      </c>
      <c r="F148" t="n">
        <v>2</v>
      </c>
      <c r="G148" t="inlineStr">
        <is>
          <t>IPS</t>
        </is>
      </c>
      <c r="H148" t="inlineStr">
        <is>
          <t>NEW</t>
        </is>
      </c>
    </row>
    <row r="149">
      <c r="A149" t="n">
        <v>15</v>
      </c>
      <c r="B149" t="inlineStr">
        <is>
          <t>2026-12-12T15:00:00Z</t>
        </is>
      </c>
      <c r="C149" t="n">
        <v>14</v>
      </c>
      <c r="D149" t="n">
        <v>13</v>
      </c>
      <c r="E149" t="n">
        <v>2</v>
      </c>
      <c r="F149" t="n">
        <v>4</v>
      </c>
      <c r="G149" t="inlineStr">
        <is>
          <t>LIV</t>
        </is>
      </c>
      <c r="H149" t="inlineStr">
        <is>
          <t>LEE</t>
        </is>
      </c>
    </row>
    <row r="150">
      <c r="A150" t="n">
        <v>15</v>
      </c>
      <c r="B150" t="inlineStr">
        <is>
          <t>2026-12-12T15:00:00Z</t>
        </is>
      </c>
      <c r="C150" t="n">
        <v>15</v>
      </c>
      <c r="D150" t="n">
        <v>6</v>
      </c>
      <c r="E150" t="n">
        <v>4</v>
      </c>
      <c r="F150" t="n">
        <v>5</v>
      </c>
      <c r="G150" t="inlineStr">
        <is>
          <t>MCI</t>
        </is>
      </c>
      <c r="H150" t="inlineStr">
        <is>
          <t>CHE</t>
        </is>
      </c>
    </row>
    <row r="151">
      <c r="A151" t="n">
        <v>15</v>
      </c>
      <c r="B151" t="inlineStr">
        <is>
          <t>2026-12-12T15:00:00Z</t>
        </is>
      </c>
      <c r="C151" t="n">
        <v>20</v>
      </c>
      <c r="D151" t="n">
        <v>18</v>
      </c>
      <c r="E151" t="n">
        <v>3</v>
      </c>
      <c r="F151" t="n">
        <v>3</v>
      </c>
      <c r="G151" t="inlineStr">
        <is>
          <t>SUN</t>
        </is>
      </c>
      <c r="H151" t="inlineStr">
        <is>
          <t>NFO</t>
        </is>
      </c>
    </row>
    <row r="152">
      <c r="A152" t="n">
        <v>16</v>
      </c>
      <c r="B152" t="inlineStr">
        <is>
          <t>2026-12-19T15:00:00Z</t>
        </is>
      </c>
      <c r="C152" t="n">
        <v>1</v>
      </c>
      <c r="D152" t="n">
        <v>16</v>
      </c>
      <c r="E152" t="n">
        <v>4</v>
      </c>
      <c r="F152" t="n">
        <v>5</v>
      </c>
      <c r="G152" t="inlineStr">
        <is>
          <t>ARS</t>
        </is>
      </c>
      <c r="H152" t="inlineStr">
        <is>
          <t>MUN</t>
        </is>
      </c>
    </row>
    <row r="153">
      <c r="A153" t="n">
        <v>16</v>
      </c>
      <c r="B153" t="inlineStr">
        <is>
          <t>2026-12-19T15:00:00Z</t>
        </is>
      </c>
      <c r="C153" t="n">
        <v>3</v>
      </c>
      <c r="D153" t="n">
        <v>7</v>
      </c>
      <c r="E153" t="n">
        <v>2</v>
      </c>
      <c r="F153" t="n">
        <v>3</v>
      </c>
      <c r="G153" t="inlineStr">
        <is>
          <t>BOU</t>
        </is>
      </c>
      <c r="H153" t="inlineStr">
        <is>
          <t>COV</t>
        </is>
      </c>
    </row>
    <row r="154">
      <c r="A154" t="n">
        <v>16</v>
      </c>
      <c r="B154" t="inlineStr">
        <is>
          <t>2026-12-19T15:00:00Z</t>
        </is>
      </c>
      <c r="C154" t="n">
        <v>4</v>
      </c>
      <c r="D154" t="n">
        <v>17</v>
      </c>
      <c r="E154" t="n">
        <v>2</v>
      </c>
      <c r="F154" t="n">
        <v>3</v>
      </c>
      <c r="G154" t="inlineStr">
        <is>
          <t>BRE</t>
        </is>
      </c>
      <c r="H154" t="inlineStr">
        <is>
          <t>NEW</t>
        </is>
      </c>
    </row>
    <row r="155">
      <c r="A155" t="n">
        <v>16</v>
      </c>
      <c r="B155" t="inlineStr">
        <is>
          <t>2026-12-19T15:00:00Z</t>
        </is>
      </c>
      <c r="C155" t="n">
        <v>5</v>
      </c>
      <c r="D155" t="n">
        <v>12</v>
      </c>
      <c r="E155" t="n">
        <v>2</v>
      </c>
      <c r="F155" t="n">
        <v>3</v>
      </c>
      <c r="G155" t="inlineStr">
        <is>
          <t>BHA</t>
        </is>
      </c>
      <c r="H155" t="inlineStr">
        <is>
          <t>IPS</t>
        </is>
      </c>
    </row>
    <row r="156">
      <c r="A156" t="n">
        <v>16</v>
      </c>
      <c r="B156" t="inlineStr">
        <is>
          <t>2026-12-19T15:00:00Z</t>
        </is>
      </c>
      <c r="C156" t="n">
        <v>6</v>
      </c>
      <c r="D156" t="n">
        <v>2</v>
      </c>
      <c r="E156" t="n">
        <v>3</v>
      </c>
      <c r="F156" t="n">
        <v>4</v>
      </c>
      <c r="G156" t="inlineStr">
        <is>
          <t>CHE</t>
        </is>
      </c>
      <c r="H156" t="inlineStr">
        <is>
          <t>AVL</t>
        </is>
      </c>
    </row>
    <row r="157">
      <c r="A157" t="n">
        <v>16</v>
      </c>
      <c r="B157" t="inlineStr">
        <is>
          <t>2026-12-19T15:00:00Z</t>
        </is>
      </c>
      <c r="C157" t="n">
        <v>13</v>
      </c>
      <c r="D157" t="n">
        <v>10</v>
      </c>
      <c r="E157" t="n">
        <v>2</v>
      </c>
      <c r="F157" t="n">
        <v>3</v>
      </c>
      <c r="G157" t="inlineStr">
        <is>
          <t>LEE</t>
        </is>
      </c>
      <c r="H157" t="inlineStr">
        <is>
          <t>FUL</t>
        </is>
      </c>
    </row>
    <row r="158">
      <c r="A158" t="n">
        <v>16</v>
      </c>
      <c r="B158" t="inlineStr">
        <is>
          <t>2026-12-19T15:00:00Z</t>
        </is>
      </c>
      <c r="C158" t="n">
        <v>14</v>
      </c>
      <c r="D158" t="n">
        <v>19</v>
      </c>
      <c r="E158" t="n">
        <v>3</v>
      </c>
      <c r="F158" t="n">
        <v>4</v>
      </c>
      <c r="G158" t="inlineStr">
        <is>
          <t>LIV</t>
        </is>
      </c>
      <c r="H158" t="inlineStr">
        <is>
          <t>TOT</t>
        </is>
      </c>
    </row>
    <row r="159">
      <c r="A159" t="n">
        <v>16</v>
      </c>
      <c r="B159" t="inlineStr">
        <is>
          <t>2026-12-19T15:00:00Z</t>
        </is>
      </c>
      <c r="C159" t="n">
        <v>15</v>
      </c>
      <c r="D159" t="n">
        <v>11</v>
      </c>
      <c r="E159" t="n">
        <v>2</v>
      </c>
      <c r="F159" t="n">
        <v>5</v>
      </c>
      <c r="G159" t="inlineStr">
        <is>
          <t>MCI</t>
        </is>
      </c>
      <c r="H159" t="inlineStr">
        <is>
          <t>HUL</t>
        </is>
      </c>
    </row>
    <row r="160">
      <c r="A160" t="n">
        <v>16</v>
      </c>
      <c r="B160" t="inlineStr">
        <is>
          <t>2026-12-19T15:00:00Z</t>
        </is>
      </c>
      <c r="C160" t="n">
        <v>18</v>
      </c>
      <c r="D160" t="n">
        <v>9</v>
      </c>
      <c r="E160" t="n">
        <v>3</v>
      </c>
      <c r="F160" t="n">
        <v>3</v>
      </c>
      <c r="G160" t="inlineStr">
        <is>
          <t>NFO</t>
        </is>
      </c>
      <c r="H160" t="inlineStr">
        <is>
          <t>EVE</t>
        </is>
      </c>
    </row>
    <row r="161">
      <c r="A161" t="n">
        <v>16</v>
      </c>
      <c r="B161" t="inlineStr">
        <is>
          <t>2026-12-19T15:00:00Z</t>
        </is>
      </c>
      <c r="C161" t="n">
        <v>20</v>
      </c>
      <c r="D161" t="n">
        <v>8</v>
      </c>
      <c r="E161" t="n">
        <v>3</v>
      </c>
      <c r="F161" t="n">
        <v>3</v>
      </c>
      <c r="G161" t="inlineStr">
        <is>
          <t>SUN</t>
        </is>
      </c>
      <c r="H161" t="inlineStr">
        <is>
          <t>CRY</t>
        </is>
      </c>
    </row>
    <row r="162">
      <c r="A162" t="n">
        <v>17</v>
      </c>
      <c r="B162" t="inlineStr">
        <is>
          <t>2026-12-26T15:00:00Z</t>
        </is>
      </c>
      <c r="C162" t="n">
        <v>2</v>
      </c>
      <c r="D162" t="n">
        <v>13</v>
      </c>
      <c r="E162" t="n">
        <v>2</v>
      </c>
      <c r="F162" t="n">
        <v>4</v>
      </c>
      <c r="G162" t="inlineStr">
        <is>
          <t>AVL</t>
        </is>
      </c>
      <c r="H162" t="inlineStr">
        <is>
          <t>LEE</t>
        </is>
      </c>
    </row>
    <row r="163">
      <c r="A163" t="n">
        <v>17</v>
      </c>
      <c r="B163" t="inlineStr">
        <is>
          <t>2026-12-26T15:00:00Z</t>
        </is>
      </c>
      <c r="C163" t="n">
        <v>7</v>
      </c>
      <c r="D163" t="n">
        <v>6</v>
      </c>
      <c r="E163" t="n">
        <v>4</v>
      </c>
      <c r="F163" t="n">
        <v>2</v>
      </c>
      <c r="G163" t="inlineStr">
        <is>
          <t>COV</t>
        </is>
      </c>
      <c r="H163" t="inlineStr">
        <is>
          <t>CHE</t>
        </is>
      </c>
    </row>
    <row r="164">
      <c r="A164" t="n">
        <v>17</v>
      </c>
      <c r="B164" t="inlineStr">
        <is>
          <t>2026-12-26T15:00:00Z</t>
        </is>
      </c>
      <c r="C164" t="n">
        <v>8</v>
      </c>
      <c r="D164" t="n">
        <v>1</v>
      </c>
      <c r="E164" t="n">
        <v>4</v>
      </c>
      <c r="F164" t="n">
        <v>3</v>
      </c>
      <c r="G164" t="inlineStr">
        <is>
          <t>CRY</t>
        </is>
      </c>
      <c r="H164" t="inlineStr">
        <is>
          <t>ARS</t>
        </is>
      </c>
    </row>
    <row r="165">
      <c r="A165" t="n">
        <v>17</v>
      </c>
      <c r="B165" t="inlineStr">
        <is>
          <t>2026-12-26T15:00:00Z</t>
        </is>
      </c>
      <c r="C165" t="n">
        <v>9</v>
      </c>
      <c r="D165" t="n">
        <v>20</v>
      </c>
      <c r="E165" t="n">
        <v>2</v>
      </c>
      <c r="F165" t="n">
        <v>3</v>
      </c>
      <c r="G165" t="inlineStr">
        <is>
          <t>EVE</t>
        </is>
      </c>
      <c r="H165" t="inlineStr">
        <is>
          <t>SUN</t>
        </is>
      </c>
    </row>
    <row r="166">
      <c r="A166" t="n">
        <v>17</v>
      </c>
      <c r="B166" t="inlineStr">
        <is>
          <t>2026-12-26T15:00:00Z</t>
        </is>
      </c>
      <c r="C166" t="n">
        <v>10</v>
      </c>
      <c r="D166" t="n">
        <v>5</v>
      </c>
      <c r="E166" t="n">
        <v>2</v>
      </c>
      <c r="F166" t="n">
        <v>3</v>
      </c>
      <c r="G166" t="inlineStr">
        <is>
          <t>FUL</t>
        </is>
      </c>
      <c r="H166" t="inlineStr">
        <is>
          <t>BHA</t>
        </is>
      </c>
    </row>
    <row r="167">
      <c r="A167" t="n">
        <v>17</v>
      </c>
      <c r="B167" t="inlineStr">
        <is>
          <t>2026-12-26T15:00:00Z</t>
        </is>
      </c>
      <c r="C167" t="n">
        <v>11</v>
      </c>
      <c r="D167" t="n">
        <v>14</v>
      </c>
      <c r="E167" t="n">
        <v>4</v>
      </c>
      <c r="F167" t="n">
        <v>2</v>
      </c>
      <c r="G167" t="inlineStr">
        <is>
          <t>HUL</t>
        </is>
      </c>
      <c r="H167" t="inlineStr">
        <is>
          <t>LIV</t>
        </is>
      </c>
    </row>
    <row r="168">
      <c r="A168" t="n">
        <v>17</v>
      </c>
      <c r="B168" t="inlineStr">
        <is>
          <t>2026-12-26T15:00:00Z</t>
        </is>
      </c>
      <c r="C168" t="n">
        <v>12</v>
      </c>
      <c r="D168" t="n">
        <v>4</v>
      </c>
      <c r="E168" t="n">
        <v>3</v>
      </c>
      <c r="F168" t="n">
        <v>2</v>
      </c>
      <c r="G168" t="inlineStr">
        <is>
          <t>IPS</t>
        </is>
      </c>
      <c r="H168" t="inlineStr">
        <is>
          <t>BRE</t>
        </is>
      </c>
    </row>
    <row r="169">
      <c r="A169" t="n">
        <v>17</v>
      </c>
      <c r="B169" t="inlineStr">
        <is>
          <t>2026-12-26T15:00:00Z</t>
        </is>
      </c>
      <c r="C169" t="n">
        <v>16</v>
      </c>
      <c r="D169" t="n">
        <v>18</v>
      </c>
      <c r="E169" t="n">
        <v>3</v>
      </c>
      <c r="F169" t="n">
        <v>4</v>
      </c>
      <c r="G169" t="inlineStr">
        <is>
          <t>MUN</t>
        </is>
      </c>
      <c r="H169" t="inlineStr">
        <is>
          <t>NFO</t>
        </is>
      </c>
    </row>
    <row r="170">
      <c r="A170" t="n">
        <v>17</v>
      </c>
      <c r="B170" t="inlineStr">
        <is>
          <t>2026-12-26T15:00:00Z</t>
        </is>
      </c>
      <c r="C170" t="n">
        <v>17</v>
      </c>
      <c r="D170" t="n">
        <v>15</v>
      </c>
      <c r="E170" t="n">
        <v>4</v>
      </c>
      <c r="F170" t="n">
        <v>3</v>
      </c>
      <c r="G170" t="inlineStr">
        <is>
          <t>NEW</t>
        </is>
      </c>
      <c r="H170" t="inlineStr">
        <is>
          <t>MCI</t>
        </is>
      </c>
    </row>
    <row r="171">
      <c r="A171" t="n">
        <v>17</v>
      </c>
      <c r="B171" t="inlineStr">
        <is>
          <t>2026-12-26T15:00:00Z</t>
        </is>
      </c>
      <c r="C171" t="n">
        <v>19</v>
      </c>
      <c r="D171" t="n">
        <v>3</v>
      </c>
      <c r="E171" t="n">
        <v>3</v>
      </c>
      <c r="F171" t="n">
        <v>3</v>
      </c>
      <c r="G171" t="inlineStr">
        <is>
          <t>TOT</t>
        </is>
      </c>
      <c r="H171" t="inlineStr">
        <is>
          <t>BOU</t>
        </is>
      </c>
    </row>
    <row r="172">
      <c r="A172" t="n">
        <v>18</v>
      </c>
      <c r="B172" t="inlineStr">
        <is>
          <t>2026-12-30T20:00:00Z</t>
        </is>
      </c>
      <c r="C172" t="n">
        <v>2</v>
      </c>
      <c r="D172" t="n">
        <v>14</v>
      </c>
      <c r="E172" t="n">
        <v>4</v>
      </c>
      <c r="F172" t="n">
        <v>4</v>
      </c>
      <c r="G172" t="inlineStr">
        <is>
          <t>AVL</t>
        </is>
      </c>
      <c r="H172" t="inlineStr">
        <is>
          <t>LIV</t>
        </is>
      </c>
    </row>
    <row r="173">
      <c r="A173" t="n">
        <v>18</v>
      </c>
      <c r="B173" t="inlineStr">
        <is>
          <t>2026-12-30T20:00:00Z</t>
        </is>
      </c>
      <c r="C173" t="n">
        <v>7</v>
      </c>
      <c r="D173" t="n">
        <v>4</v>
      </c>
      <c r="E173" t="n">
        <v>3</v>
      </c>
      <c r="F173" t="n">
        <v>2</v>
      </c>
      <c r="G173" t="inlineStr">
        <is>
          <t>COV</t>
        </is>
      </c>
      <c r="H173" t="inlineStr">
        <is>
          <t>BRE</t>
        </is>
      </c>
    </row>
    <row r="174">
      <c r="A174" t="n">
        <v>18</v>
      </c>
      <c r="B174" t="inlineStr">
        <is>
          <t>2026-12-30T20:00:00Z</t>
        </is>
      </c>
      <c r="C174" t="n">
        <v>8</v>
      </c>
      <c r="D174" t="n">
        <v>3</v>
      </c>
      <c r="E174" t="n">
        <v>3</v>
      </c>
      <c r="F174" t="n">
        <v>3</v>
      </c>
      <c r="G174" t="inlineStr">
        <is>
          <t>CRY</t>
        </is>
      </c>
      <c r="H174" t="inlineStr">
        <is>
          <t>BOU</t>
        </is>
      </c>
    </row>
    <row r="175">
      <c r="A175" t="n">
        <v>18</v>
      </c>
      <c r="B175" t="inlineStr">
        <is>
          <t>2026-12-30T20:00:00Z</t>
        </is>
      </c>
      <c r="C175" t="n">
        <v>9</v>
      </c>
      <c r="D175" t="n">
        <v>15</v>
      </c>
      <c r="E175" t="n">
        <v>4</v>
      </c>
      <c r="F175" t="n">
        <v>3</v>
      </c>
      <c r="G175" t="inlineStr">
        <is>
          <t>EVE</t>
        </is>
      </c>
      <c r="H175" t="inlineStr">
        <is>
          <t>MCI</t>
        </is>
      </c>
    </row>
    <row r="176">
      <c r="A176" t="n">
        <v>18</v>
      </c>
      <c r="B176" t="inlineStr">
        <is>
          <t>2026-12-30T20:00:00Z</t>
        </is>
      </c>
      <c r="C176" t="n">
        <v>10</v>
      </c>
      <c r="D176" t="n">
        <v>1</v>
      </c>
      <c r="E176" t="n">
        <v>4</v>
      </c>
      <c r="F176" t="n">
        <v>3</v>
      </c>
      <c r="G176" t="inlineStr">
        <is>
          <t>FUL</t>
        </is>
      </c>
      <c r="H176" t="inlineStr">
        <is>
          <t>ARS</t>
        </is>
      </c>
    </row>
    <row r="177">
      <c r="A177" t="n">
        <v>18</v>
      </c>
      <c r="B177" t="inlineStr">
        <is>
          <t>2026-12-30T20:00:00Z</t>
        </is>
      </c>
      <c r="C177" t="n">
        <v>11</v>
      </c>
      <c r="D177" t="n">
        <v>13</v>
      </c>
      <c r="E177" t="n">
        <v>2</v>
      </c>
      <c r="F177" t="n">
        <v>2</v>
      </c>
      <c r="G177" t="inlineStr">
        <is>
          <t>HUL</t>
        </is>
      </c>
      <c r="H177" t="inlineStr">
        <is>
          <t>LEE</t>
        </is>
      </c>
    </row>
    <row r="178">
      <c r="A178" t="n">
        <v>18</v>
      </c>
      <c r="B178" t="inlineStr">
        <is>
          <t>2026-12-30T20:00:00Z</t>
        </is>
      </c>
      <c r="C178" t="n">
        <v>12</v>
      </c>
      <c r="D178" t="n">
        <v>6</v>
      </c>
      <c r="E178" t="n">
        <v>4</v>
      </c>
      <c r="F178" t="n">
        <v>2</v>
      </c>
      <c r="G178" t="inlineStr">
        <is>
          <t>IPS</t>
        </is>
      </c>
      <c r="H178" t="inlineStr">
        <is>
          <t>CHE</t>
        </is>
      </c>
    </row>
    <row r="179">
      <c r="A179" t="n">
        <v>18</v>
      </c>
      <c r="B179" t="inlineStr">
        <is>
          <t>2026-12-30T20:00:00Z</t>
        </is>
      </c>
      <c r="C179" t="n">
        <v>16</v>
      </c>
      <c r="D179" t="n">
        <v>20</v>
      </c>
      <c r="E179" t="n">
        <v>2</v>
      </c>
      <c r="F179" t="n">
        <v>4</v>
      </c>
      <c r="G179" t="inlineStr">
        <is>
          <t>MUN</t>
        </is>
      </c>
      <c r="H179" t="inlineStr">
        <is>
          <t>SUN</t>
        </is>
      </c>
    </row>
    <row r="180">
      <c r="A180" t="n">
        <v>18</v>
      </c>
      <c r="B180" t="inlineStr">
        <is>
          <t>2026-12-30T20:00:00Z</t>
        </is>
      </c>
      <c r="C180" t="n">
        <v>17</v>
      </c>
      <c r="D180" t="n">
        <v>18</v>
      </c>
      <c r="E180" t="n">
        <v>3</v>
      </c>
      <c r="F180" t="n">
        <v>3</v>
      </c>
      <c r="G180" t="inlineStr">
        <is>
          <t>NEW</t>
        </is>
      </c>
      <c r="H180" t="inlineStr">
        <is>
          <t>NFO</t>
        </is>
      </c>
    </row>
    <row r="181">
      <c r="A181" t="n">
        <v>18</v>
      </c>
      <c r="B181" t="inlineStr">
        <is>
          <t>2026-12-30T20:00:00Z</t>
        </is>
      </c>
      <c r="C181" t="n">
        <v>19</v>
      </c>
      <c r="D181" t="n">
        <v>5</v>
      </c>
      <c r="E181" t="n">
        <v>2</v>
      </c>
      <c r="F181" t="n">
        <v>3</v>
      </c>
      <c r="G181" t="inlineStr">
        <is>
          <t>TOT</t>
        </is>
      </c>
      <c r="H181" t="inlineStr">
        <is>
          <t>BHA</t>
        </is>
      </c>
    </row>
    <row r="182">
      <c r="A182" t="n">
        <v>19</v>
      </c>
      <c r="B182" t="inlineStr">
        <is>
          <t>2027-01-02T15:00:00Z</t>
        </is>
      </c>
      <c r="C182" t="n">
        <v>1</v>
      </c>
      <c r="D182" t="n">
        <v>12</v>
      </c>
      <c r="E182" t="n">
        <v>2</v>
      </c>
      <c r="F182" t="n">
        <v>5</v>
      </c>
      <c r="G182" t="inlineStr">
        <is>
          <t>ARS</t>
        </is>
      </c>
      <c r="H182" t="inlineStr">
        <is>
          <t>IPS</t>
        </is>
      </c>
    </row>
    <row r="183">
      <c r="A183" t="n">
        <v>19</v>
      </c>
      <c r="B183" t="inlineStr">
        <is>
          <t>2027-01-02T15:00:00Z</t>
        </is>
      </c>
      <c r="C183" t="n">
        <v>3</v>
      </c>
      <c r="D183" t="n">
        <v>2</v>
      </c>
      <c r="E183" t="n">
        <v>3</v>
      </c>
      <c r="F183" t="n">
        <v>3</v>
      </c>
      <c r="G183" t="inlineStr">
        <is>
          <t>BOU</t>
        </is>
      </c>
      <c r="H183" t="inlineStr">
        <is>
          <t>AVL</t>
        </is>
      </c>
    </row>
    <row r="184">
      <c r="A184" t="n">
        <v>19</v>
      </c>
      <c r="B184" t="inlineStr">
        <is>
          <t>2027-01-02T15:00:00Z</t>
        </is>
      </c>
      <c r="C184" t="n">
        <v>4</v>
      </c>
      <c r="D184" t="n">
        <v>8</v>
      </c>
      <c r="E184" t="n">
        <v>3</v>
      </c>
      <c r="F184" t="n">
        <v>3</v>
      </c>
      <c r="G184" t="inlineStr">
        <is>
          <t>BRE</t>
        </is>
      </c>
      <c r="H184" t="inlineStr">
        <is>
          <t>CRY</t>
        </is>
      </c>
    </row>
    <row r="185">
      <c r="A185" t="n">
        <v>19</v>
      </c>
      <c r="B185" t="inlineStr">
        <is>
          <t>2027-01-02T15:00:00Z</t>
        </is>
      </c>
      <c r="C185" t="n">
        <v>5</v>
      </c>
      <c r="D185" t="n">
        <v>16</v>
      </c>
      <c r="E185" t="n">
        <v>4</v>
      </c>
      <c r="F185" t="n">
        <v>3</v>
      </c>
      <c r="G185" t="inlineStr">
        <is>
          <t>BHA</t>
        </is>
      </c>
      <c r="H185" t="inlineStr">
        <is>
          <t>MUN</t>
        </is>
      </c>
    </row>
    <row r="186">
      <c r="A186" t="n">
        <v>19</v>
      </c>
      <c r="B186" t="inlineStr">
        <is>
          <t>2027-01-02T15:00:00Z</t>
        </is>
      </c>
      <c r="C186" t="n">
        <v>6</v>
      </c>
      <c r="D186" t="n">
        <v>17</v>
      </c>
      <c r="E186" t="n">
        <v>2</v>
      </c>
      <c r="F186" t="n">
        <v>4</v>
      </c>
      <c r="G186" t="inlineStr">
        <is>
          <t>CHE</t>
        </is>
      </c>
      <c r="H186" t="inlineStr">
        <is>
          <t>NEW</t>
        </is>
      </c>
    </row>
    <row r="187">
      <c r="A187" t="n">
        <v>19</v>
      </c>
      <c r="B187" t="inlineStr">
        <is>
          <t>2027-01-02T15:00:00Z</t>
        </is>
      </c>
      <c r="C187" t="n">
        <v>13</v>
      </c>
      <c r="D187" t="n">
        <v>9</v>
      </c>
      <c r="E187" t="n">
        <v>3</v>
      </c>
      <c r="F187" t="n">
        <v>3</v>
      </c>
      <c r="G187" t="inlineStr">
        <is>
          <t>LEE</t>
        </is>
      </c>
      <c r="H187" t="inlineStr">
        <is>
          <t>EVE</t>
        </is>
      </c>
    </row>
    <row r="188">
      <c r="A188" t="n">
        <v>19</v>
      </c>
      <c r="B188" t="inlineStr">
        <is>
          <t>2027-01-02T15:00:00Z</t>
        </is>
      </c>
      <c r="C188" t="n">
        <v>14</v>
      </c>
      <c r="D188" t="n">
        <v>7</v>
      </c>
      <c r="E188" t="n">
        <v>2</v>
      </c>
      <c r="F188" t="n">
        <v>4</v>
      </c>
      <c r="G188" t="inlineStr">
        <is>
          <t>LIV</t>
        </is>
      </c>
      <c r="H188" t="inlineStr">
        <is>
          <t>COV</t>
        </is>
      </c>
    </row>
    <row r="189">
      <c r="A189" t="n">
        <v>19</v>
      </c>
      <c r="B189" t="inlineStr">
        <is>
          <t>2027-01-02T15:00:00Z</t>
        </is>
      </c>
      <c r="C189" t="n">
        <v>15</v>
      </c>
      <c r="D189" t="n">
        <v>19</v>
      </c>
      <c r="E189" t="n">
        <v>3</v>
      </c>
      <c r="F189" t="n">
        <v>5</v>
      </c>
      <c r="G189" t="inlineStr">
        <is>
          <t>MCI</t>
        </is>
      </c>
      <c r="H189" t="inlineStr">
        <is>
          <t>TOT</t>
        </is>
      </c>
    </row>
    <row r="190">
      <c r="A190" t="n">
        <v>19</v>
      </c>
      <c r="B190" t="inlineStr">
        <is>
          <t>2027-01-02T15:00:00Z</t>
        </is>
      </c>
      <c r="C190" t="n">
        <v>18</v>
      </c>
      <c r="D190" t="n">
        <v>10</v>
      </c>
      <c r="E190" t="n">
        <v>2</v>
      </c>
      <c r="F190" t="n">
        <v>3</v>
      </c>
      <c r="G190" t="inlineStr">
        <is>
          <t>NFO</t>
        </is>
      </c>
      <c r="H190" t="inlineStr">
        <is>
          <t>FUL</t>
        </is>
      </c>
    </row>
    <row r="191">
      <c r="A191" t="n">
        <v>19</v>
      </c>
      <c r="B191" t="inlineStr">
        <is>
          <t>2027-01-02T15:00:00Z</t>
        </is>
      </c>
      <c r="C191" t="n">
        <v>20</v>
      </c>
      <c r="D191" t="n">
        <v>11</v>
      </c>
      <c r="E191" t="n">
        <v>2</v>
      </c>
      <c r="F191" t="n">
        <v>3</v>
      </c>
      <c r="G191" t="inlineStr">
        <is>
          <t>SUN</t>
        </is>
      </c>
      <c r="H191" t="inlineStr">
        <is>
          <t>HUL</t>
        </is>
      </c>
    </row>
    <row r="192">
      <c r="A192" t="n">
        <v>20</v>
      </c>
      <c r="B192" t="inlineStr">
        <is>
          <t>2027-01-06T20:00:00Z</t>
        </is>
      </c>
      <c r="C192" t="n">
        <v>1</v>
      </c>
      <c r="D192" t="n">
        <v>4</v>
      </c>
      <c r="E192" t="n">
        <v>3</v>
      </c>
      <c r="F192" t="n">
        <v>5</v>
      </c>
      <c r="G192" t="inlineStr">
        <is>
          <t>ARS</t>
        </is>
      </c>
      <c r="H192" t="inlineStr">
        <is>
          <t>BRE</t>
        </is>
      </c>
    </row>
    <row r="193">
      <c r="A193" t="n">
        <v>20</v>
      </c>
      <c r="B193" t="inlineStr">
        <is>
          <t>2027-01-06T20:00:00Z</t>
        </is>
      </c>
      <c r="C193" t="n">
        <v>5</v>
      </c>
      <c r="D193" t="n">
        <v>3</v>
      </c>
      <c r="E193" t="n">
        <v>3</v>
      </c>
      <c r="F193" t="n">
        <v>3</v>
      </c>
      <c r="G193" t="inlineStr">
        <is>
          <t>BHA</t>
        </is>
      </c>
      <c r="H193" t="inlineStr">
        <is>
          <t>BOU</t>
        </is>
      </c>
    </row>
    <row r="194">
      <c r="A194" t="n">
        <v>20</v>
      </c>
      <c r="B194" t="inlineStr">
        <is>
          <t>2027-01-06T20:00:00Z</t>
        </is>
      </c>
      <c r="C194" t="n">
        <v>8</v>
      </c>
      <c r="D194" t="n">
        <v>6</v>
      </c>
      <c r="E194" t="n">
        <v>4</v>
      </c>
      <c r="F194" t="n">
        <v>3</v>
      </c>
      <c r="G194" t="inlineStr">
        <is>
          <t>CRY</t>
        </is>
      </c>
      <c r="H194" t="inlineStr">
        <is>
          <t>CHE</t>
        </is>
      </c>
    </row>
    <row r="195">
      <c r="A195" t="n">
        <v>20</v>
      </c>
      <c r="B195" t="inlineStr">
        <is>
          <t>2027-01-06T20:00:00Z</t>
        </is>
      </c>
      <c r="C195" t="n">
        <v>9</v>
      </c>
      <c r="D195" t="n">
        <v>2</v>
      </c>
      <c r="E195" t="n">
        <v>3</v>
      </c>
      <c r="F195" t="n">
        <v>3</v>
      </c>
      <c r="G195" t="inlineStr">
        <is>
          <t>EVE</t>
        </is>
      </c>
      <c r="H195" t="inlineStr">
        <is>
          <t>AVL</t>
        </is>
      </c>
    </row>
    <row r="196">
      <c r="A196" t="n">
        <v>20</v>
      </c>
      <c r="B196" t="inlineStr">
        <is>
          <t>2027-01-06T20:00:00Z</t>
        </is>
      </c>
      <c r="C196" t="n">
        <v>10</v>
      </c>
      <c r="D196" t="n">
        <v>19</v>
      </c>
      <c r="E196" t="n">
        <v>3</v>
      </c>
      <c r="F196" t="n">
        <v>3</v>
      </c>
      <c r="G196" t="inlineStr">
        <is>
          <t>FUL</t>
        </is>
      </c>
      <c r="H196" t="inlineStr">
        <is>
          <t>TOT</t>
        </is>
      </c>
    </row>
    <row r="197">
      <c r="A197" t="n">
        <v>20</v>
      </c>
      <c r="B197" t="inlineStr">
        <is>
          <t>2027-01-06T20:00:00Z</t>
        </is>
      </c>
      <c r="C197" t="n">
        <v>12</v>
      </c>
      <c r="D197" t="n">
        <v>7</v>
      </c>
      <c r="E197" t="n">
        <v>2</v>
      </c>
      <c r="F197" t="n">
        <v>2</v>
      </c>
      <c r="G197" t="inlineStr">
        <is>
          <t>IPS</t>
        </is>
      </c>
      <c r="H197" t="inlineStr">
        <is>
          <t>COV</t>
        </is>
      </c>
    </row>
    <row r="198">
      <c r="A198" t="n">
        <v>20</v>
      </c>
      <c r="B198" t="inlineStr">
        <is>
          <t>2027-01-06T20:00:00Z</t>
        </is>
      </c>
      <c r="C198" t="n">
        <v>13</v>
      </c>
      <c r="D198" t="n">
        <v>15</v>
      </c>
      <c r="E198" t="n">
        <v>4</v>
      </c>
      <c r="F198" t="n">
        <v>3</v>
      </c>
      <c r="G198" t="inlineStr">
        <is>
          <t>LEE</t>
        </is>
      </c>
      <c r="H198" t="inlineStr">
        <is>
          <t>MCI</t>
        </is>
      </c>
    </row>
    <row r="199">
      <c r="A199" t="n">
        <v>20</v>
      </c>
      <c r="B199" t="inlineStr">
        <is>
          <t>2027-01-06T20:00:00Z</t>
        </is>
      </c>
      <c r="C199" t="n">
        <v>16</v>
      </c>
      <c r="D199" t="n">
        <v>17</v>
      </c>
      <c r="E199" t="n">
        <v>2</v>
      </c>
      <c r="F199" t="n">
        <v>4</v>
      </c>
      <c r="G199" t="inlineStr">
        <is>
          <t>MUN</t>
        </is>
      </c>
      <c r="H199" t="inlineStr">
        <is>
          <t>NEW</t>
        </is>
      </c>
    </row>
    <row r="200">
      <c r="A200" t="n">
        <v>20</v>
      </c>
      <c r="B200" t="inlineStr">
        <is>
          <t>2027-01-06T20:00:00Z</t>
        </is>
      </c>
      <c r="C200" t="n">
        <v>18</v>
      </c>
      <c r="D200" t="n">
        <v>11</v>
      </c>
      <c r="E200" t="n">
        <v>2</v>
      </c>
      <c r="F200" t="n">
        <v>3</v>
      </c>
      <c r="G200" t="inlineStr">
        <is>
          <t>NFO</t>
        </is>
      </c>
      <c r="H200" t="inlineStr">
        <is>
          <t>HUL</t>
        </is>
      </c>
    </row>
    <row r="201">
      <c r="A201" t="n">
        <v>20</v>
      </c>
      <c r="B201" t="inlineStr">
        <is>
          <t>2027-01-06T20:00:00Z</t>
        </is>
      </c>
      <c r="C201" t="n">
        <v>20</v>
      </c>
      <c r="D201" t="n">
        <v>14</v>
      </c>
      <c r="E201" t="n">
        <v>4</v>
      </c>
      <c r="F201" t="n">
        <v>3</v>
      </c>
      <c r="G201" t="inlineStr">
        <is>
          <t>SUN</t>
        </is>
      </c>
      <c r="H201" t="inlineStr">
        <is>
          <t>LIV</t>
        </is>
      </c>
    </row>
    <row r="202">
      <c r="A202" t="n">
        <v>21</v>
      </c>
      <c r="B202" t="inlineStr">
        <is>
          <t>2027-01-16T15:00:00Z</t>
        </is>
      </c>
      <c r="C202" t="n">
        <v>2</v>
      </c>
      <c r="D202" t="n">
        <v>16</v>
      </c>
      <c r="E202" t="n">
        <v>4</v>
      </c>
      <c r="F202" t="n">
        <v>4</v>
      </c>
      <c r="G202" t="inlineStr">
        <is>
          <t>AVL</t>
        </is>
      </c>
      <c r="H202" t="inlineStr">
        <is>
          <t>MUN</t>
        </is>
      </c>
    </row>
    <row r="203">
      <c r="A203" t="n">
        <v>21</v>
      </c>
      <c r="B203" t="inlineStr">
        <is>
          <t>2027-01-16T15:00:00Z</t>
        </is>
      </c>
      <c r="C203" t="n">
        <v>3</v>
      </c>
      <c r="D203" t="n">
        <v>12</v>
      </c>
      <c r="E203" t="n">
        <v>2</v>
      </c>
      <c r="F203" t="n">
        <v>3</v>
      </c>
      <c r="G203" t="inlineStr">
        <is>
          <t>BOU</t>
        </is>
      </c>
      <c r="H203" t="inlineStr">
        <is>
          <t>IPS</t>
        </is>
      </c>
    </row>
    <row r="204">
      <c r="A204" t="n">
        <v>21</v>
      </c>
      <c r="B204" t="inlineStr">
        <is>
          <t>2027-01-16T15:00:00Z</t>
        </is>
      </c>
      <c r="C204" t="n">
        <v>4</v>
      </c>
      <c r="D204" t="n">
        <v>5</v>
      </c>
      <c r="E204" t="n">
        <v>2</v>
      </c>
      <c r="F204" t="n">
        <v>3</v>
      </c>
      <c r="G204" t="inlineStr">
        <is>
          <t>BRE</t>
        </is>
      </c>
      <c r="H204" t="inlineStr">
        <is>
          <t>BHA</t>
        </is>
      </c>
    </row>
    <row r="205">
      <c r="A205" t="n">
        <v>21</v>
      </c>
      <c r="B205" t="inlineStr">
        <is>
          <t>2027-01-16T15:00:00Z</t>
        </is>
      </c>
      <c r="C205" t="n">
        <v>6</v>
      </c>
      <c r="D205" t="n">
        <v>20</v>
      </c>
      <c r="E205" t="n">
        <v>2</v>
      </c>
      <c r="F205" t="n">
        <v>4</v>
      </c>
      <c r="G205" t="inlineStr">
        <is>
          <t>CHE</t>
        </is>
      </c>
      <c r="H205" t="inlineStr">
        <is>
          <t>SUN</t>
        </is>
      </c>
    </row>
    <row r="206">
      <c r="A206" t="n">
        <v>21</v>
      </c>
      <c r="B206" t="inlineStr">
        <is>
          <t>2027-01-16T15:00:00Z</t>
        </is>
      </c>
      <c r="C206" t="n">
        <v>7</v>
      </c>
      <c r="D206" t="n">
        <v>9</v>
      </c>
      <c r="E206" t="n">
        <v>3</v>
      </c>
      <c r="F206" t="n">
        <v>2</v>
      </c>
      <c r="G206" t="inlineStr">
        <is>
          <t>COV</t>
        </is>
      </c>
      <c r="H206" t="inlineStr">
        <is>
          <t>EVE</t>
        </is>
      </c>
    </row>
    <row r="207">
      <c r="A207" t="n">
        <v>21</v>
      </c>
      <c r="B207" t="inlineStr">
        <is>
          <t>2027-01-16T15:00:00Z</t>
        </is>
      </c>
      <c r="C207" t="n">
        <v>11</v>
      </c>
      <c r="D207" t="n">
        <v>1</v>
      </c>
      <c r="E207" t="n">
        <v>4</v>
      </c>
      <c r="F207" t="n">
        <v>2</v>
      </c>
      <c r="G207" t="inlineStr">
        <is>
          <t>HUL</t>
        </is>
      </c>
      <c r="H207" t="inlineStr">
        <is>
          <t>ARS</t>
        </is>
      </c>
    </row>
    <row r="208">
      <c r="A208" t="n">
        <v>21</v>
      </c>
      <c r="B208" t="inlineStr">
        <is>
          <t>2027-01-16T15:00:00Z</t>
        </is>
      </c>
      <c r="C208" t="n">
        <v>14</v>
      </c>
      <c r="D208" t="n">
        <v>8</v>
      </c>
      <c r="E208" t="n">
        <v>3</v>
      </c>
      <c r="F208" t="n">
        <v>4</v>
      </c>
      <c r="G208" t="inlineStr">
        <is>
          <t>LIV</t>
        </is>
      </c>
      <c r="H208" t="inlineStr">
        <is>
          <t>CRY</t>
        </is>
      </c>
    </row>
    <row r="209">
      <c r="A209" t="n">
        <v>21</v>
      </c>
      <c r="B209" t="inlineStr">
        <is>
          <t>2027-01-16T15:00:00Z</t>
        </is>
      </c>
      <c r="C209" t="n">
        <v>15</v>
      </c>
      <c r="D209" t="n">
        <v>18</v>
      </c>
      <c r="E209" t="n">
        <v>3</v>
      </c>
      <c r="F209" t="n">
        <v>5</v>
      </c>
      <c r="G209" t="inlineStr">
        <is>
          <t>MCI</t>
        </is>
      </c>
      <c r="H209" t="inlineStr">
        <is>
          <t>NFO</t>
        </is>
      </c>
    </row>
    <row r="210">
      <c r="A210" t="n">
        <v>21</v>
      </c>
      <c r="B210" t="inlineStr">
        <is>
          <t>2027-01-16T15:00:00Z</t>
        </is>
      </c>
      <c r="C210" t="n">
        <v>17</v>
      </c>
      <c r="D210" t="n">
        <v>10</v>
      </c>
      <c r="E210" t="n">
        <v>2</v>
      </c>
      <c r="F210" t="n">
        <v>3</v>
      </c>
      <c r="G210" t="inlineStr">
        <is>
          <t>NEW</t>
        </is>
      </c>
      <c r="H210" t="inlineStr">
        <is>
          <t>FUL</t>
        </is>
      </c>
    </row>
    <row r="211">
      <c r="A211" t="n">
        <v>21</v>
      </c>
      <c r="B211" t="inlineStr">
        <is>
          <t>2027-01-16T15:00:00Z</t>
        </is>
      </c>
      <c r="C211" t="n">
        <v>19</v>
      </c>
      <c r="D211" t="n">
        <v>13</v>
      </c>
      <c r="E211" t="n">
        <v>2</v>
      </c>
      <c r="F211" t="n">
        <v>3</v>
      </c>
      <c r="G211" t="inlineStr">
        <is>
          <t>TOT</t>
        </is>
      </c>
      <c r="H211" t="inlineStr">
        <is>
          <t>LEE</t>
        </is>
      </c>
    </row>
    <row r="212">
      <c r="A212" t="n">
        <v>22</v>
      </c>
      <c r="B212" t="inlineStr">
        <is>
          <t>2027-01-23T15:00:00Z</t>
        </is>
      </c>
      <c r="C212" t="n">
        <v>1</v>
      </c>
      <c r="D212" t="n">
        <v>17</v>
      </c>
      <c r="E212" t="n">
        <v>2</v>
      </c>
      <c r="F212" t="n">
        <v>5</v>
      </c>
      <c r="G212" t="inlineStr">
        <is>
          <t>ARS</t>
        </is>
      </c>
      <c r="H212" t="inlineStr">
        <is>
          <t>NEW</t>
        </is>
      </c>
    </row>
    <row r="213">
      <c r="A213" t="n">
        <v>22</v>
      </c>
      <c r="B213" t="inlineStr">
        <is>
          <t>2027-01-23T15:00:00Z</t>
        </is>
      </c>
      <c r="C213" t="n">
        <v>5</v>
      </c>
      <c r="D213" t="n">
        <v>15</v>
      </c>
      <c r="E213" t="n">
        <v>4</v>
      </c>
      <c r="F213" t="n">
        <v>3</v>
      </c>
      <c r="G213" t="inlineStr">
        <is>
          <t>BHA</t>
        </is>
      </c>
      <c r="H213" t="inlineStr">
        <is>
          <t>MCI</t>
        </is>
      </c>
    </row>
    <row r="214">
      <c r="A214" t="n">
        <v>22</v>
      </c>
      <c r="B214" t="inlineStr">
        <is>
          <t>2027-01-23T15:00:00Z</t>
        </is>
      </c>
      <c r="C214" t="n">
        <v>8</v>
      </c>
      <c r="D214" t="n">
        <v>19</v>
      </c>
      <c r="E214" t="n">
        <v>3</v>
      </c>
      <c r="F214" t="n">
        <v>3</v>
      </c>
      <c r="G214" t="inlineStr">
        <is>
          <t>CRY</t>
        </is>
      </c>
      <c r="H214" t="inlineStr">
        <is>
          <t>TOT</t>
        </is>
      </c>
    </row>
    <row r="215">
      <c r="A215" t="n">
        <v>22</v>
      </c>
      <c r="B215" t="inlineStr">
        <is>
          <t>2027-01-23T15:00:00Z</t>
        </is>
      </c>
      <c r="C215" t="n">
        <v>9</v>
      </c>
      <c r="D215" t="n">
        <v>4</v>
      </c>
      <c r="E215" t="n">
        <v>3</v>
      </c>
      <c r="F215" t="n">
        <v>3</v>
      </c>
      <c r="G215" t="inlineStr">
        <is>
          <t>EVE</t>
        </is>
      </c>
      <c r="H215" t="inlineStr">
        <is>
          <t>BRE</t>
        </is>
      </c>
    </row>
    <row r="216">
      <c r="A216" t="n">
        <v>22</v>
      </c>
      <c r="B216" t="inlineStr">
        <is>
          <t>2027-01-23T15:00:00Z</t>
        </is>
      </c>
      <c r="C216" t="n">
        <v>10</v>
      </c>
      <c r="D216" t="n">
        <v>2</v>
      </c>
      <c r="E216" t="n">
        <v>3</v>
      </c>
      <c r="F216" t="n">
        <v>3</v>
      </c>
      <c r="G216" t="inlineStr">
        <is>
          <t>FUL</t>
        </is>
      </c>
      <c r="H216" t="inlineStr">
        <is>
          <t>AVL</t>
        </is>
      </c>
    </row>
    <row r="217">
      <c r="A217" t="n">
        <v>22</v>
      </c>
      <c r="B217" t="inlineStr">
        <is>
          <t>2027-01-23T15:00:00Z</t>
        </is>
      </c>
      <c r="C217" t="n">
        <v>12</v>
      </c>
      <c r="D217" t="n">
        <v>11</v>
      </c>
      <c r="E217" t="n">
        <v>2</v>
      </c>
      <c r="F217" t="n">
        <v>2</v>
      </c>
      <c r="G217" t="inlineStr">
        <is>
          <t>IPS</t>
        </is>
      </c>
      <c r="H217" t="inlineStr">
        <is>
          <t>HUL</t>
        </is>
      </c>
    </row>
    <row r="218">
      <c r="A218" t="n">
        <v>22</v>
      </c>
      <c r="B218" t="inlineStr">
        <is>
          <t>2027-01-23T15:00:00Z</t>
        </is>
      </c>
      <c r="C218" t="n">
        <v>13</v>
      </c>
      <c r="D218" t="n">
        <v>6</v>
      </c>
      <c r="E218" t="n">
        <v>4</v>
      </c>
      <c r="F218" t="n">
        <v>3</v>
      </c>
      <c r="G218" t="inlineStr">
        <is>
          <t>LEE</t>
        </is>
      </c>
      <c r="H218" t="inlineStr">
        <is>
          <t>CHE</t>
        </is>
      </c>
    </row>
    <row r="219">
      <c r="A219" t="n">
        <v>22</v>
      </c>
      <c r="B219" t="inlineStr">
        <is>
          <t>2027-01-23T15:00:00Z</t>
        </is>
      </c>
      <c r="C219" t="n">
        <v>16</v>
      </c>
      <c r="D219" t="n">
        <v>14</v>
      </c>
      <c r="E219" t="n">
        <v>4</v>
      </c>
      <c r="F219" t="n">
        <v>4</v>
      </c>
      <c r="G219" t="inlineStr">
        <is>
          <t>MUN</t>
        </is>
      </c>
      <c r="H219" t="inlineStr">
        <is>
          <t>LIV</t>
        </is>
      </c>
    </row>
    <row r="220">
      <c r="A220" t="n">
        <v>22</v>
      </c>
      <c r="B220" t="inlineStr">
        <is>
          <t>2027-01-23T15:00:00Z</t>
        </is>
      </c>
      <c r="C220" t="n">
        <v>18</v>
      </c>
      <c r="D220" t="n">
        <v>3</v>
      </c>
      <c r="E220" t="n">
        <v>3</v>
      </c>
      <c r="F220" t="n">
        <v>3</v>
      </c>
      <c r="G220" t="inlineStr">
        <is>
          <t>NFO</t>
        </is>
      </c>
      <c r="H220" t="inlineStr">
        <is>
          <t>BOU</t>
        </is>
      </c>
    </row>
    <row r="221">
      <c r="A221" t="n">
        <v>22</v>
      </c>
      <c r="B221" t="inlineStr">
        <is>
          <t>2027-01-23T15:00:00Z</t>
        </is>
      </c>
      <c r="C221" t="n">
        <v>20</v>
      </c>
      <c r="D221" t="n">
        <v>7</v>
      </c>
      <c r="E221" t="n">
        <v>2</v>
      </c>
      <c r="F221" t="n">
        <v>3</v>
      </c>
      <c r="G221" t="inlineStr">
        <is>
          <t>SUN</t>
        </is>
      </c>
      <c r="H221" t="inlineStr">
        <is>
          <t>COV</t>
        </is>
      </c>
    </row>
    <row r="222">
      <c r="A222" t="n">
        <v>23</v>
      </c>
      <c r="B222" t="inlineStr">
        <is>
          <t>2027-01-30T15:00:00Z</t>
        </is>
      </c>
      <c r="C222" t="n">
        <v>2</v>
      </c>
      <c r="D222" t="n">
        <v>12</v>
      </c>
      <c r="E222" t="n">
        <v>2</v>
      </c>
      <c r="F222" t="n">
        <v>4</v>
      </c>
      <c r="G222" t="inlineStr">
        <is>
          <t>AVL</t>
        </is>
      </c>
      <c r="H222" t="inlineStr">
        <is>
          <t>IPS</t>
        </is>
      </c>
    </row>
    <row r="223">
      <c r="A223" t="n">
        <v>23</v>
      </c>
      <c r="B223" t="inlineStr">
        <is>
          <t>2027-01-30T15:00:00Z</t>
        </is>
      </c>
      <c r="C223" t="n">
        <v>3</v>
      </c>
      <c r="D223" t="n">
        <v>10</v>
      </c>
      <c r="E223" t="n">
        <v>2</v>
      </c>
      <c r="F223" t="n">
        <v>3</v>
      </c>
      <c r="G223" t="inlineStr">
        <is>
          <t>BOU</t>
        </is>
      </c>
      <c r="H223" t="inlineStr">
        <is>
          <t>FUL</t>
        </is>
      </c>
    </row>
    <row r="224">
      <c r="A224" t="n">
        <v>23</v>
      </c>
      <c r="B224" t="inlineStr">
        <is>
          <t>2027-01-30T15:00:00Z</t>
        </is>
      </c>
      <c r="C224" t="n">
        <v>4</v>
      </c>
      <c r="D224" t="n">
        <v>16</v>
      </c>
      <c r="E224" t="n">
        <v>4</v>
      </c>
      <c r="F224" t="n">
        <v>3</v>
      </c>
      <c r="G224" t="inlineStr">
        <is>
          <t>BRE</t>
        </is>
      </c>
      <c r="H224" t="inlineStr">
        <is>
          <t>MUN</t>
        </is>
      </c>
    </row>
    <row r="225">
      <c r="A225" t="n">
        <v>23</v>
      </c>
      <c r="B225" t="inlineStr">
        <is>
          <t>2027-01-30T15:00:00Z</t>
        </is>
      </c>
      <c r="C225" t="n">
        <v>6</v>
      </c>
      <c r="D225" t="n">
        <v>18</v>
      </c>
      <c r="E225" t="n">
        <v>3</v>
      </c>
      <c r="F225" t="n">
        <v>4</v>
      </c>
      <c r="G225" t="inlineStr">
        <is>
          <t>CHE</t>
        </is>
      </c>
      <c r="H225" t="inlineStr">
        <is>
          <t>NFO</t>
        </is>
      </c>
    </row>
    <row r="226">
      <c r="A226" t="n">
        <v>23</v>
      </c>
      <c r="B226" t="inlineStr">
        <is>
          <t>2027-01-30T15:00:00Z</t>
        </is>
      </c>
      <c r="C226" t="n">
        <v>7</v>
      </c>
      <c r="D226" t="n">
        <v>13</v>
      </c>
      <c r="E226" t="n">
        <v>2</v>
      </c>
      <c r="F226" t="n">
        <v>2</v>
      </c>
      <c r="G226" t="inlineStr">
        <is>
          <t>COV</t>
        </is>
      </c>
      <c r="H226" t="inlineStr">
        <is>
          <t>LEE</t>
        </is>
      </c>
    </row>
    <row r="227">
      <c r="A227" t="n">
        <v>23</v>
      </c>
      <c r="B227" t="inlineStr">
        <is>
          <t>2027-01-30T15:00:00Z</t>
        </is>
      </c>
      <c r="C227" t="n">
        <v>11</v>
      </c>
      <c r="D227" t="n">
        <v>8</v>
      </c>
      <c r="E227" t="n">
        <v>3</v>
      </c>
      <c r="F227" t="n">
        <v>2</v>
      </c>
      <c r="G227" t="inlineStr">
        <is>
          <t>HUL</t>
        </is>
      </c>
      <c r="H227" t="inlineStr">
        <is>
          <t>CRY</t>
        </is>
      </c>
    </row>
    <row r="228">
      <c r="A228" t="n">
        <v>23</v>
      </c>
      <c r="B228" t="inlineStr">
        <is>
          <t>2027-01-30T15:00:00Z</t>
        </is>
      </c>
      <c r="C228" t="n">
        <v>14</v>
      </c>
      <c r="D228" t="n">
        <v>9</v>
      </c>
      <c r="E228" t="n">
        <v>3</v>
      </c>
      <c r="F228" t="n">
        <v>4</v>
      </c>
      <c r="G228" t="inlineStr">
        <is>
          <t>LIV</t>
        </is>
      </c>
      <c r="H228" t="inlineStr">
        <is>
          <t>EVE</t>
        </is>
      </c>
    </row>
    <row r="229">
      <c r="A229" t="n">
        <v>23</v>
      </c>
      <c r="B229" t="inlineStr">
        <is>
          <t>2027-01-30T15:00:00Z</t>
        </is>
      </c>
      <c r="C229" t="n">
        <v>15</v>
      </c>
      <c r="D229" t="n">
        <v>1</v>
      </c>
      <c r="E229" t="n">
        <v>4</v>
      </c>
      <c r="F229" t="n">
        <v>5</v>
      </c>
      <c r="G229" t="inlineStr">
        <is>
          <t>MCI</t>
        </is>
      </c>
      <c r="H229" t="inlineStr">
        <is>
          <t>ARS</t>
        </is>
      </c>
    </row>
    <row r="230">
      <c r="A230" t="n">
        <v>23</v>
      </c>
      <c r="B230" t="inlineStr">
        <is>
          <t>2027-01-30T15:00:00Z</t>
        </is>
      </c>
      <c r="C230" t="n">
        <v>17</v>
      </c>
      <c r="D230" t="n">
        <v>5</v>
      </c>
      <c r="E230" t="n">
        <v>2</v>
      </c>
      <c r="F230" t="n">
        <v>3</v>
      </c>
      <c r="G230" t="inlineStr">
        <is>
          <t>NEW</t>
        </is>
      </c>
      <c r="H230" t="inlineStr">
        <is>
          <t>BHA</t>
        </is>
      </c>
    </row>
    <row r="231">
      <c r="A231" t="n">
        <v>23</v>
      </c>
      <c r="B231" t="inlineStr">
        <is>
          <t>2027-01-30T15:00:00Z</t>
        </is>
      </c>
      <c r="C231" t="n">
        <v>19</v>
      </c>
      <c r="D231" t="n">
        <v>20</v>
      </c>
      <c r="E231" t="n">
        <v>2</v>
      </c>
      <c r="F231" t="n">
        <v>3</v>
      </c>
      <c r="G231" t="inlineStr">
        <is>
          <t>TOT</t>
        </is>
      </c>
      <c r="H231" t="inlineStr">
        <is>
          <t>SUN</t>
        </is>
      </c>
    </row>
    <row r="232">
      <c r="A232" t="n">
        <v>24</v>
      </c>
      <c r="B232" t="inlineStr">
        <is>
          <t>2027-02-06T15:00:00Z</t>
        </is>
      </c>
      <c r="C232" t="n">
        <v>1</v>
      </c>
      <c r="D232" t="n">
        <v>14</v>
      </c>
      <c r="E232" t="n">
        <v>4</v>
      </c>
      <c r="F232" t="n">
        <v>5</v>
      </c>
      <c r="G232" t="inlineStr">
        <is>
          <t>ARS</t>
        </is>
      </c>
      <c r="H232" t="inlineStr">
        <is>
          <t>LIV</t>
        </is>
      </c>
    </row>
    <row r="233">
      <c r="A233" t="n">
        <v>24</v>
      </c>
      <c r="B233" t="inlineStr">
        <is>
          <t>2027-02-06T15:00:00Z</t>
        </is>
      </c>
      <c r="C233" t="n">
        <v>5</v>
      </c>
      <c r="D233" t="n">
        <v>11</v>
      </c>
      <c r="E233" t="n">
        <v>2</v>
      </c>
      <c r="F233" t="n">
        <v>3</v>
      </c>
      <c r="G233" t="inlineStr">
        <is>
          <t>BHA</t>
        </is>
      </c>
      <c r="H233" t="inlineStr">
        <is>
          <t>HUL</t>
        </is>
      </c>
    </row>
    <row r="234">
      <c r="A234" t="n">
        <v>24</v>
      </c>
      <c r="B234" t="inlineStr">
        <is>
          <t>2027-02-06T15:00:00Z</t>
        </is>
      </c>
      <c r="C234" t="n">
        <v>8</v>
      </c>
      <c r="D234" t="n">
        <v>7</v>
      </c>
      <c r="E234" t="n">
        <v>2</v>
      </c>
      <c r="F234" t="n">
        <v>3</v>
      </c>
      <c r="G234" t="inlineStr">
        <is>
          <t>CRY</t>
        </is>
      </c>
      <c r="H234" t="inlineStr">
        <is>
          <t>COV</t>
        </is>
      </c>
    </row>
    <row r="235">
      <c r="A235" t="n">
        <v>24</v>
      </c>
      <c r="B235" t="inlineStr">
        <is>
          <t>2027-02-06T15:00:00Z</t>
        </is>
      </c>
      <c r="C235" t="n">
        <v>9</v>
      </c>
      <c r="D235" t="n">
        <v>17</v>
      </c>
      <c r="E235" t="n">
        <v>2</v>
      </c>
      <c r="F235" t="n">
        <v>3</v>
      </c>
      <c r="G235" t="inlineStr">
        <is>
          <t>EVE</t>
        </is>
      </c>
      <c r="H235" t="inlineStr">
        <is>
          <t>NEW</t>
        </is>
      </c>
    </row>
    <row r="236">
      <c r="A236" t="n">
        <v>24</v>
      </c>
      <c r="B236" t="inlineStr">
        <is>
          <t>2027-02-06T15:00:00Z</t>
        </is>
      </c>
      <c r="C236" t="n">
        <v>10</v>
      </c>
      <c r="D236" t="n">
        <v>15</v>
      </c>
      <c r="E236" t="n">
        <v>4</v>
      </c>
      <c r="F236" t="n">
        <v>3</v>
      </c>
      <c r="G236" t="inlineStr">
        <is>
          <t>FUL</t>
        </is>
      </c>
      <c r="H236" t="inlineStr">
        <is>
          <t>MCI</t>
        </is>
      </c>
    </row>
    <row r="237">
      <c r="A237" t="n">
        <v>24</v>
      </c>
      <c r="B237" t="inlineStr">
        <is>
          <t>2027-02-06T15:00:00Z</t>
        </is>
      </c>
      <c r="C237" t="n">
        <v>12</v>
      </c>
      <c r="D237" t="n">
        <v>19</v>
      </c>
      <c r="E237" t="n">
        <v>3</v>
      </c>
      <c r="F237" t="n">
        <v>2</v>
      </c>
      <c r="G237" t="inlineStr">
        <is>
          <t>IPS</t>
        </is>
      </c>
      <c r="H237" t="inlineStr">
        <is>
          <t>TOT</t>
        </is>
      </c>
    </row>
    <row r="238">
      <c r="A238" t="n">
        <v>24</v>
      </c>
      <c r="B238" t="inlineStr">
        <is>
          <t>2027-02-06T15:00:00Z</t>
        </is>
      </c>
      <c r="C238" t="n">
        <v>13</v>
      </c>
      <c r="D238" t="n">
        <v>3</v>
      </c>
      <c r="E238" t="n">
        <v>3</v>
      </c>
      <c r="F238" t="n">
        <v>3</v>
      </c>
      <c r="G238" t="inlineStr">
        <is>
          <t>LEE</t>
        </is>
      </c>
      <c r="H238" t="inlineStr">
        <is>
          <t>BOU</t>
        </is>
      </c>
    </row>
    <row r="239">
      <c r="A239" t="n">
        <v>24</v>
      </c>
      <c r="B239" t="inlineStr">
        <is>
          <t>2027-02-06T15:00:00Z</t>
        </is>
      </c>
      <c r="C239" t="n">
        <v>16</v>
      </c>
      <c r="D239" t="n">
        <v>6</v>
      </c>
      <c r="E239" t="n">
        <v>4</v>
      </c>
      <c r="F239" t="n">
        <v>4</v>
      </c>
      <c r="G239" t="inlineStr">
        <is>
          <t>MUN</t>
        </is>
      </c>
      <c r="H239" t="inlineStr">
        <is>
          <t>CHE</t>
        </is>
      </c>
    </row>
    <row r="240">
      <c r="A240" t="n">
        <v>24</v>
      </c>
      <c r="B240" t="inlineStr">
        <is>
          <t>2027-02-06T15:00:00Z</t>
        </is>
      </c>
      <c r="C240" t="n">
        <v>18</v>
      </c>
      <c r="D240" t="n">
        <v>4</v>
      </c>
      <c r="E240" t="n">
        <v>3</v>
      </c>
      <c r="F240" t="n">
        <v>3</v>
      </c>
      <c r="G240" t="inlineStr">
        <is>
          <t>NFO</t>
        </is>
      </c>
      <c r="H240" t="inlineStr">
        <is>
          <t>BRE</t>
        </is>
      </c>
    </row>
    <row r="241">
      <c r="A241" t="n">
        <v>24</v>
      </c>
      <c r="B241" t="inlineStr">
        <is>
          <t>2027-02-06T15:00:00Z</t>
        </is>
      </c>
      <c r="C241" t="n">
        <v>20</v>
      </c>
      <c r="D241" t="n">
        <v>2</v>
      </c>
      <c r="E241" t="n">
        <v>3</v>
      </c>
      <c r="F241" t="n">
        <v>3</v>
      </c>
      <c r="G241" t="inlineStr">
        <is>
          <t>SUN</t>
        </is>
      </c>
      <c r="H241" t="inlineStr">
        <is>
          <t>AVL</t>
        </is>
      </c>
    </row>
    <row r="242">
      <c r="A242" t="n">
        <v>25</v>
      </c>
      <c r="B242" t="inlineStr">
        <is>
          <t>2027-02-10T20:00:00Z</t>
        </is>
      </c>
      <c r="C242" t="n">
        <v>2</v>
      </c>
      <c r="D242" t="n">
        <v>3</v>
      </c>
      <c r="E242" t="n">
        <v>3</v>
      </c>
      <c r="F242" t="n">
        <v>4</v>
      </c>
      <c r="G242" t="inlineStr">
        <is>
          <t>AVL</t>
        </is>
      </c>
      <c r="H242" t="inlineStr">
        <is>
          <t>BOU</t>
        </is>
      </c>
    </row>
    <row r="243">
      <c r="A243" t="n">
        <v>25</v>
      </c>
      <c r="B243" t="inlineStr">
        <is>
          <t>2027-02-10T20:00:00Z</t>
        </is>
      </c>
      <c r="C243" t="n">
        <v>7</v>
      </c>
      <c r="D243" t="n">
        <v>14</v>
      </c>
      <c r="E243" t="n">
        <v>4</v>
      </c>
      <c r="F243" t="n">
        <v>2</v>
      </c>
      <c r="G243" t="inlineStr">
        <is>
          <t>COV</t>
        </is>
      </c>
      <c r="H243" t="inlineStr">
        <is>
          <t>LIV</t>
        </is>
      </c>
    </row>
    <row r="244">
      <c r="A244" t="n">
        <v>25</v>
      </c>
      <c r="B244" t="inlineStr">
        <is>
          <t>2027-02-10T20:00:00Z</t>
        </is>
      </c>
      <c r="C244" t="n">
        <v>8</v>
      </c>
      <c r="D244" t="n">
        <v>4</v>
      </c>
      <c r="E244" t="n">
        <v>3</v>
      </c>
      <c r="F244" t="n">
        <v>3</v>
      </c>
      <c r="G244" t="inlineStr">
        <is>
          <t>CRY</t>
        </is>
      </c>
      <c r="H244" t="inlineStr">
        <is>
          <t>BRE</t>
        </is>
      </c>
    </row>
    <row r="245">
      <c r="A245" t="n">
        <v>25</v>
      </c>
      <c r="B245" t="inlineStr">
        <is>
          <t>2027-02-10T20:00:00Z</t>
        </is>
      </c>
      <c r="C245" t="n">
        <v>9</v>
      </c>
      <c r="D245" t="n">
        <v>13</v>
      </c>
      <c r="E245" t="n">
        <v>2</v>
      </c>
      <c r="F245" t="n">
        <v>3</v>
      </c>
      <c r="G245" t="inlineStr">
        <is>
          <t>EVE</t>
        </is>
      </c>
      <c r="H245" t="inlineStr">
        <is>
          <t>LEE</t>
        </is>
      </c>
    </row>
    <row r="246">
      <c r="A246" t="n">
        <v>25</v>
      </c>
      <c r="B246" t="inlineStr">
        <is>
          <t>2027-02-10T20:00:00Z</t>
        </is>
      </c>
      <c r="C246" t="n">
        <v>10</v>
      </c>
      <c r="D246" t="n">
        <v>18</v>
      </c>
      <c r="E246" t="n">
        <v>3</v>
      </c>
      <c r="F246" t="n">
        <v>3</v>
      </c>
      <c r="G246" t="inlineStr">
        <is>
          <t>FUL</t>
        </is>
      </c>
      <c r="H246" t="inlineStr">
        <is>
          <t>NFO</t>
        </is>
      </c>
    </row>
    <row r="247">
      <c r="A247" t="n">
        <v>25</v>
      </c>
      <c r="B247" t="inlineStr">
        <is>
          <t>2027-02-10T20:00:00Z</t>
        </is>
      </c>
      <c r="C247" t="n">
        <v>11</v>
      </c>
      <c r="D247" t="n">
        <v>20</v>
      </c>
      <c r="E247" t="n">
        <v>2</v>
      </c>
      <c r="F247" t="n">
        <v>2</v>
      </c>
      <c r="G247" t="inlineStr">
        <is>
          <t>HUL</t>
        </is>
      </c>
      <c r="H247" t="inlineStr">
        <is>
          <t>SUN</t>
        </is>
      </c>
    </row>
    <row r="248">
      <c r="A248" t="n">
        <v>25</v>
      </c>
      <c r="B248" t="inlineStr">
        <is>
          <t>2027-02-10T20:00:00Z</t>
        </is>
      </c>
      <c r="C248" t="n">
        <v>12</v>
      </c>
      <c r="D248" t="n">
        <v>1</v>
      </c>
      <c r="E248" t="n">
        <v>4</v>
      </c>
      <c r="F248" t="n">
        <v>2</v>
      </c>
      <c r="G248" t="inlineStr">
        <is>
          <t>IPS</t>
        </is>
      </c>
      <c r="H248" t="inlineStr">
        <is>
          <t>ARS</t>
        </is>
      </c>
    </row>
    <row r="249">
      <c r="A249" t="n">
        <v>25</v>
      </c>
      <c r="B249" t="inlineStr">
        <is>
          <t>2027-02-10T20:00:00Z</t>
        </is>
      </c>
      <c r="C249" t="n">
        <v>16</v>
      </c>
      <c r="D249" t="n">
        <v>5</v>
      </c>
      <c r="E249" t="n">
        <v>2</v>
      </c>
      <c r="F249" t="n">
        <v>4</v>
      </c>
      <c r="G249" t="inlineStr">
        <is>
          <t>MUN</t>
        </is>
      </c>
      <c r="H249" t="inlineStr">
        <is>
          <t>BHA</t>
        </is>
      </c>
    </row>
    <row r="250">
      <c r="A250" t="n">
        <v>25</v>
      </c>
      <c r="B250" t="inlineStr">
        <is>
          <t>2027-02-10T20:00:00Z</t>
        </is>
      </c>
      <c r="C250" t="n">
        <v>17</v>
      </c>
      <c r="D250" t="n">
        <v>6</v>
      </c>
      <c r="E250" t="n">
        <v>4</v>
      </c>
      <c r="F250" t="n">
        <v>3</v>
      </c>
      <c r="G250" t="inlineStr">
        <is>
          <t>NEW</t>
        </is>
      </c>
      <c r="H250" t="inlineStr">
        <is>
          <t>CHE</t>
        </is>
      </c>
    </row>
    <row r="251">
      <c r="A251" t="n">
        <v>25</v>
      </c>
      <c r="B251" t="inlineStr">
        <is>
          <t>2027-02-10T20:00:00Z</t>
        </is>
      </c>
      <c r="C251" t="n">
        <v>19</v>
      </c>
      <c r="D251" t="n">
        <v>15</v>
      </c>
      <c r="E251" t="n">
        <v>4</v>
      </c>
      <c r="F251" t="n">
        <v>3</v>
      </c>
      <c r="G251" t="inlineStr">
        <is>
          <t>TOT</t>
        </is>
      </c>
      <c r="H251" t="inlineStr">
        <is>
          <t>MCI</t>
        </is>
      </c>
    </row>
    <row r="252">
      <c r="A252" t="n">
        <v>26</v>
      </c>
      <c r="B252" t="inlineStr">
        <is>
          <t>2027-02-20T15:00:00Z</t>
        </is>
      </c>
      <c r="C252" t="n">
        <v>1</v>
      </c>
      <c r="D252" t="n">
        <v>10</v>
      </c>
      <c r="E252" t="n">
        <v>2</v>
      </c>
      <c r="F252" t="n">
        <v>5</v>
      </c>
      <c r="G252" t="inlineStr">
        <is>
          <t>ARS</t>
        </is>
      </c>
      <c r="H252" t="inlineStr">
        <is>
          <t>FUL</t>
        </is>
      </c>
    </row>
    <row r="253">
      <c r="A253" t="n">
        <v>26</v>
      </c>
      <c r="B253" t="inlineStr">
        <is>
          <t>2027-02-20T15:00:00Z</t>
        </is>
      </c>
      <c r="C253" t="n">
        <v>3</v>
      </c>
      <c r="D253" t="n">
        <v>8</v>
      </c>
      <c r="E253" t="n">
        <v>3</v>
      </c>
      <c r="F253" t="n">
        <v>3</v>
      </c>
      <c r="G253" t="inlineStr">
        <is>
          <t>BOU</t>
        </is>
      </c>
      <c r="H253" t="inlineStr">
        <is>
          <t>CRY</t>
        </is>
      </c>
    </row>
    <row r="254">
      <c r="A254" t="n">
        <v>26</v>
      </c>
      <c r="B254" t="inlineStr">
        <is>
          <t>2027-02-20T15:00:00Z</t>
        </is>
      </c>
      <c r="C254" t="n">
        <v>4</v>
      </c>
      <c r="D254" t="n">
        <v>7</v>
      </c>
      <c r="E254" t="n">
        <v>2</v>
      </c>
      <c r="F254" t="n">
        <v>3</v>
      </c>
      <c r="G254" t="inlineStr">
        <is>
          <t>BRE</t>
        </is>
      </c>
      <c r="H254" t="inlineStr">
        <is>
          <t>COV</t>
        </is>
      </c>
    </row>
    <row r="255">
      <c r="A255" t="n">
        <v>26</v>
      </c>
      <c r="B255" t="inlineStr">
        <is>
          <t>2027-02-20T15:00:00Z</t>
        </is>
      </c>
      <c r="C255" t="n">
        <v>5</v>
      </c>
      <c r="D255" t="n">
        <v>19</v>
      </c>
      <c r="E255" t="n">
        <v>3</v>
      </c>
      <c r="F255" t="n">
        <v>3</v>
      </c>
      <c r="G255" t="inlineStr">
        <is>
          <t>BHA</t>
        </is>
      </c>
      <c r="H255" t="inlineStr">
        <is>
          <t>TOT</t>
        </is>
      </c>
    </row>
    <row r="256">
      <c r="A256" t="n">
        <v>26</v>
      </c>
      <c r="B256" t="inlineStr">
        <is>
          <t>2027-02-20T15:00:00Z</t>
        </is>
      </c>
      <c r="C256" t="n">
        <v>6</v>
      </c>
      <c r="D256" t="n">
        <v>12</v>
      </c>
      <c r="E256" t="n">
        <v>2</v>
      </c>
      <c r="F256" t="n">
        <v>4</v>
      </c>
      <c r="G256" t="inlineStr">
        <is>
          <t>CHE</t>
        </is>
      </c>
      <c r="H256" t="inlineStr">
        <is>
          <t>IPS</t>
        </is>
      </c>
    </row>
    <row r="257">
      <c r="A257" t="n">
        <v>26</v>
      </c>
      <c r="B257" t="inlineStr">
        <is>
          <t>2027-02-20T15:00:00Z</t>
        </is>
      </c>
      <c r="C257" t="n">
        <v>13</v>
      </c>
      <c r="D257" t="n">
        <v>2</v>
      </c>
      <c r="E257" t="n">
        <v>3</v>
      </c>
      <c r="F257" t="n">
        <v>3</v>
      </c>
      <c r="G257" t="inlineStr">
        <is>
          <t>LEE</t>
        </is>
      </c>
      <c r="H257" t="inlineStr">
        <is>
          <t>AVL</t>
        </is>
      </c>
    </row>
    <row r="258">
      <c r="A258" t="n">
        <v>26</v>
      </c>
      <c r="B258" t="inlineStr">
        <is>
          <t>2027-02-20T15:00:00Z</t>
        </is>
      </c>
      <c r="C258" t="n">
        <v>14</v>
      </c>
      <c r="D258" t="n">
        <v>11</v>
      </c>
      <c r="E258" t="n">
        <v>2</v>
      </c>
      <c r="F258" t="n">
        <v>4</v>
      </c>
      <c r="G258" t="inlineStr">
        <is>
          <t>LIV</t>
        </is>
      </c>
      <c r="H258" t="inlineStr">
        <is>
          <t>HUL</t>
        </is>
      </c>
    </row>
    <row r="259">
      <c r="A259" t="n">
        <v>26</v>
      </c>
      <c r="B259" t="inlineStr">
        <is>
          <t>2027-02-20T15:00:00Z</t>
        </is>
      </c>
      <c r="C259" t="n">
        <v>15</v>
      </c>
      <c r="D259" t="n">
        <v>17</v>
      </c>
      <c r="E259" t="n">
        <v>2</v>
      </c>
      <c r="F259" t="n">
        <v>5</v>
      </c>
      <c r="G259" t="inlineStr">
        <is>
          <t>MCI</t>
        </is>
      </c>
      <c r="H259" t="inlineStr">
        <is>
          <t>NEW</t>
        </is>
      </c>
    </row>
    <row r="260">
      <c r="A260" t="n">
        <v>26</v>
      </c>
      <c r="B260" t="inlineStr">
        <is>
          <t>2027-02-20T15:00:00Z</t>
        </is>
      </c>
      <c r="C260" t="n">
        <v>18</v>
      </c>
      <c r="D260" t="n">
        <v>16</v>
      </c>
      <c r="E260" t="n">
        <v>4</v>
      </c>
      <c r="F260" t="n">
        <v>3</v>
      </c>
      <c r="G260" t="inlineStr">
        <is>
          <t>NFO</t>
        </is>
      </c>
      <c r="H260" t="inlineStr">
        <is>
          <t>MUN</t>
        </is>
      </c>
    </row>
    <row r="261">
      <c r="A261" t="n">
        <v>26</v>
      </c>
      <c r="B261" t="inlineStr">
        <is>
          <t>2027-02-20T15:00:00Z</t>
        </is>
      </c>
      <c r="C261" t="n">
        <v>20</v>
      </c>
      <c r="D261" t="n">
        <v>9</v>
      </c>
      <c r="E261" t="n">
        <v>3</v>
      </c>
      <c r="F261" t="n">
        <v>3</v>
      </c>
      <c r="G261" t="inlineStr">
        <is>
          <t>SUN</t>
        </is>
      </c>
      <c r="H261" t="inlineStr">
        <is>
          <t>EVE</t>
        </is>
      </c>
    </row>
    <row r="262">
      <c r="A262" t="n">
        <v>27</v>
      </c>
      <c r="B262" t="inlineStr">
        <is>
          <t>2027-02-27T15:00:00Z</t>
        </is>
      </c>
      <c r="C262" t="n">
        <v>2</v>
      </c>
      <c r="D262" t="n">
        <v>6</v>
      </c>
      <c r="E262" t="n">
        <v>4</v>
      </c>
      <c r="F262" t="n">
        <v>4</v>
      </c>
      <c r="G262" t="inlineStr">
        <is>
          <t>AVL</t>
        </is>
      </c>
      <c r="H262" t="inlineStr">
        <is>
          <t>CHE</t>
        </is>
      </c>
    </row>
    <row r="263">
      <c r="A263" t="n">
        <v>27</v>
      </c>
      <c r="B263" t="inlineStr">
        <is>
          <t>2027-02-27T15:00:00Z</t>
        </is>
      </c>
      <c r="C263" t="n">
        <v>7</v>
      </c>
      <c r="D263" t="n">
        <v>3</v>
      </c>
      <c r="E263" t="n">
        <v>3</v>
      </c>
      <c r="F263" t="n">
        <v>2</v>
      </c>
      <c r="G263" t="inlineStr">
        <is>
          <t>COV</t>
        </is>
      </c>
      <c r="H263" t="inlineStr">
        <is>
          <t>BOU</t>
        </is>
      </c>
    </row>
    <row r="264">
      <c r="A264" t="n">
        <v>27</v>
      </c>
      <c r="B264" t="inlineStr">
        <is>
          <t>2027-02-27T15:00:00Z</t>
        </is>
      </c>
      <c r="C264" t="n">
        <v>8</v>
      </c>
      <c r="D264" t="n">
        <v>20</v>
      </c>
      <c r="E264" t="n">
        <v>2</v>
      </c>
      <c r="F264" t="n">
        <v>3</v>
      </c>
      <c r="G264" t="inlineStr">
        <is>
          <t>CRY</t>
        </is>
      </c>
      <c r="H264" t="inlineStr">
        <is>
          <t>SUN</t>
        </is>
      </c>
    </row>
    <row r="265">
      <c r="A265" t="n">
        <v>27</v>
      </c>
      <c r="B265" t="inlineStr">
        <is>
          <t>2027-02-27T15:00:00Z</t>
        </is>
      </c>
      <c r="C265" t="n">
        <v>9</v>
      </c>
      <c r="D265" t="n">
        <v>18</v>
      </c>
      <c r="E265" t="n">
        <v>3</v>
      </c>
      <c r="F265" t="n">
        <v>3</v>
      </c>
      <c r="G265" t="inlineStr">
        <is>
          <t>EVE</t>
        </is>
      </c>
      <c r="H265" t="inlineStr">
        <is>
          <t>NFO</t>
        </is>
      </c>
    </row>
    <row r="266">
      <c r="A266" t="n">
        <v>27</v>
      </c>
      <c r="B266" t="inlineStr">
        <is>
          <t>2027-02-27T15:00:00Z</t>
        </is>
      </c>
      <c r="C266" t="n">
        <v>10</v>
      </c>
      <c r="D266" t="n">
        <v>13</v>
      </c>
      <c r="E266" t="n">
        <v>2</v>
      </c>
      <c r="F266" t="n">
        <v>3</v>
      </c>
      <c r="G266" t="inlineStr">
        <is>
          <t>FUL</t>
        </is>
      </c>
      <c r="H266" t="inlineStr">
        <is>
          <t>LEE</t>
        </is>
      </c>
    </row>
    <row r="267">
      <c r="A267" t="n">
        <v>27</v>
      </c>
      <c r="B267" t="inlineStr">
        <is>
          <t>2027-02-27T15:00:00Z</t>
        </is>
      </c>
      <c r="C267" t="n">
        <v>11</v>
      </c>
      <c r="D267" t="n">
        <v>15</v>
      </c>
      <c r="E267" t="n">
        <v>4</v>
      </c>
      <c r="F267" t="n">
        <v>2</v>
      </c>
      <c r="G267" t="inlineStr">
        <is>
          <t>HUL</t>
        </is>
      </c>
      <c r="H267" t="inlineStr">
        <is>
          <t>MCI</t>
        </is>
      </c>
    </row>
    <row r="268">
      <c r="A268" t="n">
        <v>27</v>
      </c>
      <c r="B268" t="inlineStr">
        <is>
          <t>2027-02-27T15:00:00Z</t>
        </is>
      </c>
      <c r="C268" t="n">
        <v>12</v>
      </c>
      <c r="D268" t="n">
        <v>5</v>
      </c>
      <c r="E268" t="n">
        <v>2</v>
      </c>
      <c r="F268" t="n">
        <v>2</v>
      </c>
      <c r="G268" t="inlineStr">
        <is>
          <t>IPS</t>
        </is>
      </c>
      <c r="H268" t="inlineStr">
        <is>
          <t>BHA</t>
        </is>
      </c>
    </row>
    <row r="269">
      <c r="A269" t="n">
        <v>27</v>
      </c>
      <c r="B269" t="inlineStr">
        <is>
          <t>2027-02-27T15:00:00Z</t>
        </is>
      </c>
      <c r="C269" t="n">
        <v>16</v>
      </c>
      <c r="D269" t="n">
        <v>1</v>
      </c>
      <c r="E269" t="n">
        <v>4</v>
      </c>
      <c r="F269" t="n">
        <v>4</v>
      </c>
      <c r="G269" t="inlineStr">
        <is>
          <t>MUN</t>
        </is>
      </c>
      <c r="H269" t="inlineStr">
        <is>
          <t>ARS</t>
        </is>
      </c>
    </row>
    <row r="270">
      <c r="A270" t="n">
        <v>27</v>
      </c>
      <c r="B270" t="inlineStr">
        <is>
          <t>2027-02-27T15:00:00Z</t>
        </is>
      </c>
      <c r="C270" t="n">
        <v>17</v>
      </c>
      <c r="D270" t="n">
        <v>4</v>
      </c>
      <c r="E270" t="n">
        <v>3</v>
      </c>
      <c r="F270" t="n">
        <v>3</v>
      </c>
      <c r="G270" t="inlineStr">
        <is>
          <t>NEW</t>
        </is>
      </c>
      <c r="H270" t="inlineStr">
        <is>
          <t>BRE</t>
        </is>
      </c>
    </row>
    <row r="271">
      <c r="A271" t="n">
        <v>27</v>
      </c>
      <c r="B271" t="inlineStr">
        <is>
          <t>2027-02-27T15:00:00Z</t>
        </is>
      </c>
      <c r="C271" t="n">
        <v>19</v>
      </c>
      <c r="D271" t="n">
        <v>14</v>
      </c>
      <c r="E271" t="n">
        <v>4</v>
      </c>
      <c r="F271" t="n">
        <v>3</v>
      </c>
      <c r="G271" t="inlineStr">
        <is>
          <t>TOT</t>
        </is>
      </c>
      <c r="H271" t="inlineStr">
        <is>
          <t>LIV</t>
        </is>
      </c>
    </row>
    <row r="272">
      <c r="A272" t="n">
        <v>28</v>
      </c>
      <c r="B272" t="inlineStr">
        <is>
          <t>2027-03-03T20:00:00Z</t>
        </is>
      </c>
      <c r="C272" t="n">
        <v>1</v>
      </c>
      <c r="D272" t="n">
        <v>8</v>
      </c>
      <c r="E272" t="n">
        <v>3</v>
      </c>
      <c r="F272" t="n">
        <v>5</v>
      </c>
      <c r="G272" t="inlineStr">
        <is>
          <t>ARS</t>
        </is>
      </c>
      <c r="H272" t="inlineStr">
        <is>
          <t>CRY</t>
        </is>
      </c>
    </row>
    <row r="273">
      <c r="A273" t="n">
        <v>28</v>
      </c>
      <c r="B273" t="inlineStr">
        <is>
          <t>2027-03-03T20:00:00Z</t>
        </is>
      </c>
      <c r="C273" t="n">
        <v>3</v>
      </c>
      <c r="D273" t="n">
        <v>19</v>
      </c>
      <c r="E273" t="n">
        <v>3</v>
      </c>
      <c r="F273" t="n">
        <v>3</v>
      </c>
      <c r="G273" t="inlineStr">
        <is>
          <t>BOU</t>
        </is>
      </c>
      <c r="H273" t="inlineStr">
        <is>
          <t>TOT</t>
        </is>
      </c>
    </row>
    <row r="274">
      <c r="A274" t="n">
        <v>28</v>
      </c>
      <c r="B274" t="inlineStr">
        <is>
          <t>2027-03-03T20:00:00Z</t>
        </is>
      </c>
      <c r="C274" t="n">
        <v>4</v>
      </c>
      <c r="D274" t="n">
        <v>12</v>
      </c>
      <c r="E274" t="n">
        <v>2</v>
      </c>
      <c r="F274" t="n">
        <v>3</v>
      </c>
      <c r="G274" t="inlineStr">
        <is>
          <t>BRE</t>
        </is>
      </c>
      <c r="H274" t="inlineStr">
        <is>
          <t>IPS</t>
        </is>
      </c>
    </row>
    <row r="275">
      <c r="A275" t="n">
        <v>28</v>
      </c>
      <c r="B275" t="inlineStr">
        <is>
          <t>2027-03-03T20:00:00Z</t>
        </is>
      </c>
      <c r="C275" t="n">
        <v>5</v>
      </c>
      <c r="D275" t="n">
        <v>10</v>
      </c>
      <c r="E275" t="n">
        <v>2</v>
      </c>
      <c r="F275" t="n">
        <v>3</v>
      </c>
      <c r="G275" t="inlineStr">
        <is>
          <t>BHA</t>
        </is>
      </c>
      <c r="H275" t="inlineStr">
        <is>
          <t>FUL</t>
        </is>
      </c>
    </row>
    <row r="276">
      <c r="A276" t="n">
        <v>28</v>
      </c>
      <c r="B276" t="inlineStr">
        <is>
          <t>2027-03-03T20:00:00Z</t>
        </is>
      </c>
      <c r="C276" t="n">
        <v>6</v>
      </c>
      <c r="D276" t="n">
        <v>7</v>
      </c>
      <c r="E276" t="n">
        <v>2</v>
      </c>
      <c r="F276" t="n">
        <v>4</v>
      </c>
      <c r="G276" t="inlineStr">
        <is>
          <t>CHE</t>
        </is>
      </c>
      <c r="H276" t="inlineStr">
        <is>
          <t>COV</t>
        </is>
      </c>
    </row>
    <row r="277">
      <c r="A277" t="n">
        <v>28</v>
      </c>
      <c r="B277" t="inlineStr">
        <is>
          <t>2027-03-03T20:00:00Z</t>
        </is>
      </c>
      <c r="C277" t="n">
        <v>13</v>
      </c>
      <c r="D277" t="n">
        <v>11</v>
      </c>
      <c r="E277" t="n">
        <v>2</v>
      </c>
      <c r="F277" t="n">
        <v>3</v>
      </c>
      <c r="G277" t="inlineStr">
        <is>
          <t>LEE</t>
        </is>
      </c>
      <c r="H277" t="inlineStr">
        <is>
          <t>HUL</t>
        </is>
      </c>
    </row>
    <row r="278">
      <c r="A278" t="n">
        <v>28</v>
      </c>
      <c r="B278" t="inlineStr">
        <is>
          <t>2027-03-03T20:00:00Z</t>
        </is>
      </c>
      <c r="C278" t="n">
        <v>14</v>
      </c>
      <c r="D278" t="n">
        <v>2</v>
      </c>
      <c r="E278" t="n">
        <v>3</v>
      </c>
      <c r="F278" t="n">
        <v>4</v>
      </c>
      <c r="G278" t="inlineStr">
        <is>
          <t>LIV</t>
        </is>
      </c>
      <c r="H278" t="inlineStr">
        <is>
          <t>AVL</t>
        </is>
      </c>
    </row>
    <row r="279">
      <c r="A279" t="n">
        <v>28</v>
      </c>
      <c r="B279" t="inlineStr">
        <is>
          <t>2027-03-03T20:00:00Z</t>
        </is>
      </c>
      <c r="C279" t="n">
        <v>15</v>
      </c>
      <c r="D279" t="n">
        <v>9</v>
      </c>
      <c r="E279" t="n">
        <v>3</v>
      </c>
      <c r="F279" t="n">
        <v>5</v>
      </c>
      <c r="G279" t="inlineStr">
        <is>
          <t>MCI</t>
        </is>
      </c>
      <c r="H279" t="inlineStr">
        <is>
          <t>EVE</t>
        </is>
      </c>
    </row>
    <row r="280">
      <c r="A280" t="n">
        <v>28</v>
      </c>
      <c r="B280" t="inlineStr">
        <is>
          <t>2027-03-03T20:00:00Z</t>
        </is>
      </c>
      <c r="C280" t="n">
        <v>18</v>
      </c>
      <c r="D280" t="n">
        <v>17</v>
      </c>
      <c r="E280" t="n">
        <v>2</v>
      </c>
      <c r="F280" t="n">
        <v>3</v>
      </c>
      <c r="G280" t="inlineStr">
        <is>
          <t>NFO</t>
        </is>
      </c>
      <c r="H280" t="inlineStr">
        <is>
          <t>NEW</t>
        </is>
      </c>
    </row>
    <row r="281">
      <c r="A281" t="n">
        <v>28</v>
      </c>
      <c r="B281" t="inlineStr">
        <is>
          <t>2027-03-03T20:00:00Z</t>
        </is>
      </c>
      <c r="C281" t="n">
        <v>20</v>
      </c>
      <c r="D281" t="n">
        <v>16</v>
      </c>
      <c r="E281" t="n">
        <v>4</v>
      </c>
      <c r="F281" t="n">
        <v>3</v>
      </c>
      <c r="G281" t="inlineStr">
        <is>
          <t>SUN</t>
        </is>
      </c>
      <c r="H281" t="inlineStr">
        <is>
          <t>MUN</t>
        </is>
      </c>
    </row>
    <row r="282">
      <c r="A282" t="n">
        <v>29</v>
      </c>
      <c r="B282" t="inlineStr">
        <is>
          <t>2027-03-13T15:00:00Z</t>
        </is>
      </c>
      <c r="C282" t="n">
        <v>2</v>
      </c>
      <c r="D282" t="n">
        <v>11</v>
      </c>
      <c r="E282" t="n">
        <v>2</v>
      </c>
      <c r="F282" t="n">
        <v>4</v>
      </c>
      <c r="G282" t="inlineStr">
        <is>
          <t>AVL</t>
        </is>
      </c>
      <c r="H282" t="inlineStr">
        <is>
          <t>HUL</t>
        </is>
      </c>
    </row>
    <row r="283">
      <c r="A283" t="n">
        <v>29</v>
      </c>
      <c r="B283" t="inlineStr">
        <is>
          <t>2027-03-13T15:00:00Z</t>
        </is>
      </c>
      <c r="C283" t="n">
        <v>3</v>
      </c>
      <c r="D283" t="n">
        <v>17</v>
      </c>
      <c r="E283" t="n">
        <v>2</v>
      </c>
      <c r="F283" t="n">
        <v>3</v>
      </c>
      <c r="G283" t="inlineStr">
        <is>
          <t>BOU</t>
        </is>
      </c>
      <c r="H283" t="inlineStr">
        <is>
          <t>NEW</t>
        </is>
      </c>
    </row>
    <row r="284">
      <c r="A284" t="n">
        <v>29</v>
      </c>
      <c r="B284" t="inlineStr">
        <is>
          <t>2027-03-13T15:00:00Z</t>
        </is>
      </c>
      <c r="C284" t="n">
        <v>6</v>
      </c>
      <c r="D284" t="n">
        <v>1</v>
      </c>
      <c r="E284" t="n">
        <v>4</v>
      </c>
      <c r="F284" t="n">
        <v>4</v>
      </c>
      <c r="G284" t="inlineStr">
        <is>
          <t>CHE</t>
        </is>
      </c>
      <c r="H284" t="inlineStr">
        <is>
          <t>ARS</t>
        </is>
      </c>
    </row>
    <row r="285">
      <c r="A285" t="n">
        <v>29</v>
      </c>
      <c r="B285" t="inlineStr">
        <is>
          <t>2027-03-13T15:00:00Z</t>
        </is>
      </c>
      <c r="C285" t="n">
        <v>7</v>
      </c>
      <c r="D285" t="n">
        <v>15</v>
      </c>
      <c r="E285" t="n">
        <v>4</v>
      </c>
      <c r="F285" t="n">
        <v>2</v>
      </c>
      <c r="G285" t="inlineStr">
        <is>
          <t>COV</t>
        </is>
      </c>
      <c r="H285" t="inlineStr">
        <is>
          <t>MCI</t>
        </is>
      </c>
    </row>
    <row r="286">
      <c r="A286" t="n">
        <v>29</v>
      </c>
      <c r="B286" t="inlineStr">
        <is>
          <t>2027-03-13T15:00:00Z</t>
        </is>
      </c>
      <c r="C286" t="n">
        <v>8</v>
      </c>
      <c r="D286" t="n">
        <v>10</v>
      </c>
      <c r="E286" t="n">
        <v>2</v>
      </c>
      <c r="F286" t="n">
        <v>3</v>
      </c>
      <c r="G286" t="inlineStr">
        <is>
          <t>CRY</t>
        </is>
      </c>
      <c r="H286" t="inlineStr">
        <is>
          <t>FUL</t>
        </is>
      </c>
    </row>
    <row r="287">
      <c r="A287" t="n">
        <v>29</v>
      </c>
      <c r="B287" t="inlineStr">
        <is>
          <t>2027-03-13T15:00:00Z</t>
        </is>
      </c>
      <c r="C287" t="n">
        <v>13</v>
      </c>
      <c r="D287" t="n">
        <v>5</v>
      </c>
      <c r="E287" t="n">
        <v>2</v>
      </c>
      <c r="F287" t="n">
        <v>3</v>
      </c>
      <c r="G287" t="inlineStr">
        <is>
          <t>LEE</t>
        </is>
      </c>
      <c r="H287" t="inlineStr">
        <is>
          <t>BHA</t>
        </is>
      </c>
    </row>
    <row r="288">
      <c r="A288" t="n">
        <v>29</v>
      </c>
      <c r="B288" t="inlineStr">
        <is>
          <t>2027-03-13T15:00:00Z</t>
        </is>
      </c>
      <c r="C288" t="n">
        <v>14</v>
      </c>
      <c r="D288" t="n">
        <v>12</v>
      </c>
      <c r="E288" t="n">
        <v>2</v>
      </c>
      <c r="F288" t="n">
        <v>4</v>
      </c>
      <c r="G288" t="inlineStr">
        <is>
          <t>LIV</t>
        </is>
      </c>
      <c r="H288" t="inlineStr">
        <is>
          <t>IPS</t>
        </is>
      </c>
    </row>
    <row r="289">
      <c r="A289" t="n">
        <v>29</v>
      </c>
      <c r="B289" t="inlineStr">
        <is>
          <t>2027-03-13T15:00:00Z</t>
        </is>
      </c>
      <c r="C289" t="n">
        <v>16</v>
      </c>
      <c r="D289" t="n">
        <v>9</v>
      </c>
      <c r="E289" t="n">
        <v>3</v>
      </c>
      <c r="F289" t="n">
        <v>4</v>
      </c>
      <c r="G289" t="inlineStr">
        <is>
          <t>MUN</t>
        </is>
      </c>
      <c r="H289" t="inlineStr">
        <is>
          <t>EVE</t>
        </is>
      </c>
    </row>
    <row r="290">
      <c r="A290" t="n">
        <v>29</v>
      </c>
      <c r="B290" t="inlineStr">
        <is>
          <t>2027-03-13T15:00:00Z</t>
        </is>
      </c>
      <c r="C290" t="n">
        <v>19</v>
      </c>
      <c r="D290" t="n">
        <v>18</v>
      </c>
      <c r="E290" t="n">
        <v>3</v>
      </c>
      <c r="F290" t="n">
        <v>3</v>
      </c>
      <c r="G290" t="inlineStr">
        <is>
          <t>TOT</t>
        </is>
      </c>
      <c r="H290" t="inlineStr">
        <is>
          <t>NFO</t>
        </is>
      </c>
    </row>
    <row r="291">
      <c r="A291" t="n">
        <v>29</v>
      </c>
      <c r="B291" t="inlineStr">
        <is>
          <t>2027-03-13T15:00:00Z</t>
        </is>
      </c>
      <c r="C291" t="n">
        <v>20</v>
      </c>
      <c r="D291" t="n">
        <v>4</v>
      </c>
      <c r="E291" t="n">
        <v>3</v>
      </c>
      <c r="F291" t="n">
        <v>3</v>
      </c>
      <c r="G291" t="inlineStr">
        <is>
          <t>SUN</t>
        </is>
      </c>
      <c r="H291" t="inlineStr">
        <is>
          <t>BRE</t>
        </is>
      </c>
    </row>
    <row r="292">
      <c r="A292" t="n">
        <v>30</v>
      </c>
      <c r="B292" t="inlineStr">
        <is>
          <t>2027-03-20T15:00:00Z</t>
        </is>
      </c>
      <c r="C292" t="n">
        <v>1</v>
      </c>
      <c r="D292" t="n">
        <v>20</v>
      </c>
      <c r="E292" t="n">
        <v>2</v>
      </c>
      <c r="F292" t="n">
        <v>5</v>
      </c>
      <c r="G292" t="inlineStr">
        <is>
          <t>ARS</t>
        </is>
      </c>
      <c r="H292" t="inlineStr">
        <is>
          <t>SUN</t>
        </is>
      </c>
    </row>
    <row r="293">
      <c r="A293" t="n">
        <v>30</v>
      </c>
      <c r="B293" t="inlineStr">
        <is>
          <t>2027-03-20T15:00:00Z</t>
        </is>
      </c>
      <c r="C293" t="n">
        <v>4</v>
      </c>
      <c r="D293" t="n">
        <v>3</v>
      </c>
      <c r="E293" t="n">
        <v>3</v>
      </c>
      <c r="F293" t="n">
        <v>3</v>
      </c>
      <c r="G293" t="inlineStr">
        <is>
          <t>BRE</t>
        </is>
      </c>
      <c r="H293" t="inlineStr">
        <is>
          <t>BOU</t>
        </is>
      </c>
    </row>
    <row r="294">
      <c r="A294" t="n">
        <v>30</v>
      </c>
      <c r="B294" t="inlineStr">
        <is>
          <t>2027-03-20T15:00:00Z</t>
        </is>
      </c>
      <c r="C294" t="n">
        <v>5</v>
      </c>
      <c r="D294" t="n">
        <v>7</v>
      </c>
      <c r="E294" t="n">
        <v>2</v>
      </c>
      <c r="F294" t="n">
        <v>3</v>
      </c>
      <c r="G294" t="inlineStr">
        <is>
          <t>BHA</t>
        </is>
      </c>
      <c r="H294" t="inlineStr">
        <is>
          <t>COV</t>
        </is>
      </c>
    </row>
    <row r="295">
      <c r="A295" t="n">
        <v>30</v>
      </c>
      <c r="B295" t="inlineStr">
        <is>
          <t>2027-03-20T15:00:00Z</t>
        </is>
      </c>
      <c r="C295" t="n">
        <v>9</v>
      </c>
      <c r="D295" t="n">
        <v>19</v>
      </c>
      <c r="E295" t="n">
        <v>3</v>
      </c>
      <c r="F295" t="n">
        <v>3</v>
      </c>
      <c r="G295" t="inlineStr">
        <is>
          <t>EVE</t>
        </is>
      </c>
      <c r="H295" t="inlineStr">
        <is>
          <t>TOT</t>
        </is>
      </c>
    </row>
    <row r="296">
      <c r="A296" t="n">
        <v>30</v>
      </c>
      <c r="B296" t="inlineStr">
        <is>
          <t>2027-03-20T15:00:00Z</t>
        </is>
      </c>
      <c r="C296" t="n">
        <v>10</v>
      </c>
      <c r="D296" t="n">
        <v>14</v>
      </c>
      <c r="E296" t="n">
        <v>4</v>
      </c>
      <c r="F296" t="n">
        <v>3</v>
      </c>
      <c r="G296" t="inlineStr">
        <is>
          <t>FUL</t>
        </is>
      </c>
      <c r="H296" t="inlineStr">
        <is>
          <t>LIV</t>
        </is>
      </c>
    </row>
    <row r="297">
      <c r="A297" t="n">
        <v>30</v>
      </c>
      <c r="B297" t="inlineStr">
        <is>
          <t>2027-03-20T15:00:00Z</t>
        </is>
      </c>
      <c r="C297" t="n">
        <v>11</v>
      </c>
      <c r="D297" t="n">
        <v>6</v>
      </c>
      <c r="E297" t="n">
        <v>4</v>
      </c>
      <c r="F297" t="n">
        <v>2</v>
      </c>
      <c r="G297" t="inlineStr">
        <is>
          <t>HUL</t>
        </is>
      </c>
      <c r="H297" t="inlineStr">
        <is>
          <t>CHE</t>
        </is>
      </c>
    </row>
    <row r="298">
      <c r="A298" t="n">
        <v>30</v>
      </c>
      <c r="B298" t="inlineStr">
        <is>
          <t>2027-03-20T15:00:00Z</t>
        </is>
      </c>
      <c r="C298" t="n">
        <v>12</v>
      </c>
      <c r="D298" t="n">
        <v>8</v>
      </c>
      <c r="E298" t="n">
        <v>3</v>
      </c>
      <c r="F298" t="n">
        <v>2</v>
      </c>
      <c r="G298" t="inlineStr">
        <is>
          <t>IPS</t>
        </is>
      </c>
      <c r="H298" t="inlineStr">
        <is>
          <t>CRY</t>
        </is>
      </c>
    </row>
    <row r="299">
      <c r="A299" t="n">
        <v>30</v>
      </c>
      <c r="B299" t="inlineStr">
        <is>
          <t>2027-03-20T15:00:00Z</t>
        </is>
      </c>
      <c r="C299" t="n">
        <v>15</v>
      </c>
      <c r="D299" t="n">
        <v>16</v>
      </c>
      <c r="E299" t="n">
        <v>4</v>
      </c>
      <c r="F299" t="n">
        <v>5</v>
      </c>
      <c r="G299" t="inlineStr">
        <is>
          <t>MCI</t>
        </is>
      </c>
      <c r="H299" t="inlineStr">
        <is>
          <t>MUN</t>
        </is>
      </c>
    </row>
    <row r="300">
      <c r="A300" t="n">
        <v>30</v>
      </c>
      <c r="B300" t="inlineStr">
        <is>
          <t>2027-03-20T15:00:00Z</t>
        </is>
      </c>
      <c r="C300" t="n">
        <v>17</v>
      </c>
      <c r="D300" t="n">
        <v>13</v>
      </c>
      <c r="E300" t="n">
        <v>2</v>
      </c>
      <c r="F300" t="n">
        <v>3</v>
      </c>
      <c r="G300" t="inlineStr">
        <is>
          <t>NEW</t>
        </is>
      </c>
      <c r="H300" t="inlineStr">
        <is>
          <t>LEE</t>
        </is>
      </c>
    </row>
    <row r="301">
      <c r="A301" t="n">
        <v>30</v>
      </c>
      <c r="B301" t="inlineStr">
        <is>
          <t>2027-03-20T15:00:00Z</t>
        </is>
      </c>
      <c r="C301" t="n">
        <v>18</v>
      </c>
      <c r="D301" t="n">
        <v>2</v>
      </c>
      <c r="E301" t="n">
        <v>3</v>
      </c>
      <c r="F301" t="n">
        <v>3</v>
      </c>
      <c r="G301" t="inlineStr">
        <is>
          <t>NFO</t>
        </is>
      </c>
      <c r="H301" t="inlineStr">
        <is>
          <t>AVL</t>
        </is>
      </c>
    </row>
    <row r="302">
      <c r="A302" t="n">
        <v>31</v>
      </c>
      <c r="B302" t="inlineStr">
        <is>
          <t>2027-04-10T14:00:00Z</t>
        </is>
      </c>
      <c r="C302" t="n">
        <v>2</v>
      </c>
      <c r="D302" t="n">
        <v>5</v>
      </c>
      <c r="E302" t="n">
        <v>2</v>
      </c>
      <c r="F302" t="n">
        <v>4</v>
      </c>
      <c r="G302" t="inlineStr">
        <is>
          <t>AVL</t>
        </is>
      </c>
      <c r="H302" t="inlineStr">
        <is>
          <t>BHA</t>
        </is>
      </c>
    </row>
    <row r="303">
      <c r="A303" t="n">
        <v>31</v>
      </c>
      <c r="B303" t="inlineStr">
        <is>
          <t>2027-04-10T14:00:00Z</t>
        </is>
      </c>
      <c r="C303" t="n">
        <v>3</v>
      </c>
      <c r="D303" t="n">
        <v>15</v>
      </c>
      <c r="E303" t="n">
        <v>4</v>
      </c>
      <c r="F303" t="n">
        <v>3</v>
      </c>
      <c r="G303" t="inlineStr">
        <is>
          <t>BOU</t>
        </is>
      </c>
      <c r="H303" t="inlineStr">
        <is>
          <t>MCI</t>
        </is>
      </c>
    </row>
    <row r="304">
      <c r="A304" t="n">
        <v>31</v>
      </c>
      <c r="B304" t="inlineStr">
        <is>
          <t>2027-04-10T14:00:00Z</t>
        </is>
      </c>
      <c r="C304" t="n">
        <v>6</v>
      </c>
      <c r="D304" t="n">
        <v>10</v>
      </c>
      <c r="E304" t="n">
        <v>2</v>
      </c>
      <c r="F304" t="n">
        <v>4</v>
      </c>
      <c r="G304" t="inlineStr">
        <is>
          <t>CHE</t>
        </is>
      </c>
      <c r="H304" t="inlineStr">
        <is>
          <t>FUL</t>
        </is>
      </c>
    </row>
    <row r="305">
      <c r="A305" t="n">
        <v>31</v>
      </c>
      <c r="B305" t="inlineStr">
        <is>
          <t>2027-04-10T14:00:00Z</t>
        </is>
      </c>
      <c r="C305" t="n">
        <v>7</v>
      </c>
      <c r="D305" t="n">
        <v>1</v>
      </c>
      <c r="E305" t="n">
        <v>4</v>
      </c>
      <c r="F305" t="n">
        <v>2</v>
      </c>
      <c r="G305" t="inlineStr">
        <is>
          <t>COV</t>
        </is>
      </c>
      <c r="H305" t="inlineStr">
        <is>
          <t>ARS</t>
        </is>
      </c>
    </row>
    <row r="306">
      <c r="A306" t="n">
        <v>31</v>
      </c>
      <c r="B306" t="inlineStr">
        <is>
          <t>2027-04-10T14:00:00Z</t>
        </is>
      </c>
      <c r="C306" t="n">
        <v>8</v>
      </c>
      <c r="D306" t="n">
        <v>9</v>
      </c>
      <c r="E306" t="n">
        <v>3</v>
      </c>
      <c r="F306" t="n">
        <v>3</v>
      </c>
      <c r="G306" t="inlineStr">
        <is>
          <t>CRY</t>
        </is>
      </c>
      <c r="H306" t="inlineStr">
        <is>
          <t>EVE</t>
        </is>
      </c>
    </row>
    <row r="307">
      <c r="A307" t="n">
        <v>31</v>
      </c>
      <c r="B307" t="inlineStr">
        <is>
          <t>2027-04-10T14:00:00Z</t>
        </is>
      </c>
      <c r="C307" t="n">
        <v>13</v>
      </c>
      <c r="D307" t="n">
        <v>18</v>
      </c>
      <c r="E307" t="n">
        <v>3</v>
      </c>
      <c r="F307" t="n">
        <v>3</v>
      </c>
      <c r="G307" t="inlineStr">
        <is>
          <t>LEE</t>
        </is>
      </c>
      <c r="H307" t="inlineStr">
        <is>
          <t>NFO</t>
        </is>
      </c>
    </row>
    <row r="308">
      <c r="A308" t="n">
        <v>31</v>
      </c>
      <c r="B308" t="inlineStr">
        <is>
          <t>2027-04-10T14:00:00Z</t>
        </is>
      </c>
      <c r="C308" t="n">
        <v>14</v>
      </c>
      <c r="D308" t="n">
        <v>17</v>
      </c>
      <c r="E308" t="n">
        <v>2</v>
      </c>
      <c r="F308" t="n">
        <v>4</v>
      </c>
      <c r="G308" t="inlineStr">
        <is>
          <t>LIV</t>
        </is>
      </c>
      <c r="H308" t="inlineStr">
        <is>
          <t>NEW</t>
        </is>
      </c>
    </row>
    <row r="309">
      <c r="A309" t="n">
        <v>31</v>
      </c>
      <c r="B309" t="inlineStr">
        <is>
          <t>2027-04-10T14:00:00Z</t>
        </is>
      </c>
      <c r="C309" t="n">
        <v>16</v>
      </c>
      <c r="D309" t="n">
        <v>11</v>
      </c>
      <c r="E309" t="n">
        <v>2</v>
      </c>
      <c r="F309" t="n">
        <v>4</v>
      </c>
      <c r="G309" t="inlineStr">
        <is>
          <t>MUN</t>
        </is>
      </c>
      <c r="H309" t="inlineStr">
        <is>
          <t>HUL</t>
        </is>
      </c>
    </row>
    <row r="310">
      <c r="A310" t="n">
        <v>31</v>
      </c>
      <c r="B310" t="inlineStr">
        <is>
          <t>2027-04-10T14:00:00Z</t>
        </is>
      </c>
      <c r="C310" t="n">
        <v>19</v>
      </c>
      <c r="D310" t="n">
        <v>4</v>
      </c>
      <c r="E310" t="n">
        <v>3</v>
      </c>
      <c r="F310" t="n">
        <v>3</v>
      </c>
      <c r="G310" t="inlineStr">
        <is>
          <t>TOT</t>
        </is>
      </c>
      <c r="H310" t="inlineStr">
        <is>
          <t>BRE</t>
        </is>
      </c>
    </row>
    <row r="311">
      <c r="A311" t="n">
        <v>31</v>
      </c>
      <c r="B311" t="inlineStr">
        <is>
          <t>2027-04-10T14:00:00Z</t>
        </is>
      </c>
      <c r="C311" t="n">
        <v>20</v>
      </c>
      <c r="D311" t="n">
        <v>12</v>
      </c>
      <c r="E311" t="n">
        <v>2</v>
      </c>
      <c r="F311" t="n">
        <v>3</v>
      </c>
      <c r="G311" t="inlineStr">
        <is>
          <t>SUN</t>
        </is>
      </c>
      <c r="H311" t="inlineStr">
        <is>
          <t>IPS</t>
        </is>
      </c>
    </row>
    <row r="312">
      <c r="A312" t="n">
        <v>32</v>
      </c>
      <c r="B312" t="inlineStr">
        <is>
          <t>2027-04-17T14:00:00Z</t>
        </is>
      </c>
      <c r="C312" t="n">
        <v>1</v>
      </c>
      <c r="D312" t="n">
        <v>2</v>
      </c>
      <c r="E312" t="n">
        <v>3</v>
      </c>
      <c r="F312" t="n">
        <v>5</v>
      </c>
      <c r="G312" t="inlineStr">
        <is>
          <t>ARS</t>
        </is>
      </c>
      <c r="H312" t="inlineStr">
        <is>
          <t>AVL</t>
        </is>
      </c>
    </row>
    <row r="313">
      <c r="A313" t="n">
        <v>32</v>
      </c>
      <c r="B313" t="inlineStr">
        <is>
          <t>2027-04-17T14:00:00Z</t>
        </is>
      </c>
      <c r="C313" t="n">
        <v>4</v>
      </c>
      <c r="D313" t="n">
        <v>13</v>
      </c>
      <c r="E313" t="n">
        <v>2</v>
      </c>
      <c r="F313" t="n">
        <v>3</v>
      </c>
      <c r="G313" t="inlineStr">
        <is>
          <t>BRE</t>
        </is>
      </c>
      <c r="H313" t="inlineStr">
        <is>
          <t>LEE</t>
        </is>
      </c>
    </row>
    <row r="314">
      <c r="A314" t="n">
        <v>32</v>
      </c>
      <c r="B314" t="inlineStr">
        <is>
          <t>2027-04-17T14:00:00Z</t>
        </is>
      </c>
      <c r="C314" t="n">
        <v>5</v>
      </c>
      <c r="D314" t="n">
        <v>6</v>
      </c>
      <c r="E314" t="n">
        <v>4</v>
      </c>
      <c r="F314" t="n">
        <v>3</v>
      </c>
      <c r="G314" t="inlineStr">
        <is>
          <t>BHA</t>
        </is>
      </c>
      <c r="H314" t="inlineStr">
        <is>
          <t>CHE</t>
        </is>
      </c>
    </row>
    <row r="315">
      <c r="A315" t="n">
        <v>32</v>
      </c>
      <c r="B315" t="inlineStr">
        <is>
          <t>2027-04-17T14:00:00Z</t>
        </is>
      </c>
      <c r="C315" t="n">
        <v>9</v>
      </c>
      <c r="D315" t="n">
        <v>3</v>
      </c>
      <c r="E315" t="n">
        <v>3</v>
      </c>
      <c r="F315" t="n">
        <v>3</v>
      </c>
      <c r="G315" t="inlineStr">
        <is>
          <t>EVE</t>
        </is>
      </c>
      <c r="H315" t="inlineStr">
        <is>
          <t>BOU</t>
        </is>
      </c>
    </row>
    <row r="316">
      <c r="A316" t="n">
        <v>32</v>
      </c>
      <c r="B316" t="inlineStr">
        <is>
          <t>2027-04-17T14:00:00Z</t>
        </is>
      </c>
      <c r="C316" t="n">
        <v>10</v>
      </c>
      <c r="D316" t="n">
        <v>20</v>
      </c>
      <c r="E316" t="n">
        <v>2</v>
      </c>
      <c r="F316" t="n">
        <v>3</v>
      </c>
      <c r="G316" t="inlineStr">
        <is>
          <t>FUL</t>
        </is>
      </c>
      <c r="H316" t="inlineStr">
        <is>
          <t>SUN</t>
        </is>
      </c>
    </row>
    <row r="317">
      <c r="A317" t="n">
        <v>32</v>
      </c>
      <c r="B317" t="inlineStr">
        <is>
          <t>2027-04-17T14:00:00Z</t>
        </is>
      </c>
      <c r="C317" t="n">
        <v>11</v>
      </c>
      <c r="D317" t="n">
        <v>7</v>
      </c>
      <c r="E317" t="n">
        <v>2</v>
      </c>
      <c r="F317" t="n">
        <v>2</v>
      </c>
      <c r="G317" t="inlineStr">
        <is>
          <t>HUL</t>
        </is>
      </c>
      <c r="H317" t="inlineStr">
        <is>
          <t>COV</t>
        </is>
      </c>
    </row>
    <row r="318">
      <c r="A318" t="n">
        <v>32</v>
      </c>
      <c r="B318" t="inlineStr">
        <is>
          <t>2027-04-17T14:00:00Z</t>
        </is>
      </c>
      <c r="C318" t="n">
        <v>12</v>
      </c>
      <c r="D318" t="n">
        <v>16</v>
      </c>
      <c r="E318" t="n">
        <v>4</v>
      </c>
      <c r="F318" t="n">
        <v>2</v>
      </c>
      <c r="G318" t="inlineStr">
        <is>
          <t>IPS</t>
        </is>
      </c>
      <c r="H318" t="inlineStr">
        <is>
          <t>MUN</t>
        </is>
      </c>
    </row>
    <row r="319">
      <c r="A319" t="n">
        <v>32</v>
      </c>
      <c r="B319" t="inlineStr">
        <is>
          <t>2027-04-17T14:00:00Z</t>
        </is>
      </c>
      <c r="C319" t="n">
        <v>15</v>
      </c>
      <c r="D319" t="n">
        <v>8</v>
      </c>
      <c r="E319" t="n">
        <v>3</v>
      </c>
      <c r="F319" t="n">
        <v>5</v>
      </c>
      <c r="G319" t="inlineStr">
        <is>
          <t>MCI</t>
        </is>
      </c>
      <c r="H319" t="inlineStr">
        <is>
          <t>CRY</t>
        </is>
      </c>
    </row>
    <row r="320">
      <c r="A320" t="n">
        <v>32</v>
      </c>
      <c r="B320" t="inlineStr">
        <is>
          <t>2027-04-17T14:00:00Z</t>
        </is>
      </c>
      <c r="C320" t="n">
        <v>17</v>
      </c>
      <c r="D320" t="n">
        <v>19</v>
      </c>
      <c r="E320" t="n">
        <v>3</v>
      </c>
      <c r="F320" t="n">
        <v>3</v>
      </c>
      <c r="G320" t="inlineStr">
        <is>
          <t>NEW</t>
        </is>
      </c>
      <c r="H320" t="inlineStr">
        <is>
          <t>TOT</t>
        </is>
      </c>
    </row>
    <row r="321">
      <c r="A321" t="n">
        <v>32</v>
      </c>
      <c r="B321" t="inlineStr">
        <is>
          <t>2027-04-17T14:00:00Z</t>
        </is>
      </c>
      <c r="C321" t="n">
        <v>18</v>
      </c>
      <c r="D321" t="n">
        <v>14</v>
      </c>
      <c r="E321" t="n">
        <v>4</v>
      </c>
      <c r="F321" t="n">
        <v>3</v>
      </c>
      <c r="G321" t="inlineStr">
        <is>
          <t>NFO</t>
        </is>
      </c>
      <c r="H321" t="inlineStr">
        <is>
          <t>LIV</t>
        </is>
      </c>
    </row>
    <row r="322">
      <c r="A322" t="n">
        <v>33</v>
      </c>
      <c r="B322" t="inlineStr">
        <is>
          <t>2027-04-24T14:00:00Z</t>
        </is>
      </c>
      <c r="C322" t="n">
        <v>2</v>
      </c>
      <c r="D322" t="n">
        <v>7</v>
      </c>
      <c r="E322" t="n">
        <v>2</v>
      </c>
      <c r="F322" t="n">
        <v>4</v>
      </c>
      <c r="G322" t="inlineStr">
        <is>
          <t>AVL</t>
        </is>
      </c>
      <c r="H322" t="inlineStr">
        <is>
          <t>COV</t>
        </is>
      </c>
    </row>
    <row r="323">
      <c r="A323" t="n">
        <v>33</v>
      </c>
      <c r="B323" t="inlineStr">
        <is>
          <t>2027-04-24T14:00:00Z</t>
        </is>
      </c>
      <c r="C323" t="n">
        <v>3</v>
      </c>
      <c r="D323" t="n">
        <v>1</v>
      </c>
      <c r="E323" t="n">
        <v>4</v>
      </c>
      <c r="F323" t="n">
        <v>3</v>
      </c>
      <c r="G323" t="inlineStr">
        <is>
          <t>BOU</t>
        </is>
      </c>
      <c r="H323" t="inlineStr">
        <is>
          <t>ARS</t>
        </is>
      </c>
    </row>
    <row r="324">
      <c r="A324" t="n">
        <v>33</v>
      </c>
      <c r="B324" t="inlineStr">
        <is>
          <t>2027-04-24T14:00:00Z</t>
        </is>
      </c>
      <c r="C324" t="n">
        <v>4</v>
      </c>
      <c r="D324" t="n">
        <v>10</v>
      </c>
      <c r="E324" t="n">
        <v>2</v>
      </c>
      <c r="F324" t="n">
        <v>3</v>
      </c>
      <c r="G324" t="inlineStr">
        <is>
          <t>BRE</t>
        </is>
      </c>
      <c r="H324" t="inlineStr">
        <is>
          <t>FUL</t>
        </is>
      </c>
    </row>
    <row r="325">
      <c r="A325" t="n">
        <v>33</v>
      </c>
      <c r="B325" t="inlineStr">
        <is>
          <t>2027-04-24T14:00:00Z</t>
        </is>
      </c>
      <c r="C325" t="n">
        <v>6</v>
      </c>
      <c r="D325" t="n">
        <v>15</v>
      </c>
      <c r="E325" t="n">
        <v>4</v>
      </c>
      <c r="F325" t="n">
        <v>4</v>
      </c>
      <c r="G325" t="inlineStr">
        <is>
          <t>CHE</t>
        </is>
      </c>
      <c r="H325" t="inlineStr">
        <is>
          <t>MCI</t>
        </is>
      </c>
    </row>
    <row r="326">
      <c r="A326" t="n">
        <v>33</v>
      </c>
      <c r="B326" t="inlineStr">
        <is>
          <t>2027-04-24T14:00:00Z</t>
        </is>
      </c>
      <c r="C326" t="n">
        <v>9</v>
      </c>
      <c r="D326" t="n">
        <v>5</v>
      </c>
      <c r="E326" t="n">
        <v>2</v>
      </c>
      <c r="F326" t="n">
        <v>3</v>
      </c>
      <c r="G326" t="inlineStr">
        <is>
          <t>EVE</t>
        </is>
      </c>
      <c r="H326" t="inlineStr">
        <is>
          <t>BHA</t>
        </is>
      </c>
    </row>
    <row r="327">
      <c r="A327" t="n">
        <v>33</v>
      </c>
      <c r="B327" t="inlineStr">
        <is>
          <t>2027-04-24T14:00:00Z</t>
        </is>
      </c>
      <c r="C327" t="n">
        <v>13</v>
      </c>
      <c r="D327" t="n">
        <v>14</v>
      </c>
      <c r="E327" t="n">
        <v>4</v>
      </c>
      <c r="F327" t="n">
        <v>3</v>
      </c>
      <c r="G327" t="inlineStr">
        <is>
          <t>LEE</t>
        </is>
      </c>
      <c r="H327" t="inlineStr">
        <is>
          <t>LIV</t>
        </is>
      </c>
    </row>
    <row r="328">
      <c r="A328" t="n">
        <v>33</v>
      </c>
      <c r="B328" t="inlineStr">
        <is>
          <t>2027-04-24T14:00:00Z</t>
        </is>
      </c>
      <c r="C328" t="n">
        <v>16</v>
      </c>
      <c r="D328" t="n">
        <v>8</v>
      </c>
      <c r="E328" t="n">
        <v>3</v>
      </c>
      <c r="F328" t="n">
        <v>4</v>
      </c>
      <c r="G328" t="inlineStr">
        <is>
          <t>MUN</t>
        </is>
      </c>
      <c r="H328" t="inlineStr">
        <is>
          <t>CRY</t>
        </is>
      </c>
    </row>
    <row r="329">
      <c r="A329" t="n">
        <v>33</v>
      </c>
      <c r="B329" t="inlineStr">
        <is>
          <t>2027-04-24T14:00:00Z</t>
        </is>
      </c>
      <c r="C329" t="n">
        <v>17</v>
      </c>
      <c r="D329" t="n">
        <v>12</v>
      </c>
      <c r="E329" t="n">
        <v>2</v>
      </c>
      <c r="F329" t="n">
        <v>3</v>
      </c>
      <c r="G329" t="inlineStr">
        <is>
          <t>NEW</t>
        </is>
      </c>
      <c r="H329" t="inlineStr">
        <is>
          <t>IPS</t>
        </is>
      </c>
    </row>
    <row r="330">
      <c r="A330" t="n">
        <v>33</v>
      </c>
      <c r="B330" t="inlineStr">
        <is>
          <t>2027-04-24T14:00:00Z</t>
        </is>
      </c>
      <c r="C330" t="n">
        <v>18</v>
      </c>
      <c r="D330" t="n">
        <v>20</v>
      </c>
      <c r="E330" t="n">
        <v>2</v>
      </c>
      <c r="F330" t="n">
        <v>3</v>
      </c>
      <c r="G330" t="inlineStr">
        <is>
          <t>NFO</t>
        </is>
      </c>
      <c r="H330" t="inlineStr">
        <is>
          <t>SUN</t>
        </is>
      </c>
    </row>
    <row r="331">
      <c r="A331" t="n">
        <v>33</v>
      </c>
      <c r="B331" t="inlineStr">
        <is>
          <t>2027-04-24T14:00:00Z</t>
        </is>
      </c>
      <c r="C331" t="n">
        <v>19</v>
      </c>
      <c r="D331" t="n">
        <v>11</v>
      </c>
      <c r="E331" t="n">
        <v>2</v>
      </c>
      <c r="F331" t="n">
        <v>3</v>
      </c>
      <c r="G331" t="inlineStr">
        <is>
          <t>TOT</t>
        </is>
      </c>
      <c r="H331" t="inlineStr">
        <is>
          <t>HUL</t>
        </is>
      </c>
    </row>
    <row r="332">
      <c r="A332" t="n">
        <v>34</v>
      </c>
      <c r="B332" t="inlineStr">
        <is>
          <t>2027-05-01T14:00:00Z</t>
        </is>
      </c>
      <c r="C332" t="n">
        <v>1</v>
      </c>
      <c r="D332" t="n">
        <v>19</v>
      </c>
      <c r="E332" t="n">
        <v>3</v>
      </c>
      <c r="F332" t="n">
        <v>5</v>
      </c>
      <c r="G332" t="inlineStr">
        <is>
          <t>ARS</t>
        </is>
      </c>
      <c r="H332" t="inlineStr">
        <is>
          <t>TOT</t>
        </is>
      </c>
    </row>
    <row r="333">
      <c r="A333" t="n">
        <v>34</v>
      </c>
      <c r="B333" t="inlineStr">
        <is>
          <t>2027-05-01T14:00:00Z</t>
        </is>
      </c>
      <c r="C333" t="n">
        <v>5</v>
      </c>
      <c r="D333" t="n">
        <v>18</v>
      </c>
      <c r="E333" t="n">
        <v>3</v>
      </c>
      <c r="F333" t="n">
        <v>3</v>
      </c>
      <c r="G333" t="inlineStr">
        <is>
          <t>BHA</t>
        </is>
      </c>
      <c r="H333" t="inlineStr">
        <is>
          <t>NFO</t>
        </is>
      </c>
    </row>
    <row r="334">
      <c r="A334" t="n">
        <v>34</v>
      </c>
      <c r="B334" t="inlineStr">
        <is>
          <t>2027-05-01T14:00:00Z</t>
        </is>
      </c>
      <c r="C334" t="n">
        <v>7</v>
      </c>
      <c r="D334" t="n">
        <v>16</v>
      </c>
      <c r="E334" t="n">
        <v>4</v>
      </c>
      <c r="F334" t="n">
        <v>2</v>
      </c>
      <c r="G334" t="inlineStr">
        <is>
          <t>COV</t>
        </is>
      </c>
      <c r="H334" t="inlineStr">
        <is>
          <t>MUN</t>
        </is>
      </c>
    </row>
    <row r="335">
      <c r="A335" t="n">
        <v>34</v>
      </c>
      <c r="B335" t="inlineStr">
        <is>
          <t>2027-05-01T14:00:00Z</t>
        </is>
      </c>
      <c r="C335" t="n">
        <v>8</v>
      </c>
      <c r="D335" t="n">
        <v>2</v>
      </c>
      <c r="E335" t="n">
        <v>3</v>
      </c>
      <c r="F335" t="n">
        <v>3</v>
      </c>
      <c r="G335" t="inlineStr">
        <is>
          <t>CRY</t>
        </is>
      </c>
      <c r="H335" t="inlineStr">
        <is>
          <t>AVL</t>
        </is>
      </c>
    </row>
    <row r="336">
      <c r="A336" t="n">
        <v>34</v>
      </c>
      <c r="B336" t="inlineStr">
        <is>
          <t>2027-05-01T14:00:00Z</t>
        </is>
      </c>
      <c r="C336" t="n">
        <v>10</v>
      </c>
      <c r="D336" t="n">
        <v>9</v>
      </c>
      <c r="E336" t="n">
        <v>3</v>
      </c>
      <c r="F336" t="n">
        <v>3</v>
      </c>
      <c r="G336" t="inlineStr">
        <is>
          <t>FUL</t>
        </is>
      </c>
      <c r="H336" t="inlineStr">
        <is>
          <t>EVE</t>
        </is>
      </c>
    </row>
    <row r="337">
      <c r="A337" t="n">
        <v>34</v>
      </c>
      <c r="B337" t="inlineStr">
        <is>
          <t>2027-05-01T14:00:00Z</t>
        </is>
      </c>
      <c r="C337" t="n">
        <v>11</v>
      </c>
      <c r="D337" t="n">
        <v>3</v>
      </c>
      <c r="E337" t="n">
        <v>3</v>
      </c>
      <c r="F337" t="n">
        <v>2</v>
      </c>
      <c r="G337" t="inlineStr">
        <is>
          <t>HUL</t>
        </is>
      </c>
      <c r="H337" t="inlineStr">
        <is>
          <t>BOU</t>
        </is>
      </c>
    </row>
    <row r="338">
      <c r="A338" t="n">
        <v>34</v>
      </c>
      <c r="B338" t="inlineStr">
        <is>
          <t>2027-05-01T14:00:00Z</t>
        </is>
      </c>
      <c r="C338" t="n">
        <v>12</v>
      </c>
      <c r="D338" t="n">
        <v>13</v>
      </c>
      <c r="E338" t="n">
        <v>2</v>
      </c>
      <c r="F338" t="n">
        <v>2</v>
      </c>
      <c r="G338" t="inlineStr">
        <is>
          <t>IPS</t>
        </is>
      </c>
      <c r="H338" t="inlineStr">
        <is>
          <t>LEE</t>
        </is>
      </c>
    </row>
    <row r="339">
      <c r="A339" t="n">
        <v>34</v>
      </c>
      <c r="B339" t="inlineStr">
        <is>
          <t>2027-05-01T14:00:00Z</t>
        </is>
      </c>
      <c r="C339" t="n">
        <v>14</v>
      </c>
      <c r="D339" t="n">
        <v>6</v>
      </c>
      <c r="E339" t="n">
        <v>4</v>
      </c>
      <c r="F339" t="n">
        <v>4</v>
      </c>
      <c r="G339" t="inlineStr">
        <is>
          <t>LIV</t>
        </is>
      </c>
      <c r="H339" t="inlineStr">
        <is>
          <t>CHE</t>
        </is>
      </c>
    </row>
    <row r="340">
      <c r="A340" t="n">
        <v>34</v>
      </c>
      <c r="B340" t="inlineStr">
        <is>
          <t>2027-05-01T14:00:00Z</t>
        </is>
      </c>
      <c r="C340" t="n">
        <v>15</v>
      </c>
      <c r="D340" t="n">
        <v>4</v>
      </c>
      <c r="E340" t="n">
        <v>3</v>
      </c>
      <c r="F340" t="n">
        <v>5</v>
      </c>
      <c r="G340" t="inlineStr">
        <is>
          <t>MCI</t>
        </is>
      </c>
      <c r="H340" t="inlineStr">
        <is>
          <t>BRE</t>
        </is>
      </c>
    </row>
    <row r="341">
      <c r="A341" t="n">
        <v>34</v>
      </c>
      <c r="B341" t="inlineStr">
        <is>
          <t>2027-05-01T14:00:00Z</t>
        </is>
      </c>
      <c r="C341" t="n">
        <v>20</v>
      </c>
      <c r="D341" t="n">
        <v>17</v>
      </c>
      <c r="E341" t="n">
        <v>2</v>
      </c>
      <c r="F341" t="n">
        <v>3</v>
      </c>
      <c r="G341" t="inlineStr">
        <is>
          <t>SUN</t>
        </is>
      </c>
      <c r="H341" t="inlineStr">
        <is>
          <t>NEW</t>
        </is>
      </c>
    </row>
    <row r="342">
      <c r="A342" t="n">
        <v>35</v>
      </c>
      <c r="B342" t="inlineStr">
        <is>
          <t>2027-05-08T14:00:00Z</t>
        </is>
      </c>
      <c r="C342" t="n">
        <v>3</v>
      </c>
      <c r="D342" t="n">
        <v>16</v>
      </c>
      <c r="E342" t="n">
        <v>4</v>
      </c>
      <c r="F342" t="n">
        <v>3</v>
      </c>
      <c r="G342" t="inlineStr">
        <is>
          <t>BOU</t>
        </is>
      </c>
      <c r="H342" t="inlineStr">
        <is>
          <t>MUN</t>
        </is>
      </c>
    </row>
    <row r="343">
      <c r="A343" t="n">
        <v>35</v>
      </c>
      <c r="B343" t="inlineStr">
        <is>
          <t>2027-05-08T14:00:00Z</t>
        </is>
      </c>
      <c r="C343" t="n">
        <v>4</v>
      </c>
      <c r="D343" t="n">
        <v>2</v>
      </c>
      <c r="E343" t="n">
        <v>3</v>
      </c>
      <c r="F343" t="n">
        <v>3</v>
      </c>
      <c r="G343" t="inlineStr">
        <is>
          <t>BRE</t>
        </is>
      </c>
      <c r="H343" t="inlineStr">
        <is>
          <t>AVL</t>
        </is>
      </c>
    </row>
    <row r="344">
      <c r="A344" t="n">
        <v>35</v>
      </c>
      <c r="B344" t="inlineStr">
        <is>
          <t>2027-05-08T14:00:00Z</t>
        </is>
      </c>
      <c r="C344" t="n">
        <v>5</v>
      </c>
      <c r="D344" t="n">
        <v>20</v>
      </c>
      <c r="E344" t="n">
        <v>2</v>
      </c>
      <c r="F344" t="n">
        <v>3</v>
      </c>
      <c r="G344" t="inlineStr">
        <is>
          <t>BHA</t>
        </is>
      </c>
      <c r="H344" t="inlineStr">
        <is>
          <t>SUN</t>
        </is>
      </c>
    </row>
    <row r="345">
      <c r="A345" t="n">
        <v>35</v>
      </c>
      <c r="B345" t="inlineStr">
        <is>
          <t>2027-05-08T14:00:00Z</t>
        </is>
      </c>
      <c r="C345" t="n">
        <v>9</v>
      </c>
      <c r="D345" t="n">
        <v>11</v>
      </c>
      <c r="E345" t="n">
        <v>2</v>
      </c>
      <c r="F345" t="n">
        <v>3</v>
      </c>
      <c r="G345" t="inlineStr">
        <is>
          <t>EVE</t>
        </is>
      </c>
      <c r="H345" t="inlineStr">
        <is>
          <t>HUL</t>
        </is>
      </c>
    </row>
    <row r="346">
      <c r="A346" t="n">
        <v>35</v>
      </c>
      <c r="B346" t="inlineStr">
        <is>
          <t>2027-05-08T14:00:00Z</t>
        </is>
      </c>
      <c r="C346" t="n">
        <v>10</v>
      </c>
      <c r="D346" t="n">
        <v>12</v>
      </c>
      <c r="E346" t="n">
        <v>2</v>
      </c>
      <c r="F346" t="n">
        <v>3</v>
      </c>
      <c r="G346" t="inlineStr">
        <is>
          <t>FUL</t>
        </is>
      </c>
      <c r="H346" t="inlineStr">
        <is>
          <t>IPS</t>
        </is>
      </c>
    </row>
    <row r="347">
      <c r="A347" t="n">
        <v>35</v>
      </c>
      <c r="B347" t="inlineStr">
        <is>
          <t>2027-05-08T14:00:00Z</t>
        </is>
      </c>
      <c r="C347" t="n">
        <v>13</v>
      </c>
      <c r="D347" t="n">
        <v>1</v>
      </c>
      <c r="E347" t="n">
        <v>4</v>
      </c>
      <c r="F347" t="n">
        <v>3</v>
      </c>
      <c r="G347" t="inlineStr">
        <is>
          <t>LEE</t>
        </is>
      </c>
      <c r="H347" t="inlineStr">
        <is>
          <t>ARS</t>
        </is>
      </c>
    </row>
    <row r="348">
      <c r="A348" t="n">
        <v>35</v>
      </c>
      <c r="B348" t="inlineStr">
        <is>
          <t>2027-05-08T14:00:00Z</t>
        </is>
      </c>
      <c r="C348" t="n">
        <v>15</v>
      </c>
      <c r="D348" t="n">
        <v>14</v>
      </c>
      <c r="E348" t="n">
        <v>4</v>
      </c>
      <c r="F348" t="n">
        <v>5</v>
      </c>
      <c r="G348" t="inlineStr">
        <is>
          <t>MCI</t>
        </is>
      </c>
      <c r="H348" t="inlineStr">
        <is>
          <t>LIV</t>
        </is>
      </c>
    </row>
    <row r="349">
      <c r="A349" t="n">
        <v>35</v>
      </c>
      <c r="B349" t="inlineStr">
        <is>
          <t>2027-05-08T14:00:00Z</t>
        </is>
      </c>
      <c r="C349" t="n">
        <v>17</v>
      </c>
      <c r="D349" t="n">
        <v>7</v>
      </c>
      <c r="E349" t="n">
        <v>2</v>
      </c>
      <c r="F349" t="n">
        <v>3</v>
      </c>
      <c r="G349" t="inlineStr">
        <is>
          <t>NEW</t>
        </is>
      </c>
      <c r="H349" t="inlineStr">
        <is>
          <t>COV</t>
        </is>
      </c>
    </row>
    <row r="350">
      <c r="A350" t="n">
        <v>35</v>
      </c>
      <c r="B350" t="inlineStr">
        <is>
          <t>2027-05-08T14:00:00Z</t>
        </is>
      </c>
      <c r="C350" t="n">
        <v>18</v>
      </c>
      <c r="D350" t="n">
        <v>8</v>
      </c>
      <c r="E350" t="n">
        <v>3</v>
      </c>
      <c r="F350" t="n">
        <v>3</v>
      </c>
      <c r="G350" t="inlineStr">
        <is>
          <t>NFO</t>
        </is>
      </c>
      <c r="H350" t="inlineStr">
        <is>
          <t>CRY</t>
        </is>
      </c>
    </row>
    <row r="351">
      <c r="A351" t="n">
        <v>35</v>
      </c>
      <c r="B351" t="inlineStr">
        <is>
          <t>2027-05-08T14:00:00Z</t>
        </is>
      </c>
      <c r="C351" t="n">
        <v>19</v>
      </c>
      <c r="D351" t="n">
        <v>6</v>
      </c>
      <c r="E351" t="n">
        <v>4</v>
      </c>
      <c r="F351" t="n">
        <v>3</v>
      </c>
      <c r="G351" t="inlineStr">
        <is>
          <t>TOT</t>
        </is>
      </c>
      <c r="H351" t="inlineStr">
        <is>
          <t>CHE</t>
        </is>
      </c>
    </row>
    <row r="352">
      <c r="A352" t="n">
        <v>36</v>
      </c>
      <c r="B352" t="inlineStr">
        <is>
          <t>2027-05-15T14:00:00Z</t>
        </is>
      </c>
      <c r="C352" t="n">
        <v>1</v>
      </c>
      <c r="D352" t="n">
        <v>18</v>
      </c>
      <c r="E352" t="n">
        <v>3</v>
      </c>
      <c r="F352" t="n">
        <v>5</v>
      </c>
      <c r="G352" t="inlineStr">
        <is>
          <t>ARS</t>
        </is>
      </c>
      <c r="H352" t="inlineStr">
        <is>
          <t>NFO</t>
        </is>
      </c>
    </row>
    <row r="353">
      <c r="A353" t="n">
        <v>36</v>
      </c>
      <c r="B353" t="inlineStr">
        <is>
          <t>2027-05-15T14:00:00Z</t>
        </is>
      </c>
      <c r="C353" t="n">
        <v>2</v>
      </c>
      <c r="D353" t="n">
        <v>17</v>
      </c>
      <c r="E353" t="n">
        <v>2</v>
      </c>
      <c r="F353" t="n">
        <v>4</v>
      </c>
      <c r="G353" t="inlineStr">
        <is>
          <t>AVL</t>
        </is>
      </c>
      <c r="H353" t="inlineStr">
        <is>
          <t>NEW</t>
        </is>
      </c>
    </row>
    <row r="354">
      <c r="A354" t="n">
        <v>36</v>
      </c>
      <c r="B354" t="inlineStr">
        <is>
          <t>2027-05-15T14:00:00Z</t>
        </is>
      </c>
      <c r="C354" t="n">
        <v>6</v>
      </c>
      <c r="D354" t="n">
        <v>9</v>
      </c>
      <c r="E354" t="n">
        <v>3</v>
      </c>
      <c r="F354" t="n">
        <v>4</v>
      </c>
      <c r="G354" t="inlineStr">
        <is>
          <t>CHE</t>
        </is>
      </c>
      <c r="H354" t="inlineStr">
        <is>
          <t>EVE</t>
        </is>
      </c>
    </row>
    <row r="355">
      <c r="A355" t="n">
        <v>36</v>
      </c>
      <c r="B355" t="inlineStr">
        <is>
          <t>2027-05-15T14:00:00Z</t>
        </is>
      </c>
      <c r="C355" t="n">
        <v>7</v>
      </c>
      <c r="D355" t="n">
        <v>19</v>
      </c>
      <c r="E355" t="n">
        <v>3</v>
      </c>
      <c r="F355" t="n">
        <v>2</v>
      </c>
      <c r="G355" t="inlineStr">
        <is>
          <t>COV</t>
        </is>
      </c>
      <c r="H355" t="inlineStr">
        <is>
          <t>TOT</t>
        </is>
      </c>
    </row>
    <row r="356">
      <c r="A356" t="n">
        <v>36</v>
      </c>
      <c r="B356" t="inlineStr">
        <is>
          <t>2027-05-15T14:00:00Z</t>
        </is>
      </c>
      <c r="C356" t="n">
        <v>8</v>
      </c>
      <c r="D356" t="n">
        <v>5</v>
      </c>
      <c r="E356" t="n">
        <v>2</v>
      </c>
      <c r="F356" t="n">
        <v>3</v>
      </c>
      <c r="G356" t="inlineStr">
        <is>
          <t>CRY</t>
        </is>
      </c>
      <c r="H356" t="inlineStr">
        <is>
          <t>BHA</t>
        </is>
      </c>
    </row>
    <row r="357">
      <c r="A357" t="n">
        <v>36</v>
      </c>
      <c r="B357" t="inlineStr">
        <is>
          <t>2027-05-15T14:00:00Z</t>
        </is>
      </c>
      <c r="C357" t="n">
        <v>11</v>
      </c>
      <c r="D357" t="n">
        <v>10</v>
      </c>
      <c r="E357" t="n">
        <v>2</v>
      </c>
      <c r="F357" t="n">
        <v>2</v>
      </c>
      <c r="G357" t="inlineStr">
        <is>
          <t>HUL</t>
        </is>
      </c>
      <c r="H357" t="inlineStr">
        <is>
          <t>FUL</t>
        </is>
      </c>
    </row>
    <row r="358">
      <c r="A358" t="n">
        <v>36</v>
      </c>
      <c r="B358" t="inlineStr">
        <is>
          <t>2027-05-15T14:00:00Z</t>
        </is>
      </c>
      <c r="C358" t="n">
        <v>12</v>
      </c>
      <c r="D358" t="n">
        <v>15</v>
      </c>
      <c r="E358" t="n">
        <v>4</v>
      </c>
      <c r="F358" t="n">
        <v>2</v>
      </c>
      <c r="G358" t="inlineStr">
        <is>
          <t>IPS</t>
        </is>
      </c>
      <c r="H358" t="inlineStr">
        <is>
          <t>MCI</t>
        </is>
      </c>
    </row>
    <row r="359">
      <c r="A359" t="n">
        <v>36</v>
      </c>
      <c r="B359" t="inlineStr">
        <is>
          <t>2027-05-15T14:00:00Z</t>
        </is>
      </c>
      <c r="C359" t="n">
        <v>14</v>
      </c>
      <c r="D359" t="n">
        <v>4</v>
      </c>
      <c r="E359" t="n">
        <v>3</v>
      </c>
      <c r="F359" t="n">
        <v>4</v>
      </c>
      <c r="G359" t="inlineStr">
        <is>
          <t>LIV</t>
        </is>
      </c>
      <c r="H359" t="inlineStr">
        <is>
          <t>BRE</t>
        </is>
      </c>
    </row>
    <row r="360">
      <c r="A360" t="n">
        <v>36</v>
      </c>
      <c r="B360" t="inlineStr">
        <is>
          <t>2027-05-15T14:00:00Z</t>
        </is>
      </c>
      <c r="C360" t="n">
        <v>16</v>
      </c>
      <c r="D360" t="n">
        <v>13</v>
      </c>
      <c r="E360" t="n">
        <v>2</v>
      </c>
      <c r="F360" t="n">
        <v>4</v>
      </c>
      <c r="G360" t="inlineStr">
        <is>
          <t>MUN</t>
        </is>
      </c>
      <c r="H360" t="inlineStr">
        <is>
          <t>LEE</t>
        </is>
      </c>
    </row>
    <row r="361">
      <c r="A361" t="n">
        <v>36</v>
      </c>
      <c r="B361" t="inlineStr">
        <is>
          <t>2027-05-15T14:00:00Z</t>
        </is>
      </c>
      <c r="C361" t="n">
        <v>20</v>
      </c>
      <c r="D361" t="n">
        <v>3</v>
      </c>
      <c r="E361" t="n">
        <v>3</v>
      </c>
      <c r="F361" t="n">
        <v>3</v>
      </c>
      <c r="G361" t="inlineStr">
        <is>
          <t>SUN</t>
        </is>
      </c>
      <c r="H361" t="inlineStr">
        <is>
          <t>BOU</t>
        </is>
      </c>
    </row>
    <row r="362">
      <c r="A362" t="n">
        <v>37</v>
      </c>
      <c r="B362" t="inlineStr">
        <is>
          <t>2027-05-23T14:00:00Z</t>
        </is>
      </c>
      <c r="C362" t="n">
        <v>3</v>
      </c>
      <c r="D362" t="n">
        <v>6</v>
      </c>
      <c r="E362" t="n">
        <v>4</v>
      </c>
      <c r="F362" t="n">
        <v>3</v>
      </c>
      <c r="G362" t="inlineStr">
        <is>
          <t>BOU</t>
        </is>
      </c>
      <c r="H362" t="inlineStr">
        <is>
          <t>CHE</t>
        </is>
      </c>
    </row>
    <row r="363">
      <c r="A363" t="n">
        <v>37</v>
      </c>
      <c r="B363" t="inlineStr">
        <is>
          <t>2027-05-23T14:00:00Z</t>
        </is>
      </c>
      <c r="C363" t="n">
        <v>4</v>
      </c>
      <c r="D363" t="n">
        <v>11</v>
      </c>
      <c r="E363" t="n">
        <v>2</v>
      </c>
      <c r="F363" t="n">
        <v>3</v>
      </c>
      <c r="G363" t="inlineStr">
        <is>
          <t>BRE</t>
        </is>
      </c>
      <c r="H363" t="inlineStr">
        <is>
          <t>HUL</t>
        </is>
      </c>
    </row>
    <row r="364">
      <c r="A364" t="n">
        <v>37</v>
      </c>
      <c r="B364" t="inlineStr">
        <is>
          <t>2027-05-23T14:00:00Z</t>
        </is>
      </c>
      <c r="C364" t="n">
        <v>5</v>
      </c>
      <c r="D364" t="n">
        <v>14</v>
      </c>
      <c r="E364" t="n">
        <v>4</v>
      </c>
      <c r="F364" t="n">
        <v>3</v>
      </c>
      <c r="G364" t="inlineStr">
        <is>
          <t>BHA</t>
        </is>
      </c>
      <c r="H364" t="inlineStr">
        <is>
          <t>LIV</t>
        </is>
      </c>
    </row>
    <row r="365">
      <c r="A365" t="n">
        <v>37</v>
      </c>
      <c r="B365" t="inlineStr">
        <is>
          <t>2027-05-23T14:00:00Z</t>
        </is>
      </c>
      <c r="C365" t="n">
        <v>9</v>
      </c>
      <c r="D365" t="n">
        <v>1</v>
      </c>
      <c r="E365" t="n">
        <v>4</v>
      </c>
      <c r="F365" t="n">
        <v>3</v>
      </c>
      <c r="G365" t="inlineStr">
        <is>
          <t>EVE</t>
        </is>
      </c>
      <c r="H365" t="inlineStr">
        <is>
          <t>ARS</t>
        </is>
      </c>
    </row>
    <row r="366">
      <c r="A366" t="n">
        <v>37</v>
      </c>
      <c r="B366" t="inlineStr">
        <is>
          <t>2027-05-23T14:00:00Z</t>
        </is>
      </c>
      <c r="C366" t="n">
        <v>10</v>
      </c>
      <c r="D366" t="n">
        <v>7</v>
      </c>
      <c r="E366" t="n">
        <v>2</v>
      </c>
      <c r="F366" t="n">
        <v>3</v>
      </c>
      <c r="G366" t="inlineStr">
        <is>
          <t>FUL</t>
        </is>
      </c>
      <c r="H366" t="inlineStr">
        <is>
          <t>COV</t>
        </is>
      </c>
    </row>
    <row r="367">
      <c r="A367" t="n">
        <v>37</v>
      </c>
      <c r="B367" t="inlineStr">
        <is>
          <t>2027-05-23T14:00:00Z</t>
        </is>
      </c>
      <c r="C367" t="n">
        <v>13</v>
      </c>
      <c r="D367" t="n">
        <v>20</v>
      </c>
      <c r="E367" t="n">
        <v>2</v>
      </c>
      <c r="F367" t="n">
        <v>3</v>
      </c>
      <c r="G367" t="inlineStr">
        <is>
          <t>LEE</t>
        </is>
      </c>
      <c r="H367" t="inlineStr">
        <is>
          <t>SUN</t>
        </is>
      </c>
    </row>
    <row r="368">
      <c r="A368" t="n">
        <v>37</v>
      </c>
      <c r="B368" t="inlineStr">
        <is>
          <t>2027-05-23T14:00:00Z</t>
        </is>
      </c>
      <c r="C368" t="n">
        <v>15</v>
      </c>
      <c r="D368" t="n">
        <v>2</v>
      </c>
      <c r="E368" t="n">
        <v>3</v>
      </c>
      <c r="F368" t="n">
        <v>5</v>
      </c>
      <c r="G368" t="inlineStr">
        <is>
          <t>MCI</t>
        </is>
      </c>
      <c r="H368" t="inlineStr">
        <is>
          <t>AVL</t>
        </is>
      </c>
    </row>
    <row r="369">
      <c r="A369" t="n">
        <v>37</v>
      </c>
      <c r="B369" t="inlineStr">
        <is>
          <t>2027-05-23T14:00:00Z</t>
        </is>
      </c>
      <c r="C369" t="n">
        <v>17</v>
      </c>
      <c r="D369" t="n">
        <v>8</v>
      </c>
      <c r="E369" t="n">
        <v>3</v>
      </c>
      <c r="F369" t="n">
        <v>3</v>
      </c>
      <c r="G369" t="inlineStr">
        <is>
          <t>NEW</t>
        </is>
      </c>
      <c r="H369" t="inlineStr">
        <is>
          <t>CRY</t>
        </is>
      </c>
    </row>
    <row r="370">
      <c r="A370" t="n">
        <v>37</v>
      </c>
      <c r="B370" t="inlineStr">
        <is>
          <t>2027-05-23T14:00:00Z</t>
        </is>
      </c>
      <c r="C370" t="n">
        <v>18</v>
      </c>
      <c r="D370" t="n">
        <v>12</v>
      </c>
      <c r="E370" t="n">
        <v>2</v>
      </c>
      <c r="F370" t="n">
        <v>3</v>
      </c>
      <c r="G370" t="inlineStr">
        <is>
          <t>NFO</t>
        </is>
      </c>
      <c r="H370" t="inlineStr">
        <is>
          <t>IPS</t>
        </is>
      </c>
    </row>
    <row r="371">
      <c r="A371" t="n">
        <v>37</v>
      </c>
      <c r="B371" t="inlineStr">
        <is>
          <t>2027-05-23T14:00:00Z</t>
        </is>
      </c>
      <c r="C371" t="n">
        <v>19</v>
      </c>
      <c r="D371" t="n">
        <v>16</v>
      </c>
      <c r="E371" t="n">
        <v>4</v>
      </c>
      <c r="F371" t="n">
        <v>3</v>
      </c>
      <c r="G371" t="inlineStr">
        <is>
          <t>TOT</t>
        </is>
      </c>
      <c r="H371" t="inlineStr">
        <is>
          <t>MUN</t>
        </is>
      </c>
    </row>
    <row r="372">
      <c r="A372" t="n">
        <v>38</v>
      </c>
      <c r="B372" t="inlineStr">
        <is>
          <t>2027-05-30T15:00:00Z</t>
        </is>
      </c>
      <c r="C372" t="n">
        <v>1</v>
      </c>
      <c r="D372" t="n">
        <v>5</v>
      </c>
      <c r="E372" t="n">
        <v>2</v>
      </c>
      <c r="F372" t="n">
        <v>5</v>
      </c>
      <c r="G372" t="inlineStr">
        <is>
          <t>ARS</t>
        </is>
      </c>
      <c r="H372" t="inlineStr">
        <is>
          <t>BHA</t>
        </is>
      </c>
    </row>
    <row r="373">
      <c r="A373" t="n">
        <v>38</v>
      </c>
      <c r="B373" t="inlineStr">
        <is>
          <t>2027-05-30T15:00:00Z</t>
        </is>
      </c>
      <c r="C373" t="n">
        <v>2</v>
      </c>
      <c r="D373" t="n">
        <v>19</v>
      </c>
      <c r="E373" t="n">
        <v>3</v>
      </c>
      <c r="F373" t="n">
        <v>4</v>
      </c>
      <c r="G373" t="inlineStr">
        <is>
          <t>AVL</t>
        </is>
      </c>
      <c r="H373" t="inlineStr">
        <is>
          <t>TOT</t>
        </is>
      </c>
    </row>
    <row r="374">
      <c r="A374" t="n">
        <v>38</v>
      </c>
      <c r="B374" t="inlineStr">
        <is>
          <t>2027-05-30T15:00:00Z</t>
        </is>
      </c>
      <c r="C374" t="n">
        <v>6</v>
      </c>
      <c r="D374" t="n">
        <v>4</v>
      </c>
      <c r="E374" t="n">
        <v>3</v>
      </c>
      <c r="F374" t="n">
        <v>4</v>
      </c>
      <c r="G374" t="inlineStr">
        <is>
          <t>CHE</t>
        </is>
      </c>
      <c r="H374" t="inlineStr">
        <is>
          <t>BRE</t>
        </is>
      </c>
    </row>
    <row r="375">
      <c r="A375" t="n">
        <v>38</v>
      </c>
      <c r="B375" t="inlineStr">
        <is>
          <t>2027-05-30T15:00:00Z</t>
        </is>
      </c>
      <c r="C375" t="n">
        <v>7</v>
      </c>
      <c r="D375" t="n">
        <v>18</v>
      </c>
      <c r="E375" t="n">
        <v>3</v>
      </c>
      <c r="F375" t="n">
        <v>2</v>
      </c>
      <c r="G375" t="inlineStr">
        <is>
          <t>COV</t>
        </is>
      </c>
      <c r="H375" t="inlineStr">
        <is>
          <t>NFO</t>
        </is>
      </c>
    </row>
    <row r="376">
      <c r="A376" t="n">
        <v>38</v>
      </c>
      <c r="B376" t="inlineStr">
        <is>
          <t>2027-05-30T15:00:00Z</t>
        </is>
      </c>
      <c r="C376" t="n">
        <v>8</v>
      </c>
      <c r="D376" t="n">
        <v>13</v>
      </c>
      <c r="E376" t="n">
        <v>2</v>
      </c>
      <c r="F376" t="n">
        <v>3</v>
      </c>
      <c r="G376" t="inlineStr">
        <is>
          <t>CRY</t>
        </is>
      </c>
      <c r="H376" t="inlineStr">
        <is>
          <t>LEE</t>
        </is>
      </c>
    </row>
    <row r="377">
      <c r="A377" t="n">
        <v>38</v>
      </c>
      <c r="B377" t="inlineStr">
        <is>
          <t>2027-05-30T15:00:00Z</t>
        </is>
      </c>
      <c r="C377" t="n">
        <v>11</v>
      </c>
      <c r="D377" t="n">
        <v>17</v>
      </c>
      <c r="E377" t="n">
        <v>2</v>
      </c>
      <c r="F377" t="n">
        <v>2</v>
      </c>
      <c r="G377" t="inlineStr">
        <is>
          <t>HUL</t>
        </is>
      </c>
      <c r="H377" t="inlineStr">
        <is>
          <t>NEW</t>
        </is>
      </c>
    </row>
    <row r="378">
      <c r="A378" t="n">
        <v>38</v>
      </c>
      <c r="B378" t="inlineStr">
        <is>
          <t>2027-05-30T15:00:00Z</t>
        </is>
      </c>
      <c r="C378" t="n">
        <v>12</v>
      </c>
      <c r="D378" t="n">
        <v>9</v>
      </c>
      <c r="E378" t="n">
        <v>3</v>
      </c>
      <c r="F378" t="n">
        <v>2</v>
      </c>
      <c r="G378" t="inlineStr">
        <is>
          <t>IPS</t>
        </is>
      </c>
      <c r="H378" t="inlineStr">
        <is>
          <t>EVE</t>
        </is>
      </c>
    </row>
    <row r="379">
      <c r="A379" t="n">
        <v>38</v>
      </c>
      <c r="B379" t="inlineStr">
        <is>
          <t>2027-05-30T15:00:00Z</t>
        </is>
      </c>
      <c r="C379" t="n">
        <v>14</v>
      </c>
      <c r="D379" t="n">
        <v>3</v>
      </c>
      <c r="E379" t="n">
        <v>3</v>
      </c>
      <c r="F379" t="n">
        <v>4</v>
      </c>
      <c r="G379" t="inlineStr">
        <is>
          <t>LIV</t>
        </is>
      </c>
      <c r="H379" t="inlineStr">
        <is>
          <t>BOU</t>
        </is>
      </c>
    </row>
    <row r="380">
      <c r="A380" t="n">
        <v>38</v>
      </c>
      <c r="B380" t="inlineStr">
        <is>
          <t>2027-05-30T15:00:00Z</t>
        </is>
      </c>
      <c r="C380" t="n">
        <v>16</v>
      </c>
      <c r="D380" t="n">
        <v>10</v>
      </c>
      <c r="E380" t="n">
        <v>2</v>
      </c>
      <c r="F380" t="n">
        <v>4</v>
      </c>
      <c r="G380" t="inlineStr">
        <is>
          <t>MUN</t>
        </is>
      </c>
      <c r="H380" t="inlineStr">
        <is>
          <t>FUL</t>
        </is>
      </c>
    </row>
    <row r="381">
      <c r="A381" t="n">
        <v>38</v>
      </c>
      <c r="B381" t="inlineStr">
        <is>
          <t>2027-05-30T15:00:00Z</t>
        </is>
      </c>
      <c r="C381" t="n">
        <v>20</v>
      </c>
      <c r="D381" t="n">
        <v>15</v>
      </c>
      <c r="E381" t="n">
        <v>4</v>
      </c>
      <c r="F381" t="n">
        <v>3</v>
      </c>
      <c r="G381" t="inlineStr">
        <is>
          <t>SUN</t>
        </is>
      </c>
      <c r="H381" t="inlineStr">
        <is>
          <t>MCI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</t>
        </is>
      </c>
      <c r="B1" t="inlineStr">
        <is>
          <t>model</t>
        </is>
      </c>
      <c r="C1" t="inlineStr">
        <is>
          <t>n</t>
        </is>
      </c>
      <c r="D1" t="inlineStr">
        <is>
          <t>total_goals</t>
        </is>
      </c>
      <c r="E1" t="inlineStr">
        <is>
          <t>total_xG</t>
        </is>
      </c>
      <c r="F1" t="inlineStr">
        <is>
          <t>bias_%</t>
        </is>
      </c>
      <c r="G1" t="inlineStr">
        <is>
          <t>player_MAE</t>
        </is>
      </c>
    </row>
    <row r="2">
      <c r="A2" t="inlineStr">
        <is>
          <t>2022/23</t>
        </is>
      </c>
      <c r="B2" t="inlineStr">
        <is>
          <t>Opta (FPL)</t>
        </is>
      </c>
      <c r="C2" t="n">
        <v>331</v>
      </c>
      <c r="D2" t="n">
        <v>958</v>
      </c>
      <c r="E2" t="n">
        <v>988.3</v>
      </c>
      <c r="F2" t="n">
        <v>3.2</v>
      </c>
      <c r="G2" t="n">
        <v>1.391</v>
      </c>
    </row>
    <row r="3">
      <c r="A3" t="inlineStr">
        <is>
          <t>2022/23</t>
        </is>
      </c>
      <c r="B3" t="inlineStr">
        <is>
          <t>Understat</t>
        </is>
      </c>
      <c r="C3" t="n">
        <v>331</v>
      </c>
      <c r="D3" t="n">
        <v>958</v>
      </c>
      <c r="E3" t="n">
        <v>1032.6</v>
      </c>
      <c r="F3" t="n">
        <v>7.8</v>
      </c>
      <c r="G3" t="n">
        <v>1.391</v>
      </c>
    </row>
    <row r="4">
      <c r="A4" t="inlineStr">
        <is>
          <t>2022/23</t>
        </is>
      </c>
      <c r="B4" t="inlineStr">
        <is>
          <t>50/50 blend</t>
        </is>
      </c>
      <c r="C4" t="n">
        <v>331</v>
      </c>
      <c r="D4" t="n">
        <v>958</v>
      </c>
      <c r="E4" t="n">
        <v>1010.4</v>
      </c>
      <c r="F4" t="n">
        <v>5.5</v>
      </c>
      <c r="G4" t="n">
        <v>1.362</v>
      </c>
    </row>
    <row r="5">
      <c r="A5" t="inlineStr">
        <is>
          <t>2023/24</t>
        </is>
      </c>
      <c r="B5" t="inlineStr">
        <is>
          <t>Opta (FPL)</t>
        </is>
      </c>
      <c r="C5" t="n">
        <v>338</v>
      </c>
      <c r="D5" t="n">
        <v>1113</v>
      </c>
      <c r="E5" t="n">
        <v>1090.1</v>
      </c>
      <c r="F5" t="n">
        <v>-2.1</v>
      </c>
      <c r="G5" t="n">
        <v>1.283</v>
      </c>
    </row>
    <row r="6">
      <c r="A6" t="inlineStr">
        <is>
          <t>2023/24</t>
        </is>
      </c>
      <c r="B6" t="inlineStr">
        <is>
          <t>Understat</t>
        </is>
      </c>
      <c r="C6" t="n">
        <v>338</v>
      </c>
      <c r="D6" t="n">
        <v>1113</v>
      </c>
      <c r="E6" t="n">
        <v>1188.5</v>
      </c>
      <c r="F6" t="n">
        <v>6.8</v>
      </c>
      <c r="G6" t="n">
        <v>1.272</v>
      </c>
    </row>
    <row r="7">
      <c r="A7" t="inlineStr">
        <is>
          <t>2023/24</t>
        </is>
      </c>
      <c r="B7" t="inlineStr">
        <is>
          <t>50/50 blend</t>
        </is>
      </c>
      <c r="C7" t="n">
        <v>338</v>
      </c>
      <c r="D7" t="n">
        <v>1113</v>
      </c>
      <c r="E7" t="n">
        <v>1139.3</v>
      </c>
      <c r="F7" t="n">
        <v>2.4</v>
      </c>
      <c r="G7" t="n">
        <v>1.244</v>
      </c>
    </row>
    <row r="8">
      <c r="A8" t="inlineStr">
        <is>
          <t>2024/25</t>
        </is>
      </c>
      <c r="B8" t="inlineStr">
        <is>
          <t>Opta (FPL)</t>
        </is>
      </c>
      <c r="C8" t="n">
        <v>321</v>
      </c>
      <c r="D8" t="n">
        <v>980</v>
      </c>
      <c r="E8" t="n">
        <v>987.3</v>
      </c>
      <c r="F8" t="n">
        <v>0.7</v>
      </c>
      <c r="G8" t="n">
        <v>1.24</v>
      </c>
    </row>
    <row r="9">
      <c r="A9" t="inlineStr">
        <is>
          <t>2024/25</t>
        </is>
      </c>
      <c r="B9" t="inlineStr">
        <is>
          <t>Understat</t>
        </is>
      </c>
      <c r="C9" t="n">
        <v>321</v>
      </c>
      <c r="D9" t="n">
        <v>980</v>
      </c>
      <c r="E9" t="n">
        <v>1113.8</v>
      </c>
      <c r="F9" t="n">
        <v>13.7</v>
      </c>
      <c r="G9" t="n">
        <v>1.305</v>
      </c>
    </row>
    <row r="10">
      <c r="A10" t="inlineStr">
        <is>
          <t>2024/25</t>
        </is>
      </c>
      <c r="B10" t="inlineStr">
        <is>
          <t>50/50 blend</t>
        </is>
      </c>
      <c r="C10" t="n">
        <v>321</v>
      </c>
      <c r="D10" t="n">
        <v>980</v>
      </c>
      <c r="E10" t="n">
        <v>1050.6</v>
      </c>
      <c r="F10" t="n">
        <v>7.2</v>
      </c>
      <c r="G10" t="n">
        <v>1.227</v>
      </c>
    </row>
    <row r="11">
      <c r="A11" t="inlineStr">
        <is>
          <t>2025/26</t>
        </is>
      </c>
      <c r="B11" t="inlineStr">
        <is>
          <t>Opta (FPL)</t>
        </is>
      </c>
      <c r="C11" t="n">
        <v>340</v>
      </c>
      <c r="D11" t="n">
        <v>934</v>
      </c>
      <c r="E11" t="n">
        <v>972.1</v>
      </c>
      <c r="F11" t="n">
        <v>4.1</v>
      </c>
      <c r="G11" t="n">
        <v>1.097</v>
      </c>
    </row>
    <row r="12">
      <c r="A12" t="inlineStr">
        <is>
          <t>2025/26</t>
        </is>
      </c>
      <c r="B12" t="inlineStr">
        <is>
          <t>Understat</t>
        </is>
      </c>
      <c r="C12" t="n">
        <v>340</v>
      </c>
      <c r="D12" t="n">
        <v>934</v>
      </c>
      <c r="E12" t="n">
        <v>1073.5</v>
      </c>
      <c r="F12" t="n">
        <v>14.9</v>
      </c>
      <c r="G12" t="n">
        <v>1.182</v>
      </c>
    </row>
    <row r="13">
      <c r="A13" t="inlineStr">
        <is>
          <t>2025/26</t>
        </is>
      </c>
      <c r="B13" t="inlineStr">
        <is>
          <t>50/50 blend</t>
        </is>
      </c>
      <c r="C13" t="n">
        <v>340</v>
      </c>
      <c r="D13" t="n">
        <v>934</v>
      </c>
      <c r="E13" t="n">
        <v>1022.8</v>
      </c>
      <c r="F13" t="n">
        <v>9.5</v>
      </c>
      <c r="G13" t="n">
        <v>1.096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target</t>
        </is>
      </c>
      <c r="C1" t="inlineStr">
        <is>
          <t>predictor</t>
        </is>
      </c>
      <c r="D1" t="inlineStr">
        <is>
          <t>n</t>
        </is>
      </c>
      <c r="E1" t="inlineStr">
        <is>
          <t>spearman</t>
        </is>
      </c>
      <c r="F1" t="inlineStr">
        <is>
          <t>r2</t>
        </is>
      </c>
      <c r="G1" t="inlineStr">
        <is>
          <t>rmse_rescaled</t>
        </is>
      </c>
    </row>
    <row r="2">
      <c r="A2" t="inlineStr">
        <is>
          <t>goals</t>
        </is>
      </c>
      <c r="B2" t="inlineStr">
        <is>
          <t>goals/90 next season</t>
        </is>
      </c>
      <c r="C2" t="inlineStr">
        <is>
          <t>goals/90 (baseline)</t>
        </is>
      </c>
      <c r="D2" t="n">
        <v>371</v>
      </c>
      <c r="E2" t="n">
        <v>0.6926</v>
      </c>
      <c r="F2" t="n">
        <v>0.4945</v>
      </c>
      <c r="G2" t="n">
        <v>0.1252</v>
      </c>
    </row>
    <row r="3">
      <c r="A3" t="inlineStr">
        <is>
          <t>goals</t>
        </is>
      </c>
      <c r="B3" t="inlineStr">
        <is>
          <t>goals/90 next season</t>
        </is>
      </c>
      <c r="C3" t="inlineStr">
        <is>
          <t>Opta xG/90</t>
        </is>
      </c>
      <c r="D3" t="n">
        <v>441</v>
      </c>
      <c r="E3" t="n">
        <v>0.7454</v>
      </c>
      <c r="F3" t="n">
        <v>0.5941</v>
      </c>
      <c r="G3" t="n">
        <v>0.1087</v>
      </c>
    </row>
    <row r="4">
      <c r="A4" t="inlineStr">
        <is>
          <t>goals</t>
        </is>
      </c>
      <c r="B4" t="inlineStr">
        <is>
          <t>goals/90 next season</t>
        </is>
      </c>
      <c r="C4" t="inlineStr">
        <is>
          <t>Understat xG/90</t>
        </is>
      </c>
      <c r="D4" t="n">
        <v>441</v>
      </c>
      <c r="E4" t="n">
        <v>0.7342</v>
      </c>
      <c r="F4" t="n">
        <v>0.5682</v>
      </c>
      <c r="G4" t="n">
        <v>0.1121</v>
      </c>
    </row>
    <row r="5">
      <c r="A5" t="inlineStr">
        <is>
          <t>goals</t>
        </is>
      </c>
      <c r="B5" t="inlineStr">
        <is>
          <t>goals/90 next season</t>
        </is>
      </c>
      <c r="C5" t="inlineStr">
        <is>
          <t>Understat npxG/90</t>
        </is>
      </c>
      <c r="D5" t="n">
        <v>441</v>
      </c>
      <c r="E5" t="n">
        <v>0.7256</v>
      </c>
      <c r="F5" t="n">
        <v>0.5472</v>
      </c>
      <c r="G5" t="n">
        <v>0.1148</v>
      </c>
    </row>
    <row r="6">
      <c r="A6" t="inlineStr">
        <is>
          <t>goals</t>
        </is>
      </c>
      <c r="B6" t="inlineStr">
        <is>
          <t>goals/90 next season</t>
        </is>
      </c>
      <c r="C6" t="inlineStr">
        <is>
          <t>50/50 blend xG/90</t>
        </is>
      </c>
      <c r="D6" t="n">
        <v>441</v>
      </c>
      <c r="E6" t="n">
        <v>0.7422</v>
      </c>
      <c r="F6" t="n">
        <v>0.5832000000000001</v>
      </c>
      <c r="G6" t="n">
        <v>0.1101</v>
      </c>
    </row>
    <row r="7">
      <c r="A7" t="inlineStr">
        <is>
          <t>goals</t>
        </is>
      </c>
      <c r="B7" t="inlineStr">
        <is>
          <t>goals/90 next season</t>
        </is>
      </c>
      <c r="C7" t="inlineStr">
        <is>
          <t>FotMob xGOT/90</t>
        </is>
      </c>
      <c r="D7" t="n">
        <v>431</v>
      </c>
      <c r="E7" t="n">
        <v>0.7204</v>
      </c>
      <c r="F7" t="n">
        <v>0.5358000000000001</v>
      </c>
      <c r="G7" t="n">
        <v>0.1166</v>
      </c>
    </row>
    <row r="8">
      <c r="A8" t="inlineStr">
        <is>
          <t>assists</t>
        </is>
      </c>
      <c r="B8" t="inlineStr">
        <is>
          <t>FPL assists/90 next season</t>
        </is>
      </c>
      <c r="C8" t="inlineStr">
        <is>
          <t>FPL assists/90 (baseline)</t>
        </is>
      </c>
      <c r="D8" t="n">
        <v>605</v>
      </c>
      <c r="E8" t="n">
        <v>0.5876</v>
      </c>
      <c r="F8" t="n">
        <v>0.3291</v>
      </c>
      <c r="G8" t="n">
        <v>0.1043</v>
      </c>
    </row>
    <row r="9">
      <c r="A9" t="inlineStr">
        <is>
          <t>assists</t>
        </is>
      </c>
      <c r="B9" t="inlineStr">
        <is>
          <t>FPL assists/90 next season</t>
        </is>
      </c>
      <c r="C9" t="inlineStr">
        <is>
          <t>Opta xA/90</t>
        </is>
      </c>
      <c r="D9" t="n">
        <v>605</v>
      </c>
      <c r="E9" t="n">
        <v>0.6666</v>
      </c>
      <c r="F9" t="n">
        <v>0.4171</v>
      </c>
      <c r="G9" t="n">
        <v>0.09719999999999999</v>
      </c>
    </row>
    <row r="10">
      <c r="A10" t="inlineStr">
        <is>
          <t>assists</t>
        </is>
      </c>
      <c r="B10" t="inlineStr">
        <is>
          <t>FPL assists/90 next season</t>
        </is>
      </c>
      <c r="C10" t="inlineStr">
        <is>
          <t>Understat xA/90</t>
        </is>
      </c>
      <c r="D10" t="n">
        <v>604</v>
      </c>
      <c r="E10" t="n">
        <v>0.6848</v>
      </c>
      <c r="F10" t="n">
        <v>0.4202</v>
      </c>
      <c r="G10" t="n">
        <v>0.097</v>
      </c>
    </row>
    <row r="11">
      <c r="A11" t="inlineStr">
        <is>
          <t>assists</t>
        </is>
      </c>
      <c r="B11" t="inlineStr">
        <is>
          <t>FPL assists/90 next season</t>
        </is>
      </c>
      <c r="C11" t="inlineStr">
        <is>
          <t>50/50 blend xA/90</t>
        </is>
      </c>
      <c r="D11" t="n">
        <v>605</v>
      </c>
      <c r="E11" t="n">
        <v>0.6895</v>
      </c>
      <c r="F11" t="n">
        <v>0.4324</v>
      </c>
      <c r="G11" t="n">
        <v>0.096</v>
      </c>
    </row>
    <row r="12">
      <c r="A12" t="inlineStr">
        <is>
          <t>assists</t>
        </is>
      </c>
      <c r="B12" t="inlineStr">
        <is>
          <t>FPL assists/90 next season</t>
        </is>
      </c>
      <c r="C12" t="inlineStr">
        <is>
          <t>Understat key passes/90</t>
        </is>
      </c>
      <c r="D12" t="n">
        <v>604</v>
      </c>
      <c r="E12" t="n">
        <v>0.6882</v>
      </c>
      <c r="F12" t="n">
        <v>0.423</v>
      </c>
      <c r="G12" t="n">
        <v>0.0968</v>
      </c>
    </row>
    <row r="13">
      <c r="A13" t="inlineStr">
        <is>
          <t>assists</t>
        </is>
      </c>
      <c r="B13" t="inlineStr">
        <is>
          <t>Opta assists/90 next season</t>
        </is>
      </c>
      <c r="C13" t="inlineStr">
        <is>
          <t>FPL assists/90 (baseline)</t>
        </is>
      </c>
      <c r="D13" t="n">
        <v>448</v>
      </c>
      <c r="E13" t="n">
        <v>0.4921</v>
      </c>
      <c r="F13" t="n">
        <v>0.2365</v>
      </c>
      <c r="G13" t="n">
        <v>0.0911</v>
      </c>
    </row>
    <row r="14">
      <c r="A14" t="inlineStr">
        <is>
          <t>assists</t>
        </is>
      </c>
      <c r="B14" t="inlineStr">
        <is>
          <t>Opta assists/90 next season</t>
        </is>
      </c>
      <c r="C14" t="inlineStr">
        <is>
          <t>Opta xA/90</t>
        </is>
      </c>
      <c r="D14" t="n">
        <v>448</v>
      </c>
      <c r="E14" t="n">
        <v>0.5629</v>
      </c>
      <c r="F14" t="n">
        <v>0.3201</v>
      </c>
      <c r="G14" t="n">
        <v>0.08599999999999999</v>
      </c>
    </row>
    <row r="15">
      <c r="A15" t="inlineStr">
        <is>
          <t>assists</t>
        </is>
      </c>
      <c r="B15" t="inlineStr">
        <is>
          <t>Opta assists/90 next season</t>
        </is>
      </c>
      <c r="C15" t="inlineStr">
        <is>
          <t>Understat xA/90</t>
        </is>
      </c>
      <c r="D15" t="n">
        <v>447</v>
      </c>
      <c r="E15" t="n">
        <v>0.5692</v>
      </c>
      <c r="F15" t="n">
        <v>0.3074</v>
      </c>
      <c r="G15" t="n">
        <v>0.0867</v>
      </c>
    </row>
    <row r="16">
      <c r="A16" t="inlineStr">
        <is>
          <t>assists</t>
        </is>
      </c>
      <c r="B16" t="inlineStr">
        <is>
          <t>Opta assists/90 next season</t>
        </is>
      </c>
      <c r="C16" t="inlineStr">
        <is>
          <t>50/50 blend xA/90</t>
        </is>
      </c>
      <c r="D16" t="n">
        <v>448</v>
      </c>
      <c r="E16" t="n">
        <v>0.5786</v>
      </c>
      <c r="F16" t="n">
        <v>0.3249</v>
      </c>
      <c r="G16" t="n">
        <v>0.0857</v>
      </c>
    </row>
    <row r="17">
      <c r="A17" t="inlineStr">
        <is>
          <t>assists</t>
        </is>
      </c>
      <c r="B17" t="inlineStr">
        <is>
          <t>Opta assists/90 next season</t>
        </is>
      </c>
      <c r="C17" t="inlineStr">
        <is>
          <t>Understat key passes/90</t>
        </is>
      </c>
      <c r="D17" t="n">
        <v>447</v>
      </c>
      <c r="E17" t="n">
        <v>0.5831</v>
      </c>
      <c r="F17" t="n">
        <v>0.3205</v>
      </c>
      <c r="G17" t="n">
        <v>0.0859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</t>
        </is>
      </c>
      <c r="B1" t="inlineStr">
        <is>
          <t>model_A</t>
        </is>
      </c>
      <c r="C1" t="inlineStr">
        <is>
          <t>model_B</t>
        </is>
      </c>
      <c r="D1" t="inlineStr">
        <is>
          <t>n</t>
        </is>
      </c>
      <c r="E1" t="inlineStr">
        <is>
          <t>gap</t>
        </is>
      </c>
      <c r="F1" t="inlineStr">
        <is>
          <t>ci95</t>
        </is>
      </c>
      <c r="G1" t="inlineStr">
        <is>
          <t>wins_%</t>
        </is>
      </c>
    </row>
    <row r="2">
      <c r="A2" t="inlineStr">
        <is>
          <t>goals/90</t>
        </is>
      </c>
      <c r="B2" t="inlineStr">
        <is>
          <t>Opta xG</t>
        </is>
      </c>
      <c r="C2" t="inlineStr">
        <is>
          <t>Understat xG</t>
        </is>
      </c>
      <c r="D2" t="n">
        <v>441</v>
      </c>
      <c r="E2" t="n">
        <v>0.0112</v>
      </c>
      <c r="F2" t="inlineStr">
        <is>
          <t>[-0.0000, +0.0225]</t>
        </is>
      </c>
      <c r="G2" t="n">
        <v>97.40000000000001</v>
      </c>
    </row>
    <row r="3">
      <c r="A3" t="inlineStr">
        <is>
          <t>goals/90</t>
        </is>
      </c>
      <c r="B3" t="inlineStr">
        <is>
          <t>Opta xG</t>
        </is>
      </c>
      <c r="C3" t="inlineStr">
        <is>
          <t>50/50 blend</t>
        </is>
      </c>
      <c r="D3" t="n">
        <v>441</v>
      </c>
      <c r="E3" t="n">
        <v>0.0032</v>
      </c>
      <c r="F3" t="inlineStr">
        <is>
          <t>[-0.0029, +0.0093]</t>
        </is>
      </c>
      <c r="G3" t="n">
        <v>84.40000000000001</v>
      </c>
    </row>
    <row r="4">
      <c r="A4" t="inlineStr">
        <is>
          <t>goals/90</t>
        </is>
      </c>
      <c r="B4" t="inlineStr">
        <is>
          <t>Opta xG</t>
        </is>
      </c>
      <c r="C4" t="inlineStr">
        <is>
          <t>FotMob xGOT</t>
        </is>
      </c>
      <c r="D4" t="n">
        <v>431</v>
      </c>
      <c r="E4" t="n">
        <v>0.0211</v>
      </c>
      <c r="F4" t="inlineStr">
        <is>
          <t>[-0.0024, +0.0451]</t>
        </is>
      </c>
      <c r="G4" t="n">
        <v>96.3</v>
      </c>
    </row>
    <row r="5">
      <c r="A5" t="inlineStr">
        <is>
          <t>goals/90</t>
        </is>
      </c>
      <c r="B5" t="inlineStr">
        <is>
          <t>Opta xG</t>
        </is>
      </c>
      <c r="C5" t="inlineStr">
        <is>
          <t>past goals</t>
        </is>
      </c>
      <c r="D5" t="n">
        <v>371</v>
      </c>
      <c r="E5" t="n">
        <v>0.0498</v>
      </c>
      <c r="F5" t="inlineStr">
        <is>
          <t>[+0.0085, +0.0919]</t>
        </is>
      </c>
      <c r="G5" t="n">
        <v>99.40000000000001</v>
      </c>
    </row>
    <row r="6">
      <c r="A6" t="inlineStr">
        <is>
          <t>FPL assists/90</t>
        </is>
      </c>
      <c r="B6" t="inlineStr">
        <is>
          <t>50/50 blend xA</t>
        </is>
      </c>
      <c r="C6" t="inlineStr">
        <is>
          <t>Opta xA</t>
        </is>
      </c>
      <c r="D6" t="n">
        <v>605</v>
      </c>
      <c r="E6" t="n">
        <v>0.0229</v>
      </c>
      <c r="F6" t="inlineStr">
        <is>
          <t>[+0.0082, +0.0380]</t>
        </is>
      </c>
      <c r="G6" t="n">
        <v>99.8</v>
      </c>
    </row>
    <row r="7">
      <c r="A7" t="inlineStr">
        <is>
          <t>FPL assists/90</t>
        </is>
      </c>
      <c r="B7" t="inlineStr">
        <is>
          <t>50/50 blend xA</t>
        </is>
      </c>
      <c r="C7" t="inlineStr">
        <is>
          <t>Understat xA</t>
        </is>
      </c>
      <c r="D7" t="n">
        <v>604</v>
      </c>
      <c r="E7" t="n">
        <v>0.0042</v>
      </c>
      <c r="F7" t="inlineStr">
        <is>
          <t>[-0.0056, +0.0143]</t>
        </is>
      </c>
      <c r="G7" t="n">
        <v>80</v>
      </c>
    </row>
    <row r="8">
      <c r="A8" t="inlineStr">
        <is>
          <t>FPL assists/90</t>
        </is>
      </c>
      <c r="B8" t="inlineStr">
        <is>
          <t>50/50 blend xA</t>
        </is>
      </c>
      <c r="C8" t="inlineStr">
        <is>
          <t>past assists</t>
        </is>
      </c>
      <c r="D8" t="n">
        <v>605</v>
      </c>
      <c r="E8" t="n">
        <v>0.102</v>
      </c>
      <c r="F8" t="inlineStr">
        <is>
          <t>[+0.0657, +0.1394]</t>
        </is>
      </c>
      <c r="G8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source_name</t>
        </is>
      </c>
      <c r="C1" t="inlineStr">
        <is>
          <t>source_mins</t>
        </is>
      </c>
      <c r="D1" t="inlineStr">
        <is>
          <t>best_guess</t>
        </is>
      </c>
      <c r="E1" t="inlineStr">
        <is>
          <t>best_guess_code</t>
        </is>
      </c>
      <c r="F1" t="inlineStr">
        <is>
          <t>combined</t>
        </is>
      </c>
      <c r="G1" t="inlineStr">
        <is>
          <t>name_score</t>
        </is>
      </c>
      <c r="H1" t="inlineStr">
        <is>
          <t>minute_agreement</t>
        </is>
      </c>
      <c r="I1" t="inlineStr">
        <is>
          <t>decision</t>
        </is>
      </c>
    </row>
    <row r="2">
      <c r="A2" t="inlineStr">
        <is>
          <t>understat</t>
        </is>
      </c>
      <c r="B2" t="inlineStr">
        <is>
          <t>Tom Edozie</t>
        </is>
      </c>
      <c r="C2" t="n">
        <v>6</v>
      </c>
      <c r="F2" t="n">
        <v>0</v>
      </c>
      <c r="G2" t="n">
        <v>0</v>
      </c>
      <c r="H2" t="n">
        <v>0</v>
      </c>
      <c r="I2" t="inlineStr">
        <is>
          <t>unmatched</t>
        </is>
      </c>
    </row>
    <row r="3">
      <c r="A3" t="inlineStr">
        <is>
          <t>understat</t>
        </is>
      </c>
      <c r="B3" t="inlineStr">
        <is>
          <t>Jamaal Lascelles</t>
        </is>
      </c>
      <c r="C3" t="n">
        <v>8</v>
      </c>
      <c r="F3" t="n">
        <v>0</v>
      </c>
      <c r="G3" t="n">
        <v>0</v>
      </c>
      <c r="H3" t="n">
        <v>0</v>
      </c>
      <c r="I3" t="inlineStr">
        <is>
          <t>unmatched</t>
        </is>
      </c>
    </row>
    <row r="4">
      <c r="A4" t="inlineStr">
        <is>
          <t>understat</t>
        </is>
      </c>
      <c r="B4" t="inlineStr">
        <is>
          <t>Odsonne Edouard</t>
        </is>
      </c>
      <c r="C4" t="n">
        <v>1</v>
      </c>
      <c r="F4" t="n">
        <v>0</v>
      </c>
      <c r="G4" t="n">
        <v>0</v>
      </c>
      <c r="H4" t="n">
        <v>0</v>
      </c>
      <c r="I4" t="inlineStr">
        <is>
          <t>unmatched</t>
        </is>
      </c>
    </row>
    <row r="5">
      <c r="A5" t="inlineStr">
        <is>
          <t>understat</t>
        </is>
      </c>
      <c r="B5" t="inlineStr">
        <is>
          <t>Tyrell Malacia</t>
        </is>
      </c>
      <c r="C5" t="n">
        <v>7</v>
      </c>
      <c r="F5" t="n">
        <v>0</v>
      </c>
      <c r="G5" t="n">
        <v>0</v>
      </c>
      <c r="H5" t="n">
        <v>0</v>
      </c>
      <c r="I5" t="inlineStr">
        <is>
          <t>unmatched</t>
        </is>
      </c>
    </row>
    <row r="6">
      <c r="A6" t="inlineStr">
        <is>
          <t>understat</t>
        </is>
      </c>
      <c r="B6" t="inlineStr">
        <is>
          <t>Kaden Rodney</t>
        </is>
      </c>
      <c r="C6" t="n">
        <v>1</v>
      </c>
      <c r="F6" t="n">
        <v>0</v>
      </c>
      <c r="G6" t="n">
        <v>0</v>
      </c>
      <c r="H6" t="n">
        <v>0</v>
      </c>
      <c r="I6" t="inlineStr">
        <is>
          <t>unmatched</t>
        </is>
      </c>
    </row>
    <row r="7">
      <c r="A7" t="inlineStr">
        <is>
          <t>understat</t>
        </is>
      </c>
      <c r="B7" t="inlineStr">
        <is>
          <t>Alex Murphy</t>
        </is>
      </c>
      <c r="C7" t="n">
        <v>2</v>
      </c>
      <c r="F7" t="n">
        <v>0</v>
      </c>
      <c r="G7" t="n">
        <v>0</v>
      </c>
      <c r="H7" t="n">
        <v>0</v>
      </c>
      <c r="I7" t="inlineStr">
        <is>
          <t>unmatched</t>
        </is>
      </c>
    </row>
    <row r="8">
      <c r="A8" t="inlineStr">
        <is>
          <t>understat</t>
        </is>
      </c>
      <c r="B8" t="inlineStr">
        <is>
          <t>Treymaurice Nyoni</t>
        </is>
      </c>
      <c r="C8" t="n">
        <v>13</v>
      </c>
      <c r="D8" t="inlineStr">
        <is>
          <t>Trey Nyoni</t>
        </is>
      </c>
      <c r="E8" t="n">
        <v>591386</v>
      </c>
      <c r="F8" t="n">
        <v>83.40000000000001</v>
      </c>
      <c r="G8" t="n">
        <v>95</v>
      </c>
      <c r="H8" t="n">
        <v>0.619</v>
      </c>
      <c r="I8" t="inlineStr">
        <is>
          <t>review</t>
        </is>
      </c>
    </row>
    <row r="9">
      <c r="A9" t="inlineStr">
        <is>
          <t>understat</t>
        </is>
      </c>
      <c r="B9" t="inlineStr">
        <is>
          <t>Ben Winterburn</t>
        </is>
      </c>
      <c r="C9" t="n">
        <v>3</v>
      </c>
      <c r="F9" t="n">
        <v>0</v>
      </c>
      <c r="G9" t="n">
        <v>0</v>
      </c>
      <c r="H9" t="n">
        <v>0</v>
      </c>
      <c r="I9" t="inlineStr">
        <is>
          <t>unmatched</t>
        </is>
      </c>
    </row>
    <row r="10">
      <c r="A10" t="inlineStr">
        <is>
          <t>understat</t>
        </is>
      </c>
      <c r="B10" t="inlineStr">
        <is>
          <t>Jamaldeen Jimoh</t>
        </is>
      </c>
      <c r="C10" t="n">
        <v>5</v>
      </c>
      <c r="D10" t="inlineStr">
        <is>
          <t>Jamaldeen Jimoh-Aloba</t>
        </is>
      </c>
      <c r="E10" t="n">
        <v>559962</v>
      </c>
      <c r="F10" t="n">
        <v>83.59999999999999</v>
      </c>
      <c r="G10" t="n">
        <v>95</v>
      </c>
      <c r="H10" t="n">
        <v>0.625</v>
      </c>
      <c r="I10" t="inlineStr">
        <is>
          <t>review</t>
        </is>
      </c>
    </row>
    <row r="11">
      <c r="A11" t="inlineStr">
        <is>
          <t>understat</t>
        </is>
      </c>
      <c r="B11" t="inlineStr">
        <is>
          <t>Tyler Fredricson</t>
        </is>
      </c>
      <c r="C11" t="n">
        <v>1</v>
      </c>
      <c r="F11" t="n">
        <v>0</v>
      </c>
      <c r="G11" t="n">
        <v>0</v>
      </c>
      <c r="H11" t="n">
        <v>0</v>
      </c>
      <c r="I11" t="inlineStr">
        <is>
          <t>unmatched</t>
        </is>
      </c>
    </row>
    <row r="12">
      <c r="A12" t="inlineStr">
        <is>
          <t>understat</t>
        </is>
      </c>
      <c r="B12" t="inlineStr">
        <is>
          <t>Sean Neave</t>
        </is>
      </c>
      <c r="C12" t="n">
        <v>7</v>
      </c>
      <c r="F12" t="n">
        <v>0</v>
      </c>
      <c r="G12" t="n">
        <v>0</v>
      </c>
      <c r="H12" t="n">
        <v>0</v>
      </c>
      <c r="I12" t="inlineStr">
        <is>
          <t>unmatched</t>
        </is>
      </c>
    </row>
    <row r="13">
      <c r="A13" t="inlineStr">
        <is>
          <t>understat</t>
        </is>
      </c>
      <c r="B13" t="inlineStr">
        <is>
          <t>Joél Drakes-Thomas</t>
        </is>
      </c>
      <c r="C13" t="n">
        <v>2</v>
      </c>
      <c r="F13" t="n">
        <v>0</v>
      </c>
      <c r="G13" t="n">
        <v>0</v>
      </c>
      <c r="H13" t="n">
        <v>0</v>
      </c>
      <c r="I13" t="inlineStr">
        <is>
          <t>unmatched</t>
        </is>
      </c>
    </row>
    <row r="14">
      <c r="A14" t="inlineStr">
        <is>
          <t>understat</t>
        </is>
      </c>
      <c r="B14" t="inlineStr">
        <is>
          <t>Jerome Abbey</t>
        </is>
      </c>
      <c r="C14" t="n">
        <v>6</v>
      </c>
      <c r="F14" t="n">
        <v>0</v>
      </c>
      <c r="G14" t="n">
        <v>0</v>
      </c>
      <c r="H14" t="n">
        <v>0</v>
      </c>
      <c r="I14" t="inlineStr">
        <is>
          <t>unmatched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2026-08-15T11:07:00Z</dcterms:created>
  <dcterms:modified xsi:type="dcterms:W3CDTF">2026-08-15T11:07:01Z</dcterms:modified>
</cp:coreProperties>
</file>